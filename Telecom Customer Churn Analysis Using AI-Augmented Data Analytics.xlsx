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ata Ana 2026\Projects\Customer churn analysis Project\"/>
    </mc:Choice>
  </mc:AlternateContent>
  <xr:revisionPtr revIDLastSave="0" documentId="13_ncr:1_{3091304A-CD5A-4A01-80C0-4FEBC12F4C65}" xr6:coauthVersionLast="47" xr6:coauthVersionMax="47" xr10:uidLastSave="{00000000-0000-0000-0000-000000000000}"/>
  <bookViews>
    <workbookView xWindow="-108" yWindow="-108" windowWidth="23256" windowHeight="12456" tabRatio="788" xr2:uid="{391862B8-EB96-476C-BDDC-CF01DB9BF963}"/>
  </bookViews>
  <sheets>
    <sheet name="customer_churn_dataset" sheetId="1" r:id="rId1"/>
    <sheet name="Pivot 1 — Churn by Contract" sheetId="4" r:id="rId2"/>
    <sheet name="Pivot 2 — Churn by Payment Meth" sheetId="5" r:id="rId3"/>
    <sheet name="Pivot 3 — Churn by Internet Ser" sheetId="6" r:id="rId4"/>
    <sheet name="Pivot 4 — Churn by Tenure" sheetId="8" r:id="rId5"/>
    <sheet name="KPI Dashboard" sheetId="2" r:id="rId6"/>
    <sheet name="Data quality Check      " sheetId="3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Q30" i="1"/>
  <c r="Q14" i="1"/>
  <c r="B14" i="2"/>
  <c r="B13" i="2"/>
  <c r="B11" i="2"/>
  <c r="B10" i="2"/>
  <c r="B12" i="2" l="1"/>
</calcChain>
</file>

<file path=xl/sharedStrings.xml><?xml version="1.0" encoding="utf-8"?>
<sst xmlns="http://schemas.openxmlformats.org/spreadsheetml/2006/main" count="18075" uniqueCount="2054">
  <si>
    <t>CustomerID</t>
  </si>
  <si>
    <t>Gender</t>
  </si>
  <si>
    <t>Age</t>
  </si>
  <si>
    <t>SeniorCitizen</t>
  </si>
  <si>
    <t>TenureMonths</t>
  </si>
  <si>
    <t>Contract</t>
  </si>
  <si>
    <t>InternetService</t>
  </si>
  <si>
    <t>PaymentMethod</t>
  </si>
  <si>
    <t>TechSupport</t>
  </si>
  <si>
    <t>OnlineSecurity</t>
  </si>
  <si>
    <t>NumServices</t>
  </si>
  <si>
    <t>MonthlyCharges</t>
  </si>
  <si>
    <t>TotalCharges</t>
  </si>
  <si>
    <t>Churn</t>
  </si>
  <si>
    <t>CUST00001</t>
  </si>
  <si>
    <t>Male</t>
  </si>
  <si>
    <t>Yes</t>
  </si>
  <si>
    <t>Month-to-month</t>
  </si>
  <si>
    <t>Fiber optic</t>
  </si>
  <si>
    <t>Mailed check</t>
  </si>
  <si>
    <t>No</t>
  </si>
  <si>
    <t>CUST00002</t>
  </si>
  <si>
    <t>Female</t>
  </si>
  <si>
    <t>One year</t>
  </si>
  <si>
    <t>Electronic check</t>
  </si>
  <si>
    <t>CUST00003</t>
  </si>
  <si>
    <t>CUST00004</t>
  </si>
  <si>
    <t>Credit card</t>
  </si>
  <si>
    <t>CUST00005</t>
  </si>
  <si>
    <t>CUST00006</t>
  </si>
  <si>
    <t>Bank transfer</t>
  </si>
  <si>
    <t>CUST00007</t>
  </si>
  <si>
    <t>CUST00008</t>
  </si>
  <si>
    <t>CUST00009</t>
  </si>
  <si>
    <t>CUST00010</t>
  </si>
  <si>
    <t>Two year</t>
  </si>
  <si>
    <t>DSL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</si>
  <si>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</si>
  <si>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</si>
  <si>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</si>
  <si>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</si>
  <si>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</si>
  <si>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</si>
  <si>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</si>
  <si>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</si>
  <si>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</si>
  <si>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</si>
  <si>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</si>
  <si>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</si>
  <si>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</si>
  <si>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</si>
  <si>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</si>
  <si>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</si>
  <si>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</si>
  <si>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</si>
  <si>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</si>
  <si>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</si>
  <si>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</si>
  <si>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</si>
  <si>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</si>
  <si>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</si>
  <si>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</si>
  <si>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</si>
  <si>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</si>
  <si>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</si>
  <si>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</si>
  <si>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</si>
  <si>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</si>
  <si>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</si>
  <si>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</si>
  <si>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</si>
  <si>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</si>
  <si>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</si>
  <si>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</si>
  <si>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</si>
  <si>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</si>
  <si>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</si>
  <si>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</si>
  <si>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</si>
  <si>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</si>
  <si>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</si>
  <si>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</si>
  <si>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</si>
  <si>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</si>
  <si>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</si>
  <si>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</si>
  <si>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</si>
  <si>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</si>
  <si>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</si>
  <si>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</si>
  <si>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</si>
  <si>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</si>
  <si>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</si>
  <si>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</si>
  <si>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</si>
  <si>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</si>
  <si>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</si>
  <si>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</si>
  <si>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</si>
  <si>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</si>
  <si>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</si>
  <si>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</si>
  <si>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</si>
  <si>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</si>
  <si>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</si>
  <si>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</si>
  <si>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</si>
  <si>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</si>
  <si>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</si>
  <si>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</si>
  <si>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</si>
  <si>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</si>
  <si>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</si>
  <si>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</si>
  <si>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</si>
  <si>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</si>
  <si>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</si>
  <si>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</si>
  <si>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</si>
  <si>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</si>
  <si>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</si>
  <si>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</si>
  <si>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</si>
  <si>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</si>
  <si>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</si>
  <si>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</si>
  <si>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</si>
  <si>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</si>
  <si>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</si>
  <si>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</si>
  <si>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</si>
  <si>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</si>
  <si>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</si>
  <si>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</si>
  <si>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</si>
  <si>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</si>
  <si>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</si>
  <si>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</si>
  <si>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</si>
  <si>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</si>
  <si>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</si>
  <si>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</si>
  <si>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</si>
  <si>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</si>
  <si>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</si>
  <si>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</si>
  <si>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</si>
  <si>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</si>
  <si>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</si>
  <si>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</si>
  <si>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</si>
  <si>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</si>
  <si>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</si>
  <si>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</si>
  <si>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</si>
  <si>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</si>
  <si>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</si>
  <si>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</si>
  <si>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</si>
  <si>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</si>
  <si>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</si>
  <si>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</si>
  <si>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</si>
  <si>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</si>
  <si>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</si>
  <si>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</si>
  <si>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</si>
  <si>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</si>
  <si>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</si>
  <si>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</si>
  <si>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</si>
  <si>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</si>
  <si>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</si>
  <si>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</si>
  <si>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</si>
  <si>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</si>
  <si>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</si>
  <si>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</si>
  <si>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</si>
  <si>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</si>
  <si>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</si>
  <si>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</si>
  <si>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</si>
  <si>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</si>
  <si>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</si>
  <si>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</si>
  <si>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</si>
  <si>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</si>
  <si>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</si>
  <si>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</si>
  <si>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</si>
  <si>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</si>
  <si>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</si>
  <si>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</si>
  <si>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</si>
  <si>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</si>
  <si>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</si>
  <si>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</si>
  <si>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</si>
  <si>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</si>
  <si>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</si>
  <si>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</si>
  <si>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</si>
  <si>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</si>
  <si>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</si>
  <si>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</si>
  <si>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</si>
  <si>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</si>
  <si>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</si>
  <si>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</si>
  <si>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</si>
  <si>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</si>
  <si>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</si>
  <si>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</si>
  <si>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</si>
  <si>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</si>
  <si>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</si>
  <si>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</si>
  <si>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</si>
  <si>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</si>
  <si>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</si>
  <si>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</si>
  <si>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</si>
  <si>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</si>
  <si>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</si>
  <si>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</si>
  <si>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</si>
  <si>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</si>
  <si>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</si>
  <si>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</si>
  <si>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</si>
  <si>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</si>
  <si>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</si>
  <si>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</si>
  <si>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</si>
  <si>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</si>
  <si>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</si>
  <si>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</si>
  <si>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</si>
  <si>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</si>
  <si>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</si>
  <si>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</si>
  <si>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</si>
  <si>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</si>
  <si>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</si>
  <si>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</si>
  <si>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</si>
  <si>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</si>
  <si>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</si>
  <si>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</si>
  <si>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</si>
  <si>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</si>
  <si>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</si>
  <si>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</si>
  <si>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</si>
  <si>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</si>
  <si>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</si>
  <si>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</si>
  <si>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</si>
  <si>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</si>
  <si>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</si>
  <si>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</si>
  <si>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</si>
  <si>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</si>
  <si>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</si>
  <si>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</si>
  <si>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</si>
  <si>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</si>
  <si>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</si>
  <si>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</si>
  <si>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</si>
  <si>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</si>
  <si>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</si>
  <si>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</si>
  <si>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</si>
  <si>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</si>
  <si>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</si>
  <si>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</si>
  <si>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</si>
  <si>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</si>
  <si>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</si>
  <si>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</si>
  <si>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</si>
  <si>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</si>
  <si>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</si>
  <si>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</si>
  <si>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</si>
  <si>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</si>
  <si>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</si>
  <si>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</si>
  <si>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</si>
  <si>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</si>
  <si>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</si>
  <si>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</si>
  <si>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</si>
  <si>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</si>
  <si>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</si>
  <si>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</si>
  <si>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</si>
  <si>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</si>
  <si>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</si>
  <si>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</si>
  <si>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</si>
  <si>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</si>
  <si>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</si>
  <si>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</si>
  <si>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</si>
  <si>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</si>
  <si>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</si>
  <si>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</si>
  <si>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</si>
  <si>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</si>
  <si>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</si>
  <si>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</si>
  <si>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</si>
  <si>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</si>
  <si>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</si>
  <si>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</si>
  <si>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</si>
  <si>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</si>
  <si>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</si>
  <si>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</si>
  <si>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</si>
  <si>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</si>
  <si>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</si>
  <si>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</si>
  <si>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</si>
  <si>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</si>
  <si>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</si>
  <si>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</si>
  <si>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</si>
  <si>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</si>
  <si>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</si>
  <si>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</si>
  <si>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</si>
  <si>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</si>
  <si>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</si>
  <si>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</si>
  <si>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</si>
  <si>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</si>
  <si>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</si>
  <si>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</si>
  <si>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</si>
  <si>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</si>
  <si>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</si>
  <si>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</si>
  <si>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</si>
  <si>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</si>
  <si>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</si>
  <si>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</si>
  <si>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</si>
  <si>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</si>
  <si>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</si>
  <si>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</si>
  <si>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</si>
  <si>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</si>
  <si>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</si>
  <si>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</si>
  <si>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</si>
  <si>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</si>
  <si>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</si>
  <si>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</si>
  <si>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</si>
  <si>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</si>
  <si>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</si>
  <si>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</si>
  <si>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</si>
  <si>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</si>
  <si>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</si>
  <si>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</si>
  <si>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</si>
  <si>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</si>
  <si>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</si>
  <si>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</si>
  <si>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</si>
  <si>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</si>
  <si>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</si>
  <si>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</si>
  <si>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</si>
  <si>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</si>
  <si>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</si>
  <si>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</si>
  <si>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</si>
  <si>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</si>
  <si>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</si>
  <si>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</si>
  <si>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</si>
  <si>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</si>
  <si>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</si>
  <si>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</si>
  <si>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</si>
  <si>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</si>
  <si>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</si>
  <si>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</si>
  <si>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</si>
  <si>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</si>
  <si>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</si>
  <si>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</si>
  <si>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</si>
  <si>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</si>
  <si>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</si>
  <si>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</si>
  <si>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</si>
  <si>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</si>
  <si>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</si>
  <si>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</si>
  <si>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</si>
  <si>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</si>
  <si>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</si>
  <si>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</si>
  <si>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</si>
  <si>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</si>
  <si>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</si>
  <si>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</si>
  <si>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</si>
  <si>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</si>
  <si>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</si>
  <si>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</si>
  <si>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</si>
  <si>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</si>
  <si>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</si>
  <si>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</si>
  <si>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</si>
  <si>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</si>
  <si>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</si>
  <si>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</si>
  <si>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</si>
  <si>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</si>
  <si>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</si>
  <si>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</si>
  <si>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</si>
  <si>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</si>
  <si>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</si>
  <si>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</si>
  <si>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</si>
  <si>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</si>
  <si>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</si>
  <si>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</si>
  <si>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</si>
  <si>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</si>
  <si>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</si>
  <si>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</si>
  <si>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</si>
  <si>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</si>
  <si>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</si>
  <si>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</si>
  <si>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</si>
  <si>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</si>
  <si>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</si>
  <si>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</si>
  <si>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</si>
  <si>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</si>
  <si>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</si>
  <si>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</si>
  <si>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</si>
  <si>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</si>
  <si>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</si>
  <si>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</si>
  <si>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</si>
  <si>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</si>
  <si>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</si>
  <si>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</si>
  <si>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</si>
  <si>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</si>
  <si>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</si>
  <si>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</si>
  <si>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</si>
  <si>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</si>
  <si>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</si>
  <si>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</si>
  <si>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</si>
  <si>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</si>
  <si>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</si>
  <si>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</si>
  <si>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</si>
  <si>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</si>
  <si>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</si>
  <si>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</si>
  <si>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</si>
  <si>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</si>
  <si>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</si>
  <si>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</si>
  <si>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</si>
  <si>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</si>
  <si>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</si>
  <si>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</si>
  <si>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</si>
  <si>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</si>
  <si>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</si>
  <si>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</si>
  <si>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</si>
  <si>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</si>
  <si>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</si>
  <si>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</si>
  <si>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</si>
  <si>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</si>
  <si>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</si>
  <si>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</si>
  <si>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</si>
  <si>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</si>
  <si>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</si>
  <si>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</si>
  <si>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</si>
  <si>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</si>
  <si>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</si>
  <si>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</si>
  <si>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</si>
  <si>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</si>
  <si>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</si>
  <si>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</si>
  <si>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</si>
  <si>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</si>
  <si>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</si>
  <si>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</si>
  <si>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</si>
  <si>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</si>
  <si>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</si>
  <si>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</si>
  <si>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</si>
  <si>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</si>
  <si>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</si>
  <si>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</si>
  <si>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</si>
  <si>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</si>
  <si>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</si>
  <si>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</si>
  <si>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</si>
  <si>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</si>
  <si>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</si>
  <si>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</si>
  <si>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</si>
  <si>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</si>
  <si>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</si>
  <si>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</si>
  <si>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</si>
  <si>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</si>
  <si>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</si>
  <si>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</si>
  <si>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</si>
  <si>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</si>
  <si>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</si>
  <si>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</si>
  <si>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</si>
  <si>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</si>
  <si>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</si>
  <si>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</si>
  <si>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</si>
  <si>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</si>
  <si>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</si>
  <si>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</si>
  <si>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</si>
  <si>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</si>
  <si>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</si>
  <si>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</si>
  <si>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</si>
  <si>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</si>
  <si>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</si>
  <si>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</si>
  <si>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</si>
  <si>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</si>
  <si>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</si>
  <si>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</si>
  <si>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</si>
  <si>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</si>
  <si>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</si>
  <si>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</si>
  <si>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</si>
  <si>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</si>
  <si>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</si>
  <si>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</si>
  <si>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</si>
  <si>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</si>
  <si>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</si>
  <si>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</si>
  <si>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</si>
  <si>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</si>
  <si>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</si>
  <si>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</si>
  <si>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</si>
  <si>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</si>
  <si>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</si>
  <si>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</si>
  <si>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</si>
  <si>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</si>
  <si>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</si>
  <si>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</si>
  <si>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</si>
  <si>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</si>
  <si>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</si>
  <si>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</si>
  <si>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</si>
  <si>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</si>
  <si>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</si>
  <si>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</si>
  <si>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</si>
  <si>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</si>
  <si>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</si>
  <si>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</si>
  <si>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</si>
  <si>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</si>
  <si>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</si>
  <si>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</si>
  <si>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</si>
  <si>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</si>
  <si>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</si>
  <si>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</si>
  <si>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</si>
  <si>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</si>
  <si>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</si>
  <si>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</si>
  <si>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</si>
  <si>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</si>
  <si>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</si>
  <si>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</si>
  <si>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</si>
  <si>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</si>
  <si>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</si>
  <si>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</si>
  <si>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</si>
  <si>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</si>
  <si>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</si>
  <si>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</si>
  <si>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</si>
  <si>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</si>
  <si>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</si>
  <si>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</si>
  <si>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</si>
  <si>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</si>
  <si>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</si>
  <si>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</si>
  <si>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</si>
  <si>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</si>
  <si>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</si>
  <si>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</si>
  <si>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</si>
  <si>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</si>
  <si>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</si>
  <si>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</si>
  <si>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</si>
  <si>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</si>
  <si>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</si>
  <si>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</si>
  <si>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</si>
  <si>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</si>
  <si>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</si>
  <si>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</si>
  <si>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</si>
  <si>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</si>
  <si>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</si>
  <si>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</si>
  <si>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</si>
  <si>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</si>
  <si>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</si>
  <si>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</si>
  <si>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</si>
  <si>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</si>
  <si>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</si>
  <si>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</si>
  <si>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</si>
  <si>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</si>
  <si>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</si>
  <si>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</si>
  <si>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</si>
  <si>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</si>
  <si>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</si>
  <si>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</si>
  <si>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</si>
  <si>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</si>
  <si>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</si>
  <si>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</si>
  <si>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</si>
  <si>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</si>
  <si>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</si>
  <si>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</si>
  <si>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</si>
  <si>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</si>
  <si>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</si>
  <si>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</si>
  <si>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</si>
  <si>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</si>
  <si>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</si>
  <si>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</si>
  <si>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</si>
  <si>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</si>
  <si>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</si>
  <si>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</si>
  <si>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</si>
  <si>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</si>
  <si>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</si>
  <si>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</si>
  <si>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</si>
  <si>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</si>
  <si>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</si>
  <si>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</si>
  <si>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</si>
  <si>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</si>
  <si>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</si>
  <si>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</si>
  <si>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</si>
  <si>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</si>
  <si>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</si>
  <si>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</si>
  <si>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</si>
  <si>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</si>
  <si>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</si>
  <si>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</si>
  <si>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</si>
  <si>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</si>
  <si>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</si>
  <si>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</si>
  <si>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</si>
  <si>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</si>
  <si>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</si>
  <si>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</si>
  <si>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</si>
  <si>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</si>
  <si>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</si>
  <si>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</si>
  <si>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</si>
  <si>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</si>
  <si>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</si>
  <si>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</si>
  <si>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</si>
  <si>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</si>
  <si>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</si>
  <si>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</si>
  <si>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</si>
  <si>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</si>
  <si>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</si>
  <si>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</si>
  <si>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</si>
  <si>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</si>
  <si>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</si>
  <si>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</si>
  <si>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</si>
  <si>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</si>
  <si>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</si>
  <si>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</si>
  <si>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</si>
  <si>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</si>
  <si>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</si>
  <si>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</si>
  <si>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</si>
  <si>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</si>
  <si>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</si>
  <si>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</si>
  <si>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</si>
  <si>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</si>
  <si>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</si>
  <si>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</si>
  <si>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</si>
  <si>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</si>
  <si>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</si>
  <si>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</si>
  <si>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</si>
  <si>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</si>
  <si>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</si>
  <si>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</si>
  <si>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</si>
  <si>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</si>
  <si>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</si>
  <si>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</si>
  <si>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</si>
  <si>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</si>
  <si>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</si>
  <si>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</si>
  <si>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</si>
  <si>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</si>
  <si>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</si>
  <si>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</si>
  <si>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</si>
  <si>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</si>
  <si>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</si>
  <si>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</si>
  <si>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</si>
  <si>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</si>
  <si>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</si>
  <si>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</si>
  <si>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</si>
  <si>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</si>
  <si>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</si>
  <si>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</si>
  <si>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</si>
  <si>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</si>
  <si>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</si>
  <si>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</si>
  <si>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</si>
  <si>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</si>
  <si>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</si>
  <si>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</si>
  <si>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</si>
  <si>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</si>
  <si>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</si>
  <si>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</si>
  <si>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</si>
  <si>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</si>
  <si>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</si>
  <si>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</si>
  <si>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</si>
  <si>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</si>
  <si>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</si>
  <si>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</si>
  <si>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</si>
  <si>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</si>
  <si>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</si>
  <si>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</si>
  <si>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</si>
  <si>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</si>
  <si>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</si>
  <si>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</si>
  <si>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</si>
  <si>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</si>
  <si>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</si>
  <si>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</si>
  <si>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</si>
  <si>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</si>
  <si>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</si>
  <si>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</si>
  <si>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</si>
  <si>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</si>
  <si>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</si>
  <si>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</si>
  <si>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</si>
  <si>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</si>
  <si>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</si>
  <si>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</si>
  <si>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</si>
  <si>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</si>
  <si>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</si>
  <si>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</si>
  <si>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</si>
  <si>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</si>
  <si>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</si>
  <si>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</si>
  <si>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</si>
  <si>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</si>
  <si>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</si>
  <si>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</si>
  <si>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</si>
  <si>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</si>
  <si>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</si>
  <si>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</si>
  <si>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</si>
  <si>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</si>
  <si>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</si>
  <si>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</si>
  <si>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</si>
  <si>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</si>
  <si>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</si>
  <si>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</si>
  <si>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</si>
  <si>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</si>
  <si>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</si>
  <si>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</si>
  <si>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</si>
  <si>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</si>
  <si>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</si>
  <si>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</si>
  <si>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</si>
  <si>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</si>
  <si>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</si>
  <si>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</si>
  <si>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</si>
  <si>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</si>
  <si>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</si>
  <si>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</si>
  <si>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</si>
  <si>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</si>
  <si>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</si>
  <si>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</si>
  <si>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</si>
  <si>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</si>
  <si>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</si>
  <si>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</si>
  <si>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</si>
  <si>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</si>
  <si>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</si>
  <si>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</si>
  <si>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</si>
  <si>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</si>
  <si>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</si>
  <si>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</si>
  <si>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</si>
  <si>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</si>
  <si>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</si>
  <si>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</si>
  <si>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</si>
  <si>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</si>
  <si>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</si>
  <si>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</si>
  <si>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</si>
  <si>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</si>
  <si>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</si>
  <si>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</si>
  <si>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</si>
  <si>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</si>
  <si>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</si>
  <si>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</si>
  <si>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</si>
  <si>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</si>
  <si>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</si>
  <si>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</si>
  <si>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</si>
  <si>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</si>
  <si>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</si>
  <si>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</si>
  <si>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</si>
  <si>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</si>
  <si>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</si>
  <si>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</si>
  <si>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</si>
  <si>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</si>
  <si>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</si>
  <si>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</si>
  <si>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</si>
  <si>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</si>
  <si>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</si>
  <si>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</si>
  <si>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</si>
  <si>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</si>
  <si>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</si>
  <si>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</si>
  <si>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</si>
  <si>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</si>
  <si>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</si>
  <si>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</si>
  <si>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</si>
  <si>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</si>
  <si>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</si>
  <si>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</si>
  <si>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</si>
  <si>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</si>
  <si>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</si>
  <si>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</si>
  <si>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</si>
  <si>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</si>
  <si>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</si>
  <si>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</si>
  <si>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</si>
  <si>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</si>
  <si>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</si>
  <si>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</si>
  <si>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</si>
  <si>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</si>
  <si>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</si>
  <si>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</si>
  <si>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</si>
  <si>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</si>
  <si>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</si>
  <si>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</si>
  <si>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</si>
  <si>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</si>
  <si>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</si>
  <si>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</si>
  <si>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</si>
  <si>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</si>
  <si>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</si>
  <si>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</si>
  <si>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</si>
  <si>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</si>
  <si>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</si>
  <si>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</si>
  <si>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</si>
  <si>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</si>
  <si>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</si>
  <si>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</si>
  <si>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</si>
  <si>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</si>
  <si>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</si>
  <si>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</si>
  <si>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</si>
  <si>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</si>
  <si>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</si>
  <si>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</si>
  <si>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</si>
  <si>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</si>
  <si>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</si>
  <si>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</si>
  <si>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</si>
  <si>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</si>
  <si>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</si>
  <si>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</si>
  <si>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</si>
  <si>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</si>
  <si>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</si>
  <si>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</si>
  <si>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</si>
  <si>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</si>
  <si>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</si>
  <si>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</si>
  <si>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</si>
  <si>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</si>
  <si>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</si>
  <si>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</si>
  <si>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</si>
  <si>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</si>
  <si>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</si>
  <si>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</si>
  <si>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</si>
  <si>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</si>
  <si>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</si>
  <si>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</si>
  <si>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</si>
  <si>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</si>
  <si>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</si>
  <si>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</si>
  <si>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</si>
  <si>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</si>
  <si>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</si>
  <si>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</si>
  <si>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</si>
  <si>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</si>
  <si>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</si>
  <si>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</si>
  <si>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</si>
  <si>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</si>
  <si>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</si>
  <si>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</si>
  <si>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</si>
  <si>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</si>
  <si>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</si>
  <si>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</si>
  <si>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</si>
  <si>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</si>
  <si>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</si>
  <si>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</si>
  <si>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</si>
  <si>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</si>
  <si>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</si>
  <si>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</si>
  <si>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</si>
  <si>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</si>
  <si>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</si>
  <si>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</si>
  <si>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</si>
  <si>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</si>
  <si>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</si>
  <si>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</si>
  <si>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</si>
  <si>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</si>
  <si>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</si>
  <si>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</si>
  <si>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</si>
  <si>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</si>
  <si>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</si>
  <si>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</si>
  <si>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</si>
  <si>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</si>
  <si>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</si>
  <si>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</si>
  <si>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</si>
  <si>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</si>
  <si>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</si>
  <si>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</si>
  <si>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</si>
  <si>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</si>
  <si>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</si>
  <si>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</si>
  <si>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</si>
  <si>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</si>
  <si>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</si>
  <si>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</si>
  <si>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</si>
  <si>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</si>
  <si>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</si>
  <si>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</si>
  <si>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</si>
  <si>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</si>
  <si>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</si>
  <si>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</si>
  <si>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</si>
  <si>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</si>
  <si>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</si>
  <si>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</si>
  <si>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</si>
  <si>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</si>
  <si>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</si>
  <si>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</si>
  <si>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</si>
  <si>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</si>
  <si>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</si>
  <si>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</si>
  <si>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</si>
  <si>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</si>
  <si>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</si>
  <si>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</si>
  <si>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</si>
  <si>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</si>
  <si>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</si>
  <si>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</si>
  <si>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</si>
  <si>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</si>
  <si>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</si>
  <si>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</si>
  <si>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</si>
  <si>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</si>
  <si>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</si>
  <si>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</si>
  <si>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</si>
  <si>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</si>
  <si>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</si>
  <si>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</si>
  <si>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</si>
  <si>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</si>
  <si>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</si>
  <si>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</si>
  <si>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</si>
  <si>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</si>
  <si>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</si>
  <si>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</si>
  <si>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</si>
  <si>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</si>
  <si>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</si>
  <si>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</si>
  <si>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</si>
  <si>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</si>
  <si>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</si>
  <si>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</si>
  <si>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</si>
  <si>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</si>
  <si>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</si>
  <si>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</si>
  <si>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</si>
  <si>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</si>
  <si>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</si>
  <si>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</si>
  <si>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</si>
  <si>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</si>
  <si>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</si>
  <si>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</si>
  <si>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</si>
  <si>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</si>
  <si>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</si>
  <si>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</si>
  <si>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</si>
  <si>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</si>
  <si>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</si>
  <si>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</si>
  <si>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</si>
  <si>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</si>
  <si>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</si>
  <si>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</si>
  <si>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</si>
  <si>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</si>
  <si>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</si>
  <si>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</si>
  <si>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</si>
  <si>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</si>
  <si>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</si>
  <si>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</si>
  <si>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</si>
  <si>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</si>
  <si>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</si>
  <si>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</si>
  <si>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</si>
  <si>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</si>
  <si>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</si>
  <si>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</si>
  <si>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</si>
  <si>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</si>
  <si>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</si>
  <si>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</si>
  <si>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</si>
  <si>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</si>
  <si>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</si>
  <si>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</si>
  <si>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</si>
  <si>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</si>
  <si>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</si>
  <si>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</si>
  <si>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</si>
  <si>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</si>
  <si>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</si>
  <si>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</si>
  <si>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</si>
  <si>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</si>
  <si>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</si>
  <si>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</si>
  <si>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</si>
  <si>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</si>
  <si>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</si>
  <si>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</si>
  <si>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</si>
  <si>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</si>
  <si>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</si>
  <si>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</si>
  <si>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</si>
  <si>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</si>
  <si>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</si>
  <si>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</si>
  <si>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</si>
  <si>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</si>
  <si>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</si>
  <si>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</si>
  <si>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</si>
  <si>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</si>
  <si>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</si>
  <si>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</si>
  <si>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</si>
  <si>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</si>
  <si>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</si>
  <si>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</si>
  <si>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</si>
  <si>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</si>
  <si>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</si>
  <si>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</si>
  <si>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</si>
  <si>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</si>
  <si>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</si>
  <si>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</si>
  <si>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</si>
  <si>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</si>
  <si>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</si>
  <si>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</si>
  <si>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</si>
  <si>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</si>
  <si>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</si>
  <si>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</si>
  <si>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</si>
  <si>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</si>
  <si>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</si>
  <si>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</si>
  <si>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</si>
  <si>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</si>
  <si>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</si>
  <si>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</si>
  <si>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</si>
  <si>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</si>
  <si>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</si>
  <si>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</si>
  <si>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</si>
  <si>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</si>
  <si>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</si>
  <si>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</si>
  <si>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</si>
  <si>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</si>
  <si>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</si>
  <si>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</si>
  <si>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</si>
  <si>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</si>
  <si>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</si>
  <si>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</si>
  <si>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</si>
  <si>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</si>
  <si>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</si>
  <si>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</si>
  <si>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</si>
  <si>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</si>
  <si>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</si>
  <si>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</si>
  <si>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</si>
  <si>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</si>
  <si>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</si>
  <si>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</si>
  <si>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</si>
  <si>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</si>
  <si>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</si>
  <si>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</si>
  <si>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</si>
  <si>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</si>
  <si>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</si>
  <si>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</si>
  <si>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</si>
  <si>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</si>
  <si>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</si>
  <si>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</si>
  <si>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</si>
  <si>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</si>
  <si>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</si>
  <si>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</si>
  <si>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</si>
  <si>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</si>
  <si>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</si>
  <si>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</si>
  <si>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</si>
  <si>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</si>
  <si>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</si>
  <si>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</si>
  <si>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</si>
  <si>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</si>
  <si>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</si>
  <si>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</si>
  <si>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</si>
  <si>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</si>
  <si>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</si>
  <si>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</si>
  <si>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</si>
  <si>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</si>
  <si>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</si>
  <si>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</si>
  <si>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</si>
  <si>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</si>
  <si>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</si>
  <si>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</si>
  <si>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</si>
  <si>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</si>
  <si>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</si>
  <si>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</si>
  <si>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</si>
  <si>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</si>
  <si>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</si>
  <si>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</si>
  <si>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</si>
  <si>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</si>
  <si>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</si>
  <si>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</si>
  <si>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</si>
  <si>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</si>
  <si>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</si>
  <si>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</si>
  <si>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</si>
  <si>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</si>
  <si>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</si>
  <si>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</si>
  <si>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</si>
  <si>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</si>
  <si>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</si>
  <si>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</si>
  <si>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</si>
  <si>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</si>
  <si>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</si>
  <si>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</si>
  <si>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</si>
  <si>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</si>
  <si>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</si>
  <si>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</si>
  <si>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</si>
  <si>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</si>
  <si>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</si>
  <si>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</si>
  <si>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</si>
  <si>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</si>
  <si>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</si>
  <si>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</si>
  <si>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</si>
  <si>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</si>
  <si>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</si>
  <si>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</si>
  <si>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</si>
  <si>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</si>
  <si>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</si>
  <si>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</si>
  <si>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</si>
  <si>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</si>
  <si>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</si>
  <si>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</si>
  <si>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</si>
  <si>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</si>
  <si>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</si>
  <si>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</si>
  <si>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</si>
  <si>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</si>
  <si>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</si>
  <si>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</si>
  <si>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</si>
  <si>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</si>
  <si>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</si>
  <si>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</si>
  <si>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</si>
  <si>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</si>
  <si>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</si>
  <si>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</si>
  <si>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</si>
  <si>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</si>
  <si>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</si>
  <si>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</si>
  <si>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</si>
  <si>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</si>
  <si>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</si>
  <si>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</si>
  <si>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</si>
  <si>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</si>
  <si>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</si>
  <si>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</si>
  <si>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</si>
  <si>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</si>
  <si>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</si>
  <si>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</si>
  <si>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</si>
  <si>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</si>
  <si>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</si>
  <si>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</si>
  <si>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</si>
  <si>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</si>
  <si>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</si>
  <si>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</si>
  <si>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</si>
  <si>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</si>
  <si>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</si>
  <si>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</si>
  <si>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</si>
  <si>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</si>
  <si>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</si>
  <si>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</si>
  <si>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</si>
  <si>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</si>
  <si>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</si>
  <si>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</si>
  <si>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</si>
  <si>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</si>
  <si>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</si>
  <si>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</si>
  <si>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</si>
  <si>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</si>
  <si>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</si>
  <si>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</si>
  <si>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</si>
  <si>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</si>
  <si>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</si>
  <si>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</si>
  <si>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</si>
  <si>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</si>
  <si>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</si>
  <si>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</si>
  <si>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</si>
  <si>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</si>
  <si>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</si>
  <si>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</si>
  <si>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</si>
  <si>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</si>
  <si>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</si>
  <si>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</si>
  <si>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</si>
  <si>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</si>
  <si>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</si>
  <si>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</si>
  <si>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</si>
  <si>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</si>
  <si>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</si>
  <si>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</si>
  <si>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</si>
  <si>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</si>
  <si>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</si>
  <si>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</si>
  <si>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</si>
  <si>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</si>
  <si>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</si>
  <si>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</si>
  <si>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</si>
  <si>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</si>
  <si>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</si>
  <si>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</si>
  <si>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</si>
  <si>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</si>
  <si>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</si>
  <si>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</si>
  <si>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</si>
  <si>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</si>
  <si>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</si>
  <si>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</si>
  <si>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</si>
  <si>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</si>
  <si>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</si>
  <si>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</si>
  <si>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</si>
  <si>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</si>
  <si>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</si>
  <si>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</si>
  <si>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</si>
  <si>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</si>
  <si>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</si>
  <si>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</si>
  <si>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</si>
  <si>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</si>
  <si>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</si>
  <si>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</si>
  <si>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</si>
  <si>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</si>
  <si>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</si>
  <si>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</si>
  <si>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</si>
  <si>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</si>
  <si>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</si>
  <si>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</si>
  <si>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</si>
  <si>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</si>
  <si>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</si>
  <si>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</si>
  <si>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</si>
  <si>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</si>
  <si>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</si>
  <si>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</si>
  <si>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</si>
  <si>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</si>
  <si>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</si>
  <si>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</si>
  <si>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</si>
  <si>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</si>
  <si>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</si>
  <si>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</si>
  <si>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</si>
  <si>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</si>
  <si>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</si>
  <si>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</si>
  <si>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</si>
  <si>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</si>
  <si>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</si>
  <si>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</si>
  <si>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</si>
  <si>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</si>
  <si>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</si>
  <si>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</si>
  <si>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</si>
  <si>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</si>
  <si>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</si>
  <si>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</si>
  <si>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</si>
  <si>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</si>
  <si>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</si>
  <si>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</si>
  <si>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</si>
  <si>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</si>
  <si>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</si>
  <si>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</si>
  <si>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</si>
  <si>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</si>
  <si>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</si>
  <si>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</si>
  <si>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</si>
  <si>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</si>
  <si>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</si>
  <si>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</si>
  <si>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</si>
  <si>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</si>
  <si>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</si>
  <si>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</si>
  <si>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</si>
  <si>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</si>
  <si>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</si>
  <si>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</si>
  <si>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</si>
  <si>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</si>
  <si>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</si>
  <si>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</si>
  <si>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</si>
  <si>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</si>
  <si>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</si>
  <si>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</si>
  <si>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</si>
  <si>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</si>
  <si>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</si>
  <si>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</si>
  <si>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</si>
  <si>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</si>
  <si>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</si>
  <si>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</si>
  <si>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</si>
  <si>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</si>
  <si>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</si>
  <si>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</si>
  <si>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</si>
  <si>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</si>
  <si>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</si>
  <si>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</si>
  <si>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</si>
  <si>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</si>
  <si>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</si>
  <si>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</si>
  <si>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</si>
  <si>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</si>
  <si>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</si>
  <si>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</si>
  <si>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</si>
  <si>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</si>
  <si>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</si>
  <si>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</si>
  <si>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</si>
  <si>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</si>
  <si>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</si>
  <si>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</si>
  <si>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</si>
  <si>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</si>
  <si>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</si>
  <si>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</si>
  <si>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</si>
  <si>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</si>
  <si>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</si>
  <si>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</si>
  <si>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</si>
  <si>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</si>
  <si>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</si>
  <si>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</si>
  <si>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</si>
  <si>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</si>
  <si>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</si>
  <si>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</si>
  <si>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</si>
  <si>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</si>
  <si>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</si>
  <si>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</si>
  <si>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</si>
  <si>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</si>
  <si>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</si>
  <si>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</si>
  <si>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</si>
  <si>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</si>
  <si>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</si>
  <si>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</si>
  <si>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</si>
  <si>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</si>
  <si>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</si>
  <si>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</si>
  <si>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</si>
  <si>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</si>
  <si>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</si>
  <si>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</si>
  <si>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</si>
  <si>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</si>
  <si>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</si>
  <si>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</si>
  <si>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</si>
  <si>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</si>
  <si>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</si>
  <si>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</si>
  <si>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</si>
  <si>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</si>
  <si>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</si>
  <si>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</si>
  <si>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</si>
  <si>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</si>
  <si>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</si>
  <si>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</si>
  <si>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</si>
  <si>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</si>
  <si>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</si>
  <si>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</si>
  <si>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</si>
  <si>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</si>
  <si>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</si>
  <si>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</si>
  <si>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</si>
  <si>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</si>
  <si>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</si>
  <si>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</si>
  <si>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</si>
  <si>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</si>
  <si>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</si>
  <si>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</si>
  <si>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</si>
  <si>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</si>
  <si>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</si>
  <si>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</si>
  <si>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</si>
  <si>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</si>
  <si>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</si>
  <si>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</si>
  <si>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</si>
  <si>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</si>
  <si>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</si>
  <si>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</si>
  <si>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</si>
  <si>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</si>
  <si>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</si>
  <si>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</si>
  <si>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</si>
  <si>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</si>
  <si>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</si>
  <si>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</si>
  <si>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</si>
  <si>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</si>
  <si>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</si>
  <si>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</si>
  <si>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</si>
  <si>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</si>
  <si>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</si>
  <si>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</si>
  <si>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</si>
  <si>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</si>
  <si>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</si>
  <si>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</si>
  <si>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</si>
  <si>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</si>
  <si>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</si>
  <si>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</si>
  <si>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</si>
  <si>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</si>
  <si>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</si>
  <si>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</si>
  <si>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</si>
  <si>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</si>
  <si>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</si>
  <si>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</si>
  <si>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</si>
  <si>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</si>
  <si>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</si>
  <si>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</si>
  <si>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</si>
  <si>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</si>
  <si>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</si>
  <si>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</si>
  <si>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</si>
  <si>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</si>
  <si>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</si>
  <si>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</si>
  <si>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</si>
  <si>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</si>
  <si>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</si>
  <si>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</si>
  <si>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</si>
  <si>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</si>
  <si>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</si>
  <si>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</si>
  <si>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</si>
  <si>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</si>
  <si>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</si>
  <si>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</si>
  <si>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</si>
  <si>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</si>
  <si>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</si>
  <si>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</si>
  <si>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</si>
  <si>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</si>
  <si>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</si>
  <si>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</si>
  <si>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</si>
  <si>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</si>
  <si>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</si>
  <si>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</si>
  <si>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</si>
  <si>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</si>
  <si>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</si>
  <si>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</si>
  <si>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</si>
  <si>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</si>
  <si>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</si>
  <si>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</si>
  <si>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</si>
  <si>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</si>
  <si>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</si>
  <si>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</si>
  <si>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</si>
  <si>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</si>
  <si>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</si>
  <si>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</si>
  <si>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</si>
  <si>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</si>
  <si>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</si>
  <si>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</si>
  <si>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</si>
  <si>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</si>
  <si>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</si>
  <si>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</si>
  <si>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</si>
  <si>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</si>
  <si>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</si>
  <si>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</si>
  <si>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</si>
  <si>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</si>
  <si>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</si>
  <si>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</si>
  <si>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</si>
  <si>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</si>
  <si>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</si>
  <si>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</si>
  <si>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</si>
  <si>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</si>
  <si>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</si>
  <si>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</si>
  <si>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</si>
  <si>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</si>
  <si>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</si>
  <si>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</si>
  <si>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</si>
  <si>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</si>
  <si>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</si>
  <si>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</si>
  <si>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</si>
  <si>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</si>
  <si>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</si>
  <si>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</si>
  <si>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</si>
  <si>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</si>
  <si>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</si>
  <si>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</si>
  <si>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</si>
  <si>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</si>
  <si>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</si>
  <si>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</si>
  <si>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</si>
  <si>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</si>
  <si>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</si>
  <si>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</si>
  <si>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</si>
  <si>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</si>
  <si>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</si>
  <si>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</si>
  <si>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</si>
  <si>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</si>
  <si>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</si>
  <si>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</si>
  <si>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</si>
  <si>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</si>
  <si>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</si>
  <si>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</si>
  <si>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</si>
  <si>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</si>
  <si>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</si>
  <si>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</si>
  <si>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</si>
  <si>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</si>
  <si>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</si>
  <si>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</si>
  <si>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</si>
  <si>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</si>
  <si>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</si>
  <si>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</si>
  <si>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</si>
  <si>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</si>
  <si>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</si>
  <si>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</si>
  <si>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</si>
  <si>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</si>
  <si>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</si>
  <si>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</si>
  <si>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</si>
  <si>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</si>
  <si>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</si>
  <si>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</si>
  <si>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</si>
  <si>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</si>
  <si>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</si>
  <si>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</si>
  <si>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</si>
  <si>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</si>
  <si>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</si>
  <si>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</si>
  <si>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</si>
  <si>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</si>
  <si>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</si>
  <si>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</si>
  <si>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</si>
  <si>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</si>
  <si>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</si>
  <si>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</si>
  <si>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</si>
  <si>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</si>
  <si>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</si>
  <si>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</si>
  <si>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</si>
  <si>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</si>
  <si>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</si>
  <si>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</si>
  <si>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</si>
  <si>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</si>
  <si>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</si>
  <si>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</si>
  <si>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</si>
  <si>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</si>
  <si>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</si>
  <si>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</si>
  <si>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</si>
  <si>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</si>
  <si>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</si>
  <si>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</si>
  <si>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</si>
  <si>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</si>
  <si>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</si>
  <si>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</si>
  <si>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</si>
  <si>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</si>
  <si>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</si>
  <si>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</si>
  <si>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</si>
  <si>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</si>
  <si>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</si>
  <si>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</si>
  <si>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</si>
  <si>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</si>
  <si>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</si>
  <si>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</si>
  <si>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</si>
  <si>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</si>
  <si>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</si>
  <si>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</si>
  <si>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</si>
  <si>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</si>
  <si>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</si>
  <si>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</si>
  <si>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</si>
  <si>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</si>
  <si>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</si>
  <si>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</si>
  <si>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</si>
  <si>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</si>
  <si>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</si>
  <si>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</si>
  <si>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</si>
  <si>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</si>
  <si>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</si>
  <si>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</si>
  <si>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</si>
  <si>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</si>
  <si>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</si>
  <si>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</si>
  <si>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</si>
  <si>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</si>
  <si>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</si>
  <si>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</si>
  <si>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</si>
  <si>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</si>
  <si>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</si>
  <si>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</si>
  <si>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</si>
  <si>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</si>
  <si>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</si>
  <si>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</si>
  <si>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</si>
  <si>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</si>
  <si>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</si>
  <si>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</si>
  <si>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</si>
  <si>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</si>
  <si>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</si>
  <si>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</si>
  <si>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</si>
  <si>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</si>
  <si>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</si>
  <si>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</si>
  <si>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</si>
  <si>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</si>
  <si>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</si>
  <si>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</si>
  <si>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</si>
  <si>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</si>
  <si>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</si>
  <si>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</si>
  <si>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</si>
  <si>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</si>
  <si>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</si>
  <si>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</si>
  <si>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</si>
  <si>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</si>
  <si>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</si>
  <si>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</si>
  <si>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</si>
  <si>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</si>
  <si>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</si>
  <si>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</si>
  <si>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</si>
  <si>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</si>
  <si>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</si>
  <si>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</si>
  <si>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</si>
  <si>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</si>
  <si>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</si>
  <si>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</si>
  <si>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</si>
  <si>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</si>
  <si>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</si>
  <si>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</si>
  <si>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</si>
  <si>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</si>
  <si>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</si>
  <si>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</si>
  <si>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</si>
  <si>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</si>
  <si>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</si>
  <si>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</si>
  <si>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</si>
  <si>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</si>
  <si>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</si>
  <si>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</si>
  <si>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</si>
  <si>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</si>
  <si>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</si>
  <si>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</si>
  <si>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</si>
  <si>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</si>
  <si>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</si>
  <si>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</si>
  <si>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</si>
  <si>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</si>
  <si>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</si>
  <si>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</si>
  <si>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</si>
  <si>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</si>
  <si>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</si>
  <si>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</si>
  <si>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</si>
  <si>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</si>
  <si>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</si>
  <si>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</si>
  <si>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</si>
  <si>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</si>
  <si>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</si>
  <si>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</si>
  <si>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</si>
  <si>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</si>
  <si>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</si>
  <si>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</si>
  <si>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</si>
  <si>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</si>
  <si>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</si>
  <si>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</si>
  <si>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</si>
  <si>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</si>
  <si>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</si>
  <si>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</si>
  <si>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</si>
  <si>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</si>
  <si>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</si>
  <si>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</si>
  <si>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</si>
  <si>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</si>
  <si>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</si>
  <si>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</si>
  <si>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</si>
  <si>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</si>
  <si>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</si>
  <si>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</si>
  <si>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</si>
  <si>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</si>
  <si>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</si>
  <si>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</si>
  <si>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</si>
  <si>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</si>
  <si>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</si>
  <si>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</si>
  <si>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</si>
  <si>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</si>
  <si>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</si>
  <si>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</si>
  <si>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</si>
  <si>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</si>
  <si>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</si>
  <si>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</si>
  <si>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</si>
  <si>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KPI</t>
  </si>
  <si>
    <t>Value</t>
  </si>
  <si>
    <t>Total Customers</t>
  </si>
  <si>
    <t>Churned Customers</t>
  </si>
  <si>
    <t>Churn Rate</t>
  </si>
  <si>
    <t>Average Monthly Charges</t>
  </si>
  <si>
    <t>Revenue at Risk</t>
  </si>
  <si>
    <t>CUSTOMER CHURN KPI DASHBOARD</t>
  </si>
  <si>
    <t>Check</t>
  </si>
  <si>
    <t>Result</t>
  </si>
  <si>
    <t>Total Rows</t>
  </si>
  <si>
    <t>Total Columns</t>
  </si>
  <si>
    <t>Duplicate Customer IDs</t>
  </si>
  <si>
    <t>Missing Customer IDs</t>
  </si>
  <si>
    <t>Missing Churn</t>
  </si>
  <si>
    <t>Invalid Age</t>
  </si>
  <si>
    <t>Negative Charges</t>
  </si>
  <si>
    <t>Row Labels</t>
  </si>
  <si>
    <t>Grand Total</t>
  </si>
  <si>
    <t>Count of CustomerID</t>
  </si>
  <si>
    <t>Column Labels</t>
  </si>
  <si>
    <t>TenureGroups</t>
  </si>
  <si>
    <t>0-6 Months</t>
  </si>
  <si>
    <t>13-24 Months</t>
  </si>
  <si>
    <t>25-48 Months</t>
  </si>
  <si>
    <t>49+ Months</t>
  </si>
  <si>
    <t>7-12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</si>
</sst>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10" fontId="0" fillId="0" borderId="0" xfId="1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8" fillId="33" borderId="0" xfId="0" applyFont="1" applyFill="1"/>
    <xf numFmtId="0" fontId="0" fillId="33" borderId="0" xfId="0" applyFill="1"/>
    <xf numFmtId="2" fontId="0" fillId="0" borderId="0" xfId="0" applyNumberFormat="1"/>
    <xf numFmtId="0" fontId="16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patkotwar" refreshedDate="46282.923610185186" createdVersion="8" refreshedVersion="8" minRefreshableVersion="3" recordCount="2000" xr:uid="{7771E438-0711-40CE-86E7-0F1874A729BA}">
  <cacheSource type="worksheet">
    <worksheetSource name="Table1"/>
  </cacheSource>
  <cacheFields count="14">
    <cacheField name="CustomerID" numFmtId="0">
      <sharedItems count="2000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2"/>
        <s v="CUST00443"/>
        <s v="CUST00444"/>
        <s v="CUST00445"/>
        <s v="CUST00446"/>
        <s v="CUST00447"/>
        <s v="CUST00448"/>
        <s v="CUST00449"/>
        <s v="CUST00450"/>
        <s v="CUST00451"/>
        <s v="CUST00452"/>
        <s v="CUST00453"/>
        <s v="CUST00454"/>
        <s v="CUST00455"/>
        <s v="CUST00456"/>
        <s v="CUST00457"/>
        <s v="CUST00458"/>
        <s v="CUST00459"/>
        <s v="CUST00460"/>
        <s v="CUST00461"/>
        <s v="CUST00462"/>
        <s v="CUST00463"/>
        <s v="CUST00464"/>
        <s v="CUST00465"/>
        <s v="CUST00466"/>
        <s v="CUST00467"/>
        <s v="CUST00468"/>
        <s v="CUST00469"/>
        <s v="CUST00470"/>
        <s v="CUST00471"/>
        <s v="CUST00472"/>
        <s v="CUST00473"/>
        <s v="CUST00474"/>
        <s v="CUST00475"/>
        <s v="CUST00476"/>
        <s v="CUST00477"/>
        <s v="CUST00478"/>
        <s v="CUST00479"/>
        <s v="CUST00480"/>
        <s v="CUST00481"/>
        <s v="CUST00482"/>
        <s v="CUST00483"/>
        <s v="CUST00484"/>
        <s v="CUST00485"/>
        <s v="CUST00486"/>
        <s v="CUST00487"/>
        <s v="CUST00488"/>
        <s v="CUST00489"/>
        <s v="CUST00490"/>
        <s v="CUST00491"/>
        <s v="CUST00492"/>
        <s v="CUST00493"/>
        <s v="CUST00494"/>
        <s v="CUST00495"/>
        <s v="CUST00496"/>
        <s v="CUST00497"/>
        <s v="CUST00498"/>
        <s v="CUST00499"/>
        <s v="CUST00500"/>
        <s v="CUST00501"/>
        <s v="CUST00502"/>
        <s v="CUST00503"/>
        <s v="CUST00504"/>
        <s v="CUST00505"/>
        <s v="CUST00506"/>
        <s v="CUST00507"/>
        <s v="CUST00508"/>
        <s v="CUST00509"/>
        <s v="CUST00510"/>
        <s v="CUST00511"/>
        <s v="CUST00512"/>
        <s v="CUST00513"/>
        <s v="CUST00514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5"/>
        <s v="CUST00526"/>
        <s v="CUST00527"/>
        <s v="CUST00528"/>
        <s v="CUST00529"/>
        <s v="CUST00530"/>
        <s v="CUST00531"/>
        <s v="CUST00532"/>
        <s v="CUST00533"/>
        <s v="CUST00534"/>
        <s v="CUST00535"/>
        <s v="CUST00536"/>
        <s v="CUST00537"/>
        <s v="CUST00538"/>
        <s v="CUST00539"/>
        <s v="CUST00540"/>
        <s v="CUST00541"/>
        <s v="CUST00542"/>
        <s v="CUST00543"/>
        <s v="CUST00544"/>
        <s v="CUST00545"/>
        <s v="CUST00546"/>
        <s v="CUST00547"/>
        <s v="CUST00548"/>
        <s v="CUST00549"/>
        <s v="CUST00550"/>
        <s v="CUST00551"/>
        <s v="CUST00552"/>
        <s v="CUST00553"/>
        <s v="CUST00554"/>
        <s v="CUST00555"/>
        <s v="CUST00556"/>
        <s v="CUST00557"/>
        <s v="CUST00558"/>
        <s v="CUST00559"/>
        <s v="CUST00560"/>
        <s v="CUST00561"/>
        <s v="CUST00562"/>
        <s v="CUST00563"/>
        <s v="CUST00564"/>
        <s v="CUST00565"/>
        <s v="CUST00566"/>
        <s v="CUST00567"/>
        <s v="CUST00568"/>
        <s v="CUST00569"/>
        <s v="CUST00570"/>
        <s v="CUST00571"/>
        <s v="CUST00572"/>
        <s v="CUST00573"/>
        <s v="CUST00574"/>
        <s v="CUST00575"/>
        <s v="CUST00576"/>
        <s v="CUST00577"/>
        <s v="CUST00578"/>
        <s v="CUST00579"/>
        <s v="CUST00580"/>
        <s v="CUST00581"/>
        <s v="CUST00582"/>
        <s v="CUST00583"/>
        <s v="CUST00584"/>
        <s v="CUST00585"/>
        <s v="CUST00586"/>
        <s v="CUST00587"/>
        <s v="CUST00588"/>
        <s v="CUST00589"/>
        <s v="CUST00590"/>
        <s v="CUST00591"/>
        <s v="CUST00592"/>
        <s v="CUST00593"/>
        <s v="CUST00594"/>
        <s v="CUST00595"/>
        <s v="CUST00596"/>
        <s v="CUST00597"/>
        <s v="CUST00598"/>
        <s v="CUST00599"/>
        <s v="CUST00600"/>
        <s v="CUST00601"/>
        <s v="CUST00602"/>
        <s v="CUST00603"/>
        <s v="CUST00604"/>
        <s v="CUST00605"/>
        <s v="CUST00606"/>
        <s v="CUST00607"/>
        <s v="CUST00608"/>
        <s v="CUST00609"/>
        <s v="CUST00610"/>
        <s v="CUST00611"/>
        <s v="CUST00612"/>
        <s v="CUST00613"/>
        <s v="CUST00614"/>
        <s v="CUST00615"/>
        <s v="CUST00616"/>
        <s v="CUST00617"/>
        <s v="CUST00618"/>
        <s v="CUST00619"/>
        <s v="CUST00620"/>
        <s v="CUST00621"/>
        <s v="CUST00622"/>
        <s v="CUST00623"/>
        <s v="CUST00624"/>
        <s v="CUST00625"/>
        <s v="CUST00626"/>
        <s v="CUST00627"/>
        <s v="CUST00628"/>
        <s v="CUST00629"/>
        <s v="CUST00630"/>
        <s v="CUST00631"/>
        <s v="CUST00632"/>
        <s v="CUST00633"/>
        <s v="CUST00634"/>
        <s v="CUST00635"/>
        <s v="CUST00636"/>
        <s v="CUST00637"/>
        <s v="CUST00638"/>
        <s v="CUST00639"/>
        <s v="CUST00640"/>
        <s v="CUST00641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57"/>
        <s v="CUST00658"/>
        <s v="CUST00659"/>
        <s v="CUST00660"/>
        <s v="CUST00661"/>
        <s v="CUST00662"/>
        <s v="CUST00663"/>
        <s v="CUST00664"/>
        <s v="CUST00665"/>
        <s v="CUST00666"/>
        <s v="CUST00667"/>
        <s v="CUST00668"/>
        <s v="CUST00669"/>
        <s v="CUST00670"/>
        <s v="CUST00671"/>
        <s v="CUST00672"/>
        <s v="CUST00673"/>
        <s v="CUST00674"/>
        <s v="CUST00675"/>
        <s v="CUST00676"/>
        <s v="CUST00677"/>
        <s v="CUST00678"/>
        <s v="CUST00679"/>
        <s v="CUST00680"/>
        <s v="CUST00681"/>
        <s v="CUST00682"/>
        <s v="CUST00683"/>
        <s v="CUST00684"/>
        <s v="CUST00685"/>
        <s v="CUST00686"/>
        <s v="CUST00687"/>
        <s v="CUST00688"/>
        <s v="CUST00689"/>
        <s v="CUST00690"/>
        <s v="CUST00691"/>
        <s v="CUST00692"/>
        <s v="CUST00693"/>
        <s v="CUST00694"/>
        <s v="CUST00695"/>
        <s v="CUST00696"/>
        <s v="CUST00697"/>
        <s v="CUST00698"/>
        <s v="CUST00699"/>
        <s v="CUST00700"/>
        <s v="CUST00701"/>
        <s v="CUST00702"/>
        <s v="CUST00703"/>
        <s v="CUST00704"/>
        <s v="CUST00705"/>
        <s v="CUST00706"/>
        <s v="CUST00707"/>
        <s v="CUST00708"/>
        <s v="CUST00709"/>
        <s v="CUST00710"/>
        <s v="CUST00711"/>
        <s v="CUST00712"/>
        <s v="CUST00713"/>
        <s v="CUST00714"/>
        <s v="CUST00715"/>
        <s v="CUST00716"/>
        <s v="CUST00717"/>
        <s v="CUST00718"/>
        <s v="CUST00719"/>
        <s v="CUST00720"/>
        <s v="CUST00721"/>
        <s v="CUST00722"/>
        <s v="CUST00723"/>
        <s v="CUST00724"/>
        <s v="CUST00725"/>
        <s v="CUST00726"/>
        <s v="CUST00727"/>
        <s v="CUST00728"/>
        <s v="CUST00729"/>
        <s v="CUST00730"/>
        <s v="CUST00731"/>
        <s v="CUST00732"/>
        <s v="CUST00733"/>
        <s v="CUST00734"/>
        <s v="CUST00735"/>
        <s v="CUST00736"/>
        <s v="CUST00737"/>
        <s v="CUST00738"/>
        <s v="CUST00739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1"/>
        <s v="CUST00752"/>
        <s v="CUST00753"/>
        <s v="CUST00754"/>
        <s v="CUST00755"/>
        <s v="CUST00756"/>
        <s v="CUST00757"/>
        <s v="CUST00758"/>
        <s v="CUST00759"/>
        <s v="CUST00760"/>
        <s v="CUST00761"/>
        <s v="CUST00762"/>
        <s v="CUST00763"/>
        <s v="CUST00764"/>
        <s v="CUST00765"/>
        <s v="CUST00766"/>
        <s v="CUST00767"/>
        <s v="CUST00768"/>
        <s v="CUST00769"/>
        <s v="CUST00770"/>
        <s v="CUST00771"/>
        <s v="CUST00772"/>
        <s v="CUST00773"/>
        <s v="CUST00774"/>
        <s v="CUST00775"/>
        <s v="CUST00776"/>
        <s v="CUST00777"/>
        <s v="CUST00778"/>
        <s v="CUST00779"/>
        <s v="CUST00780"/>
        <s v="CUST00781"/>
        <s v="CUST00782"/>
        <s v="CUST00783"/>
        <s v="CUST00784"/>
        <s v="CUST00785"/>
        <s v="CUST00786"/>
        <s v="CUST00787"/>
        <s v="CUST00788"/>
        <s v="CUST00789"/>
        <s v="CUST00790"/>
        <s v="CUST00791"/>
        <s v="CUST00792"/>
        <s v="CUST00793"/>
        <s v="CUST00794"/>
        <s v="CUST00795"/>
        <s v="CUST00796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7"/>
        <s v="CUST00808"/>
        <s v="CUST00809"/>
        <s v="CUST00810"/>
        <s v="CUST00811"/>
        <s v="CUST00812"/>
        <s v="CUST00813"/>
        <s v="CUST00814"/>
        <s v="CUST00815"/>
        <s v="CUST00816"/>
        <s v="CUST00817"/>
        <s v="CUST00818"/>
        <s v="CUST00819"/>
        <s v="CUST00820"/>
        <s v="CUST00821"/>
        <s v="CUST00822"/>
        <s v="CUST00823"/>
        <s v="CUST00824"/>
        <s v="CUST00825"/>
        <s v="CUST00826"/>
        <s v="CUST00827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0"/>
        <s v="CUST00841"/>
        <s v="CUST00842"/>
        <s v="CUST00843"/>
        <s v="CUST00844"/>
        <s v="CUST00845"/>
        <s v="CUST00846"/>
        <s v="CUST00847"/>
        <s v="CUST00848"/>
        <s v="CUST00849"/>
        <s v="CUST00850"/>
        <s v="CUST00851"/>
        <s v="CUST00852"/>
        <s v="CUST00853"/>
        <s v="CUST00854"/>
        <s v="CUST00855"/>
        <s v="CUST00856"/>
        <s v="CUST00857"/>
        <s v="CUST00858"/>
        <s v="CUST00859"/>
        <s v="CUST00860"/>
        <s v="CUST00861"/>
        <s v="CUST00862"/>
        <s v="CUST00863"/>
        <s v="CUST00864"/>
        <s v="CUST00865"/>
        <s v="CUST00866"/>
        <s v="CUST00867"/>
        <s v="CUST00868"/>
        <s v="CUST00869"/>
        <s v="CUST00870"/>
        <s v="CUST00871"/>
        <s v="CUST00872"/>
        <s v="CUST00873"/>
        <s v="CUST00874"/>
        <s v="CUST00875"/>
        <s v="CUST00876"/>
        <s v="CUST00877"/>
        <s v="CUST00878"/>
        <s v="CUST00879"/>
        <s v="CUST00880"/>
        <s v="CUST00881"/>
        <s v="CUST00882"/>
        <s v="CUST00883"/>
        <s v="CUST00884"/>
        <s v="CUST00885"/>
        <s v="CUST00886"/>
        <s v="CUST00887"/>
        <s v="CUST00888"/>
        <s v="CUST00889"/>
        <s v="CUST00890"/>
        <s v="CUST00891"/>
        <s v="CUST00892"/>
        <s v="CUST00893"/>
        <s v="CUST00894"/>
        <s v="CUST00895"/>
        <s v="CUST00896"/>
        <s v="CUST00897"/>
        <s v="CUST00898"/>
        <s v="CUST00899"/>
        <s v="CUST00900"/>
        <s v="CUST00901"/>
        <s v="CUST00902"/>
        <s v="CUST00903"/>
        <s v="CUST00904"/>
        <s v="CUST00905"/>
        <s v="CUST00906"/>
        <s v="CUST00907"/>
        <s v="CUST00908"/>
        <s v="CUST00909"/>
        <s v="CUST00910"/>
        <s v="CUST00911"/>
        <s v="CUST00912"/>
        <s v="CUST00913"/>
        <s v="CUST00914"/>
        <s v="CUST00915"/>
        <s v="CUST00916"/>
        <s v="CUST00917"/>
        <s v="CUST00918"/>
        <s v="CUST00919"/>
        <s v="CUST00920"/>
        <s v="CUST00921"/>
        <s v="CUST00922"/>
        <s v="CUST00923"/>
        <s v="CUST00924"/>
        <s v="CUST00925"/>
        <s v="CUST00926"/>
        <s v="CUST00927"/>
        <s v="CUST00928"/>
        <s v="CUST00929"/>
        <s v="CUST00930"/>
        <s v="CUST00931"/>
        <s v="CUST00932"/>
        <s v="CUST00933"/>
        <s v="CUST00934"/>
        <s v="CUST00935"/>
        <s v="CUST00936"/>
        <s v="CUST00937"/>
        <s v="CUST00938"/>
        <s v="CUST00939"/>
        <s v="CUST00940"/>
        <s v="CUST00941"/>
        <s v="CUST00942"/>
        <s v="CUST00943"/>
        <s v="CUST00944"/>
        <s v="CUST00945"/>
        <s v="CUST00946"/>
        <s v="CUST00947"/>
        <s v="CUST00948"/>
        <s v="CUST00949"/>
        <s v="CUST00950"/>
        <s v="CUST00951"/>
        <s v="CUST00952"/>
        <s v="CUST00953"/>
        <s v="CUST00954"/>
        <s v="CUST00955"/>
        <s v="CUST00956"/>
        <s v="CUST00957"/>
        <s v="CUST00958"/>
        <s v="CUST00959"/>
        <s v="CUST00960"/>
        <s v="CUST00961"/>
        <s v="CUST00962"/>
        <s v="CUST00963"/>
        <s v="CUST00964"/>
        <s v="CUST00965"/>
        <s v="CUST00966"/>
        <s v="CUST00967"/>
        <s v="CUST00968"/>
        <s v="CUST00969"/>
        <s v="CUST00970"/>
        <s v="CUST00971"/>
        <s v="CUST00972"/>
        <s v="CUST00973"/>
        <s v="CUST00974"/>
        <s v="CUST00975"/>
        <s v="CUST00976"/>
        <s v="CUST00977"/>
        <s v="CUST00978"/>
        <s v="CUST00979"/>
        <s v="CUST00980"/>
        <s v="CUST00981"/>
        <s v="CUST00982"/>
        <s v="CUST00983"/>
        <s v="CUST00984"/>
        <s v="CUST00985"/>
        <s v="CUST00986"/>
        <s v="CUST00987"/>
        <s v="CUST00988"/>
        <s v="CUST00989"/>
        <s v="CUST00990"/>
        <s v="CUST00991"/>
        <s v="CUST00992"/>
        <s v="CUST00993"/>
        <s v="CUST00994"/>
        <s v="CUST00995"/>
        <s v="CUST00996"/>
        <s v="CUST00997"/>
        <s v="CUST00998"/>
        <s v="CUST00999"/>
        <s v="CUST01000"/>
        <s v="CUST01001"/>
        <s v="CUST01002"/>
        <s v="CUST01003"/>
        <s v="CUST01004"/>
        <s v="CUST01005"/>
        <s v="CUST01006"/>
        <s v="CUST01007"/>
        <s v="CUST01008"/>
        <s v="CUST01009"/>
        <s v="CUST01010"/>
        <s v="CUST01011"/>
        <s v="CUST01012"/>
        <s v="CUST01013"/>
        <s v="CUST01014"/>
        <s v="CUST01015"/>
        <s v="CUST01016"/>
        <s v="CUST01017"/>
        <s v="CUST01018"/>
        <s v="CUST01019"/>
        <s v="CUST01020"/>
        <s v="CUST01021"/>
        <s v="CUST01022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3"/>
        <s v="CUST01034"/>
        <s v="CUST01035"/>
        <s v="CUST01036"/>
        <s v="CUST01037"/>
        <s v="CUST01038"/>
        <s v="CUST01039"/>
        <s v="CUST01040"/>
        <s v="CUST01041"/>
        <s v="CUST01042"/>
        <s v="CUST01043"/>
        <s v="CUST01044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6"/>
        <s v="CUST01057"/>
        <s v="CUST01058"/>
        <s v="CUST01059"/>
        <s v="CUST01060"/>
        <s v="CUST01061"/>
        <s v="CUST01062"/>
        <s v="CUST01063"/>
        <s v="CUST01064"/>
        <s v="CUST01065"/>
        <s v="CUST01066"/>
        <s v="CUST01067"/>
        <s v="CUST01068"/>
        <s v="CUST01069"/>
        <s v="CUST01070"/>
        <s v="CUST01071"/>
        <s v="CUST01072"/>
        <s v="CUST01073"/>
        <s v="CUST01074"/>
        <s v="CUST01075"/>
        <s v="CUST01076"/>
        <s v="CUST01077"/>
        <s v="CUST01078"/>
        <s v="CUST01079"/>
        <s v="CUST01080"/>
        <s v="CUST01081"/>
        <s v="CUST01082"/>
        <s v="CUST01083"/>
        <s v="CUST01084"/>
        <s v="CUST01085"/>
        <s v="CUST01086"/>
        <s v="CUST01087"/>
        <s v="CUST01088"/>
        <s v="CUST01089"/>
        <s v="CUST01090"/>
        <s v="CUST01091"/>
        <s v="CUST01092"/>
        <s v="CUST01093"/>
        <s v="CUST01094"/>
        <s v="CUST01095"/>
        <s v="CUST01096"/>
        <s v="CUST01097"/>
        <s v="CUST01098"/>
        <s v="CUST01099"/>
        <s v="CUST01100"/>
        <s v="CUST01101"/>
        <s v="CUST01102"/>
        <s v="CUST01103"/>
        <s v="CUST01104"/>
        <s v="CUST01105"/>
        <s v="CUST01106"/>
        <s v="CUST01107"/>
        <s v="CUST01108"/>
        <s v="CUST01109"/>
        <s v="CUST01110"/>
        <s v="CUST01111"/>
        <s v="CUST01112"/>
        <s v="CUST01113"/>
        <s v="CUST01114"/>
        <s v="CUST01115"/>
        <s v="CUST01116"/>
        <s v="CUST01117"/>
        <s v="CUST01118"/>
        <s v="CUST01119"/>
        <s v="CUST01120"/>
        <s v="CUST01121"/>
        <s v="CUST01122"/>
        <s v="CUST01123"/>
        <s v="CUST01124"/>
        <s v="CUST01125"/>
        <s v="CUST01126"/>
        <s v="CUST01127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0"/>
        <s v="CUST01141"/>
        <s v="CUST01142"/>
        <s v="CUST01143"/>
        <s v="CUST01144"/>
        <s v="CUST01145"/>
        <s v="CUST01146"/>
        <s v="CUST01147"/>
        <s v="CUST01148"/>
        <s v="CUST01149"/>
        <s v="CUST01150"/>
        <s v="CUST01151"/>
        <s v="CUST01152"/>
        <s v="CUST01153"/>
        <s v="CUST01154"/>
        <s v="CUST01155"/>
        <s v="CUST01156"/>
        <s v="CUST01157"/>
        <s v="CUST01158"/>
        <s v="CUST01159"/>
        <s v="CUST01160"/>
        <s v="CUST01161"/>
        <s v="CUST01162"/>
        <s v="CUST01163"/>
        <s v="CUST01164"/>
        <s v="CUST01165"/>
        <s v="CUST01166"/>
        <s v="CUST01167"/>
        <s v="CUST01168"/>
        <s v="CUST01169"/>
        <s v="CUST01170"/>
        <s v="CUST01171"/>
        <s v="CUST01172"/>
        <s v="CUST01173"/>
        <s v="CUST01174"/>
        <s v="CUST01175"/>
        <s v="CUST01176"/>
        <s v="CUST01177"/>
        <s v="CUST01178"/>
        <s v="CUST01179"/>
        <s v="CUST01180"/>
        <s v="CUST01181"/>
        <s v="CUST01182"/>
        <s v="CUST01183"/>
        <s v="CUST01184"/>
        <s v="CUST01185"/>
        <s v="CUST01186"/>
        <s v="CUST01187"/>
        <s v="CUST01188"/>
        <s v="CUST01189"/>
        <s v="CUST01190"/>
        <s v="CUST01191"/>
        <s v="CUST01192"/>
        <s v="CUST01193"/>
        <s v="CUST01194"/>
        <s v="CUST01195"/>
        <s v="CUST01196"/>
        <s v="CUST01197"/>
        <s v="CUST01198"/>
        <s v="CUST01199"/>
        <s v="CUST01200"/>
        <s v="CUST01201"/>
        <s v="CUST01202"/>
        <s v="CUST01203"/>
        <s v="CUST01204"/>
        <s v="CUST01205"/>
        <s v="CUST01206"/>
        <s v="CUST01207"/>
        <s v="CUST01208"/>
        <s v="CUST01209"/>
        <s v="CUST01210"/>
        <s v="CUST01211"/>
        <s v="CUST01212"/>
        <s v="CUST01213"/>
        <s v="CUST01214"/>
        <s v="CUST01215"/>
        <s v="CUST01216"/>
        <s v="CUST01217"/>
        <s v="CUST01218"/>
        <s v="CUST01219"/>
        <s v="CUST01220"/>
        <s v="CUST01221"/>
        <s v="CUST01222"/>
        <s v="CUST01223"/>
        <s v="CUST01224"/>
        <s v="CUST01225"/>
        <s v="CUST01226"/>
        <s v="CUST01227"/>
        <s v="CUST01228"/>
        <s v="CUST01229"/>
        <s v="CUST01230"/>
        <s v="CUST01231"/>
        <s v="CUST01232"/>
        <s v="CUST01233"/>
        <s v="CUST01234"/>
        <s v="CUST01235"/>
        <s v="CUST01236"/>
        <s v="CUST01237"/>
        <s v="CUST01238"/>
        <s v="CUST01239"/>
        <s v="CUST01240"/>
        <s v="CUST01241"/>
        <s v="CUST01242"/>
        <s v="CUST01243"/>
        <s v="CUST01244"/>
        <s v="CUST01245"/>
        <s v="CUST01246"/>
        <s v="CUST01247"/>
        <s v="CUST01248"/>
        <s v="CUST01249"/>
        <s v="CUST01250"/>
        <s v="CUST01251"/>
        <s v="CUST01252"/>
        <s v="CUST01253"/>
        <s v="CUST01254"/>
        <s v="CUST01255"/>
        <s v="CUST01256"/>
        <s v="CUST01257"/>
        <s v="CUST01258"/>
        <s v="CUST01259"/>
        <s v="CUST01260"/>
        <s v="CUST01261"/>
        <s v="CUST01262"/>
        <s v="CUST01263"/>
        <s v="CUST01264"/>
        <s v="CUST01265"/>
        <s v="CUST01266"/>
        <s v="CUST01267"/>
        <s v="CUST01268"/>
        <s v="CUST01269"/>
        <s v="CUST01270"/>
        <s v="CUST01271"/>
        <s v="CUST01272"/>
        <s v="CUST01273"/>
        <s v="CUST01274"/>
        <s v="CUST01275"/>
        <s v="CUST01276"/>
        <s v="CUST01277"/>
        <s v="CUST01278"/>
        <s v="CUST01279"/>
        <s v="CUST01280"/>
        <s v="CUST01281"/>
        <s v="CUST01282"/>
        <s v="CUST01283"/>
        <s v="CUST01284"/>
        <s v="CUST01285"/>
        <s v="CUST01286"/>
        <s v="CUST01287"/>
        <s v="CUST01288"/>
        <s v="CUST01289"/>
        <s v="CUST01290"/>
        <s v="CUST01291"/>
        <s v="CUST01292"/>
        <s v="CUST01293"/>
        <s v="CUST01294"/>
        <s v="CUST01295"/>
        <s v="CUST01296"/>
        <s v="CUST01297"/>
        <s v="CUST01298"/>
        <s v="CUST01299"/>
        <s v="CUST01300"/>
        <s v="CUST01301"/>
        <s v="CUST01302"/>
        <s v="CUST01303"/>
        <s v="CUST01304"/>
        <s v="CUST01305"/>
        <s v="CUST01306"/>
        <s v="CUST01307"/>
        <s v="CUST01308"/>
        <s v="CUST01309"/>
        <s v="CUST01310"/>
        <s v="CUST01311"/>
        <s v="CUST01312"/>
        <s v="CUST01313"/>
        <s v="CUST01314"/>
        <s v="CUST01315"/>
        <s v="CUST01316"/>
        <s v="CUST01317"/>
        <s v="CUST01318"/>
        <s v="CUST01319"/>
        <s v="CUST01320"/>
        <s v="CUST01321"/>
        <s v="CUST01322"/>
        <s v="CUST01323"/>
        <s v="CUST01324"/>
        <s v="CUST01325"/>
        <s v="CUST01326"/>
        <s v="CUST01327"/>
        <s v="CUST01328"/>
        <s v="CUST01329"/>
        <s v="CUST01330"/>
        <s v="CUST01331"/>
        <s v="CUST01332"/>
        <s v="CUST01333"/>
        <s v="CUST01334"/>
        <s v="CUST01335"/>
        <s v="CUST01336"/>
        <s v="CUST01337"/>
        <s v="CUST01338"/>
        <s v="CUST01339"/>
        <s v="CUST01340"/>
        <s v="CUST01341"/>
        <s v="CUST01342"/>
        <s v="CUST01343"/>
        <s v="CUST01344"/>
        <s v="CUST01345"/>
        <s v="CUST01346"/>
        <s v="CUST01347"/>
        <s v="CUST01348"/>
        <s v="CUST01349"/>
        <s v="CUST01350"/>
        <s v="CUST01351"/>
        <s v="CUST01352"/>
        <s v="CUST01353"/>
        <s v="CUST01354"/>
        <s v="CUST01355"/>
        <s v="CUST01356"/>
        <s v="CUST01357"/>
        <s v="CUST01358"/>
        <s v="CUST01359"/>
        <s v="CUST01360"/>
        <s v="CUST01361"/>
        <s v="CUST01362"/>
        <s v="CUST01363"/>
        <s v="CUST01364"/>
        <s v="CUST01365"/>
        <s v="CUST01366"/>
        <s v="CUST01367"/>
        <s v="CUST01368"/>
        <s v="CUST01369"/>
        <s v="CUST01370"/>
        <s v="CUST01371"/>
        <s v="CUST01372"/>
        <s v="CUST01373"/>
        <s v="CUST01374"/>
        <s v="CUST01375"/>
        <s v="CUST01376"/>
        <s v="CUST01377"/>
        <s v="CUST01378"/>
        <s v="CUST01379"/>
        <s v="CUST01380"/>
        <s v="CUST01381"/>
        <s v="CUST01382"/>
        <s v="CUST01383"/>
        <s v="CUST01384"/>
        <s v="CUST01385"/>
        <s v="CUST01386"/>
        <s v="CUST01387"/>
        <s v="CUST01388"/>
        <s v="CUST01389"/>
        <s v="CUST01390"/>
        <s v="CUST01391"/>
        <s v="CUST01392"/>
        <s v="CUST01393"/>
        <s v="CUST01394"/>
        <s v="CUST01395"/>
        <s v="CUST01396"/>
        <s v="CUST01397"/>
        <s v="CUST01398"/>
        <s v="CUST01399"/>
        <s v="CUST01400"/>
        <s v="CUST01401"/>
        <s v="CUST01402"/>
        <s v="CUST01403"/>
        <s v="CUST01404"/>
        <s v="CUST01405"/>
        <s v="CUST01406"/>
        <s v="CUST01407"/>
        <s v="CUST01408"/>
        <s v="CUST01409"/>
        <s v="CUST01410"/>
        <s v="CUST01411"/>
        <s v="CUST01412"/>
        <s v="CUST01413"/>
        <s v="CUST01414"/>
        <s v="CUST01415"/>
        <s v="CUST01416"/>
        <s v="CUST01417"/>
        <s v="CUST01418"/>
        <s v="CUST01419"/>
        <s v="CUST01420"/>
        <s v="CUST01421"/>
        <s v="CUST01422"/>
        <s v="CUST01423"/>
        <s v="CUST01424"/>
        <s v="CUST01425"/>
        <s v="CUST01426"/>
        <s v="CUST01427"/>
        <s v="CUST01428"/>
        <s v="CUST01429"/>
        <s v="CUST01430"/>
        <s v="CUST01431"/>
        <s v="CUST01432"/>
        <s v="CUST01433"/>
        <s v="CUST01434"/>
        <s v="CUST01435"/>
        <s v="CUST01436"/>
        <s v="CUST01437"/>
        <s v="CUST01438"/>
        <s v="CUST01439"/>
        <s v="CUST01440"/>
        <s v="CUST01441"/>
        <s v="CUST01442"/>
        <s v="CUST01443"/>
        <s v="CUST01444"/>
        <s v="CUST01445"/>
        <s v="CUST01446"/>
        <s v="CUST01447"/>
        <s v="CUST01448"/>
        <s v="CUST01449"/>
        <s v="CUST01450"/>
        <s v="CUST01451"/>
        <s v="CUST01452"/>
        <s v="CUST01453"/>
        <s v="CUST01454"/>
        <s v="CUST01455"/>
        <s v="CUST01456"/>
        <s v="CUST01457"/>
        <s v="CUST01458"/>
        <s v="CUST01459"/>
        <s v="CUST01460"/>
        <s v="CUST01461"/>
        <s v="CUST01462"/>
        <s v="CUST01463"/>
        <s v="CUST01464"/>
        <s v="CUST01465"/>
        <s v="CUST01466"/>
        <s v="CUST01467"/>
        <s v="CUST01468"/>
        <s v="CUST01469"/>
        <s v="CUST01470"/>
        <s v="CUST01471"/>
        <s v="CUST01472"/>
        <s v="CUST01473"/>
        <s v="CUST01474"/>
        <s v="CUST01475"/>
        <s v="CUST01476"/>
        <s v="CUST01477"/>
        <s v="CUST01478"/>
        <s v="CUST01479"/>
        <s v="CUST01480"/>
        <s v="CUST01481"/>
        <s v="CUST01482"/>
        <s v="CUST01483"/>
        <s v="CUST01484"/>
        <s v="CUST01485"/>
        <s v="CUST01486"/>
        <s v="CUST01487"/>
        <s v="CUST01488"/>
        <s v="CUST01489"/>
        <s v="CUST01490"/>
        <s v="CUST01491"/>
        <s v="CUST01492"/>
        <s v="CUST01493"/>
        <s v="CUST01494"/>
        <s v="CUST01495"/>
        <s v="CUST01496"/>
        <s v="CUST01497"/>
        <s v="CUST01498"/>
        <s v="CUST01499"/>
        <s v="CUST01500"/>
        <s v="CUST01501"/>
        <s v="CUST01502"/>
        <s v="CUST01503"/>
        <s v="CUST01504"/>
        <s v="CUST01505"/>
        <s v="CUST01506"/>
        <s v="CUST01507"/>
        <s v="CUST01508"/>
        <s v="CUST01509"/>
        <s v="CUST01510"/>
        <s v="CUST01511"/>
        <s v="CUST01512"/>
        <s v="CUST01513"/>
        <s v="CUST01514"/>
        <s v="CUST01515"/>
        <s v="CUST01516"/>
        <s v="CUST01517"/>
        <s v="CUST01518"/>
        <s v="CUST01519"/>
        <s v="CUST01520"/>
        <s v="CUST01521"/>
        <s v="CUST01522"/>
        <s v="CUST01523"/>
        <s v="CUST01524"/>
        <s v="CUST01525"/>
        <s v="CUST01526"/>
        <s v="CUST01527"/>
        <s v="CUST01528"/>
        <s v="CUST01529"/>
        <s v="CUST01530"/>
        <s v="CUST01531"/>
        <s v="CUST01532"/>
        <s v="CUST01533"/>
        <s v="CUST01534"/>
        <s v="CUST01535"/>
        <s v="CUST01536"/>
        <s v="CUST01537"/>
        <s v="CUST01538"/>
        <s v="CUST01539"/>
        <s v="CUST01540"/>
        <s v="CUST01541"/>
        <s v="CUST01542"/>
        <s v="CUST01543"/>
        <s v="CUST01544"/>
        <s v="CUST01545"/>
        <s v="CUST01546"/>
        <s v="CUST01547"/>
        <s v="CUST01548"/>
        <s v="CUST01549"/>
        <s v="CUST01550"/>
        <s v="CUST01551"/>
        <s v="CUST01552"/>
        <s v="CUST01553"/>
        <s v="CUST01554"/>
        <s v="CUST01555"/>
        <s v="CUST01556"/>
        <s v="CUST01557"/>
        <s v="CUST01558"/>
        <s v="CUST01559"/>
        <s v="CUST01560"/>
        <s v="CUST01561"/>
        <s v="CUST01562"/>
        <s v="CUST01563"/>
        <s v="CUST01564"/>
        <s v="CUST01565"/>
        <s v="CUST01566"/>
        <s v="CUST01567"/>
        <s v="CUST01568"/>
        <s v="CUST01569"/>
        <s v="CUST01570"/>
        <s v="CUST01571"/>
        <s v="CUST01572"/>
        <s v="CUST01573"/>
        <s v="CUST01574"/>
        <s v="CUST01575"/>
        <s v="CUST01576"/>
        <s v="CUST01577"/>
        <s v="CUST01578"/>
        <s v="CUST01579"/>
        <s v="CUST01580"/>
        <s v="CUST01581"/>
        <s v="CUST01582"/>
        <s v="CUST01583"/>
        <s v="CUST01584"/>
        <s v="CUST01585"/>
        <s v="CUST01586"/>
        <s v="CUST01587"/>
        <s v="CUST01588"/>
        <s v="CUST01589"/>
        <s v="CUST01590"/>
        <s v="CUST01591"/>
        <s v="CUST01592"/>
        <s v="CUST01593"/>
        <s v="CUST01594"/>
        <s v="CUST01595"/>
        <s v="CUST01596"/>
        <s v="CUST01597"/>
        <s v="CUST01598"/>
        <s v="CUST01599"/>
        <s v="CUST01600"/>
        <s v="CUST01601"/>
        <s v="CUST01602"/>
        <s v="CUST01603"/>
        <s v="CUST01604"/>
        <s v="CUST01605"/>
        <s v="CUST01606"/>
        <s v="CUST01607"/>
        <s v="CUST01608"/>
        <s v="CUST01609"/>
        <s v="CUST01610"/>
        <s v="CUST01611"/>
        <s v="CUST01612"/>
        <s v="CUST01613"/>
        <s v="CUST01614"/>
        <s v="CUST01615"/>
        <s v="CUST01616"/>
        <s v="CUST01617"/>
        <s v="CUST01618"/>
        <s v="CUST01619"/>
        <s v="CUST01620"/>
        <s v="CUST01621"/>
        <s v="CUST01622"/>
        <s v="CUST01623"/>
        <s v="CUST01624"/>
        <s v="CUST01625"/>
        <s v="CUST01626"/>
        <s v="CUST01627"/>
        <s v="CUST01628"/>
        <s v="CUST01629"/>
        <s v="CUST01630"/>
        <s v="CUST01631"/>
        <s v="CUST01632"/>
        <s v="CUST01633"/>
        <s v="CUST01634"/>
        <s v="CUST01635"/>
        <s v="CUST01636"/>
        <s v="CUST01637"/>
        <s v="CUST01638"/>
        <s v="CUST01639"/>
        <s v="CUST01640"/>
        <s v="CUST01641"/>
        <s v="CUST01642"/>
        <s v="CUST01643"/>
        <s v="CUST01644"/>
        <s v="CUST01645"/>
        <s v="CUST01646"/>
        <s v="CUST01647"/>
        <s v="CUST01648"/>
        <s v="CUST01649"/>
        <s v="CUST01650"/>
        <s v="CUST01651"/>
        <s v="CUST01652"/>
        <s v="CUST01653"/>
        <s v="CUST01654"/>
        <s v="CUST01655"/>
        <s v="CUST01656"/>
        <s v="CUST01657"/>
        <s v="CUST01658"/>
        <s v="CUST01659"/>
        <s v="CUST01660"/>
        <s v="CUST01661"/>
        <s v="CUST01662"/>
        <s v="CUST01663"/>
        <s v="CUST01664"/>
        <s v="CUST01665"/>
        <s v="CUST01666"/>
        <s v="CUST01667"/>
        <s v="CUST01668"/>
        <s v="CUST01669"/>
        <s v="CUST01670"/>
        <s v="CUST01671"/>
        <s v="CUST01672"/>
        <s v="CUST01673"/>
        <s v="CUST01674"/>
        <s v="CUST01675"/>
        <s v="CUST01676"/>
        <s v="CUST01677"/>
        <s v="CUST01678"/>
        <s v="CUST01679"/>
        <s v="CUST01680"/>
        <s v="CUST01681"/>
        <s v="CUST01682"/>
        <s v="CUST01683"/>
        <s v="CUST01684"/>
        <s v="CUST01685"/>
        <s v="CUST01686"/>
        <s v="CUST01687"/>
        <s v="CUST01688"/>
        <s v="CUST01689"/>
        <s v="CUST01690"/>
        <s v="CUST01691"/>
        <s v="CUST01692"/>
        <s v="CUST01693"/>
        <s v="CUST01694"/>
        <s v="CUST01695"/>
        <s v="CUST01696"/>
        <s v="CUST01697"/>
        <s v="CUST01698"/>
        <s v="CUST01699"/>
        <s v="CUST01700"/>
        <s v="CUST01701"/>
        <s v="CUST01702"/>
        <s v="CUST01703"/>
        <s v="CUST01704"/>
        <s v="CUST01705"/>
        <s v="CUST01706"/>
        <s v="CUST01707"/>
        <s v="CUST01708"/>
        <s v="CUST01709"/>
        <s v="CUST01710"/>
        <s v="CUST01711"/>
        <s v="CUST01712"/>
        <s v="CUST01713"/>
        <s v="CUST01714"/>
        <s v="CUST01715"/>
        <s v="CUST01716"/>
        <s v="CUST01717"/>
        <s v="CUST01718"/>
        <s v="CUST01719"/>
        <s v="CUST01720"/>
        <s v="CUST01721"/>
        <s v="CUST01722"/>
        <s v="CUST01723"/>
        <s v="CUST01724"/>
        <s v="CUST01725"/>
        <s v="CUST01726"/>
        <s v="CUST01727"/>
        <s v="CUST01728"/>
        <s v="CUST01729"/>
        <s v="CUST01730"/>
        <s v="CUST01731"/>
        <s v="CUST01732"/>
        <s v="CUST01733"/>
        <s v="CUST01734"/>
        <s v="CUST01735"/>
        <s v="CUST01736"/>
        <s v="CUST01737"/>
        <s v="CUST01738"/>
        <s v="CUST01739"/>
        <s v="CUST01740"/>
        <s v="CUST01741"/>
        <s v="CUST01742"/>
        <s v="CUST01743"/>
        <s v="CUST01744"/>
        <s v="CUST01745"/>
        <s v="CUST01746"/>
        <s v="CUST01747"/>
        <s v="CUST01748"/>
        <s v="CUST01749"/>
        <s v="CUST01750"/>
        <s v="CUST01751"/>
        <s v="CUST01752"/>
        <s v="CUST01753"/>
        <s v="CUST01754"/>
        <s v="CUST01755"/>
        <s v="CUST01756"/>
        <s v="CUST01757"/>
        <s v="CUST01758"/>
        <s v="CUST01759"/>
        <s v="CUST01760"/>
        <s v="CUST01761"/>
        <s v="CUST01762"/>
        <s v="CUST01763"/>
        <s v="CUST01764"/>
        <s v="CUST01765"/>
        <s v="CUST01766"/>
        <s v="CUST01767"/>
        <s v="CUST01768"/>
        <s v="CUST01769"/>
        <s v="CUST01770"/>
        <s v="CUST01771"/>
        <s v="CUST01772"/>
        <s v="CUST01773"/>
        <s v="CUST01774"/>
        <s v="CUST01775"/>
        <s v="CUST01776"/>
        <s v="CUST01777"/>
        <s v="CUST01778"/>
        <s v="CUST01779"/>
        <s v="CUST01780"/>
        <s v="CUST01781"/>
        <s v="CUST01782"/>
        <s v="CUST01783"/>
        <s v="CUST01784"/>
        <s v="CUST01785"/>
        <s v="CUST01786"/>
        <s v="CUST01787"/>
        <s v="CUST01788"/>
        <s v="CUST01789"/>
        <s v="CUST01790"/>
        <s v="CUST01791"/>
        <s v="CUST01792"/>
        <s v="CUST01793"/>
        <s v="CUST01794"/>
        <s v="CUST01795"/>
        <s v="CUST01796"/>
        <s v="CUST01797"/>
        <s v="CUST01798"/>
        <s v="CUST01799"/>
        <s v="CUST01800"/>
        <s v="CUST01801"/>
        <s v="CUST01802"/>
        <s v="CUST01803"/>
        <s v="CUST01804"/>
        <s v="CUST01805"/>
        <s v="CUST01806"/>
        <s v="CUST01807"/>
        <s v="CUST01808"/>
        <s v="CUST01809"/>
        <s v="CUST01810"/>
        <s v="CUST01811"/>
        <s v="CUST01812"/>
        <s v="CUST01813"/>
        <s v="CUST01814"/>
        <s v="CUST01815"/>
        <s v="CUST01816"/>
        <s v="CUST01817"/>
        <s v="CUST01818"/>
        <s v="CUST01819"/>
        <s v="CUST01820"/>
        <s v="CUST01821"/>
        <s v="CUST01822"/>
        <s v="CUST01823"/>
        <s v="CUST01824"/>
        <s v="CUST01825"/>
        <s v="CUST01826"/>
        <s v="CUST01827"/>
        <s v="CUST01828"/>
        <s v="CUST01829"/>
        <s v="CUST01830"/>
        <s v="CUST01831"/>
        <s v="CUST01832"/>
        <s v="CUST01833"/>
        <s v="CUST01834"/>
        <s v="CUST01835"/>
        <s v="CUST01836"/>
        <s v="CUST01837"/>
        <s v="CUST01838"/>
        <s v="CUST01839"/>
        <s v="CUST01840"/>
        <s v="CUST01841"/>
        <s v="CUST01842"/>
        <s v="CUST01843"/>
        <s v="CUST01844"/>
        <s v="CUST01845"/>
        <s v="CUST01846"/>
        <s v="CUST01847"/>
        <s v="CUST01848"/>
        <s v="CUST01849"/>
        <s v="CUST01850"/>
        <s v="CUST01851"/>
        <s v="CUST01852"/>
        <s v="CUST01853"/>
        <s v="CUST01854"/>
        <s v="CUST01855"/>
        <s v="CUST01856"/>
        <s v="CUST01857"/>
        <s v="CUST01858"/>
        <s v="CUST01859"/>
        <s v="CUST01860"/>
        <s v="CUST01861"/>
        <s v="CUST01862"/>
        <s v="CUST01863"/>
        <s v="CUST01864"/>
        <s v="CUST01865"/>
        <s v="CUST01866"/>
        <s v="CUST01867"/>
        <s v="CUST01868"/>
        <s v="CUST01869"/>
        <s v="CUST01870"/>
        <s v="CUST01871"/>
        <s v="CUST01872"/>
        <s v="CUST01873"/>
        <s v="CUST01874"/>
        <s v="CUST01875"/>
        <s v="CUST01876"/>
        <s v="CUST01877"/>
        <s v="CUST01878"/>
        <s v="CUST01879"/>
        <s v="CUST01880"/>
        <s v="CUST01881"/>
        <s v="CUST01882"/>
        <s v="CUST01883"/>
        <s v="CUST01884"/>
        <s v="CUST01885"/>
        <s v="CUST01886"/>
        <s v="CUST01887"/>
        <s v="CUST01888"/>
        <s v="CUST01889"/>
        <s v="CUST01890"/>
        <s v="CUST01891"/>
        <s v="CUST01892"/>
        <s v="CUST01893"/>
        <s v="CUST01894"/>
        <s v="CUST01895"/>
        <s v="CUST01896"/>
        <s v="CUST01897"/>
        <s v="CUST01898"/>
        <s v="CUST01899"/>
        <s v="CUST01900"/>
        <s v="CUST01901"/>
        <s v="CUST01902"/>
        <s v="CUST01903"/>
        <s v="CUST01904"/>
        <s v="CUST01905"/>
        <s v="CUST01906"/>
        <s v="CUST01907"/>
        <s v="CUST01908"/>
        <s v="CUST01909"/>
        <s v="CUST01910"/>
        <s v="CUST01911"/>
        <s v="CUST01912"/>
        <s v="CUST01913"/>
        <s v="CUST01914"/>
        <s v="CUST01915"/>
        <s v="CUST01916"/>
        <s v="CUST01917"/>
        <s v="CUST01918"/>
        <s v="CUST01919"/>
        <s v="CUST01920"/>
        <s v="CUST01921"/>
        <s v="CUST01922"/>
        <s v="CUST01923"/>
        <s v="CUST01924"/>
        <s v="CUST01925"/>
        <s v="CUST01926"/>
        <s v="CUST01927"/>
        <s v="CUST01928"/>
        <s v="CUST01929"/>
        <s v="CUST01930"/>
        <s v="CUST01931"/>
        <s v="CUST01932"/>
        <s v="CUST01933"/>
        <s v="CUST01934"/>
        <s v="CUST01935"/>
        <s v="CUST01936"/>
        <s v="CUST01937"/>
        <s v="CUST01938"/>
        <s v="CUST01939"/>
        <s v="CUST01940"/>
        <s v="CUST01941"/>
        <s v="CUST01942"/>
        <s v="CUST01943"/>
        <s v="CUST01944"/>
        <s v="CUST01945"/>
        <s v="CUST01946"/>
        <s v="CUST01947"/>
        <s v="CUST01948"/>
        <s v="CUST01949"/>
        <s v="CUST01950"/>
        <s v="CUST01951"/>
        <s v="CUST01952"/>
        <s v="CUST01953"/>
        <s v="CUST01954"/>
        <s v="CUST01955"/>
        <s v="CUST01956"/>
        <s v="CUST01957"/>
        <s v="CUST01958"/>
        <s v="CUST01959"/>
        <s v="CUST01960"/>
        <s v="CUST01961"/>
        <s v="CUST01962"/>
        <s v="CUST01963"/>
        <s v="CUST01964"/>
        <s v="CUST01965"/>
        <s v="CUST01966"/>
        <s v="CUST01967"/>
        <s v="CUST01968"/>
        <s v="CUST01969"/>
        <s v="CUST01970"/>
        <s v="CUST01971"/>
        <s v="CUST01972"/>
        <s v="CUST01973"/>
        <s v="CUST01974"/>
        <s v="CUST01975"/>
        <s v="CUST01976"/>
        <s v="CUST01977"/>
        <s v="CUST01978"/>
        <s v="CUST01979"/>
        <s v="CUST01980"/>
        <s v="CUST01981"/>
        <s v="CUST01982"/>
        <s v="CUST01983"/>
        <s v="CUST01984"/>
        <s v="CUST01985"/>
        <s v="CUST01986"/>
        <s v="CUST01987"/>
        <s v="CUST01988"/>
        <s v="CUST01989"/>
        <s v="CUST01990"/>
        <s v="CUST01991"/>
        <s v="CUST01992"/>
        <s v="CUST01993"/>
        <s v="CUST01994"/>
        <s v="CUST01995"/>
        <s v="CUST01996"/>
        <s v="CUST01997"/>
        <s v="CUST01998"/>
        <s v="CUST01999"/>
        <s v="CUST0200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75"/>
    </cacheField>
    <cacheField name="SeniorCitizen" numFmtId="0">
      <sharedItems/>
    </cacheField>
    <cacheField name="TenureMonths" numFmtId="0">
      <sharedItems containsSemiMixedTypes="0" containsString="0" containsNumber="1" containsInteger="1" minValue="1" maxValue="72" count="72">
        <n v="70"/>
        <n v="12"/>
        <n v="2"/>
        <n v="7"/>
        <n v="3"/>
        <n v="27"/>
        <n v="40"/>
        <n v="33"/>
        <n v="1"/>
        <n v="8"/>
        <n v="32"/>
        <n v="48"/>
        <n v="4"/>
        <n v="19"/>
        <n v="9"/>
        <n v="11"/>
        <n v="46"/>
        <n v="16"/>
        <n v="63"/>
        <n v="21"/>
        <n v="30"/>
        <n v="13"/>
        <n v="34"/>
        <n v="28"/>
        <n v="59"/>
        <n v="69"/>
        <n v="25"/>
        <n v="68"/>
        <n v="20"/>
        <n v="26"/>
        <n v="5"/>
        <n v="61"/>
        <n v="50"/>
        <n v="6"/>
        <n v="60"/>
        <n v="44"/>
        <n v="66"/>
        <n v="47"/>
        <n v="62"/>
        <n v="35"/>
        <n v="52"/>
        <n v="41"/>
        <n v="51"/>
        <n v="58"/>
        <n v="57"/>
        <n v="23"/>
        <n v="22"/>
        <n v="17"/>
        <n v="15"/>
        <n v="39"/>
        <n v="72"/>
        <n v="67"/>
        <n v="38"/>
        <n v="53"/>
        <n v="14"/>
        <n v="42"/>
        <n v="45"/>
        <n v="71"/>
        <n v="36"/>
        <n v="64"/>
        <n v="55"/>
        <n v="65"/>
        <n v="54"/>
        <n v="29"/>
        <n v="56"/>
        <n v="49"/>
        <n v="43"/>
        <n v="37"/>
        <n v="18"/>
        <n v="10"/>
        <n v="24"/>
        <n v="31"/>
      </sharedItems>
    </cacheField>
    <cacheField name="Contract" numFmtId="0">
      <sharedItems count="3">
        <s v="Month-to-month"/>
        <s v="One year"/>
        <s v="Two year"/>
      </sharedItems>
    </cacheField>
    <cacheField name="InternetService" numFmtId="0">
      <sharedItems count="3">
        <s v="Fiber optic"/>
        <s v="No"/>
        <s v="DSL"/>
      </sharedItems>
    </cacheField>
    <cacheField name="PaymentMethod" numFmtId="0">
      <sharedItems count="4">
        <s v="Mailed check"/>
        <s v="Electronic check"/>
        <s v="Credit card"/>
        <s v="Bank transfer"/>
      </sharedItems>
    </cacheField>
    <cacheField name="TechSupport" numFmtId="0">
      <sharedItems/>
    </cacheField>
    <cacheField name="OnlineSecurity" numFmtId="0">
      <sharedItems/>
    </cacheField>
    <cacheField name="NumServices" numFmtId="0">
      <sharedItems containsSemiMixedTypes="0" containsString="0" containsNumber="1" containsInteger="1" minValue="1" maxValue="8"/>
    </cacheField>
    <cacheField name="MonthlyCharges" numFmtId="2">
      <sharedItems containsSemiMixedTypes="0" containsString="0" containsNumber="1" minValue="20" maxValue="109.72"/>
    </cacheField>
    <cacheField name="TotalCharges" numFmtId="2">
      <sharedItems containsSemiMixedTypes="0" containsString="0" containsNumber="1" minValue="27.93" maxValue="7219.48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patkotwar" refreshedDate="46282.938761342593" createdVersion="8" refreshedVersion="8" minRefreshableVersion="3" recordCount="2000" xr:uid="{1CE7279A-2A1F-4DF7-9F8A-C7878080389D}">
  <cacheSource type="worksheet">
    <worksheetSource name="Table1"/>
  </cacheSource>
  <cacheFields count="15">
    <cacheField name="CustomerID" numFmtId="0">
      <sharedItems count="2000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2"/>
        <s v="CUST00443"/>
        <s v="CUST00444"/>
        <s v="CUST00445"/>
        <s v="CUST00446"/>
        <s v="CUST00447"/>
        <s v="CUST00448"/>
        <s v="CUST00449"/>
        <s v="CUST00450"/>
        <s v="CUST00451"/>
        <s v="CUST00452"/>
        <s v="CUST00453"/>
        <s v="CUST00454"/>
        <s v="CUST00455"/>
        <s v="CUST00456"/>
        <s v="CUST00457"/>
        <s v="CUST00458"/>
        <s v="CUST00459"/>
        <s v="CUST00460"/>
        <s v="CUST00461"/>
        <s v="CUST00462"/>
        <s v="CUST00463"/>
        <s v="CUST00464"/>
        <s v="CUST00465"/>
        <s v="CUST00466"/>
        <s v="CUST00467"/>
        <s v="CUST00468"/>
        <s v="CUST00469"/>
        <s v="CUST00470"/>
        <s v="CUST00471"/>
        <s v="CUST00472"/>
        <s v="CUST00473"/>
        <s v="CUST00474"/>
        <s v="CUST00475"/>
        <s v="CUST00476"/>
        <s v="CUST00477"/>
        <s v="CUST00478"/>
        <s v="CUST00479"/>
        <s v="CUST00480"/>
        <s v="CUST00481"/>
        <s v="CUST00482"/>
        <s v="CUST00483"/>
        <s v="CUST00484"/>
        <s v="CUST00485"/>
        <s v="CUST00486"/>
        <s v="CUST00487"/>
        <s v="CUST00488"/>
        <s v="CUST00489"/>
        <s v="CUST00490"/>
        <s v="CUST00491"/>
        <s v="CUST00492"/>
        <s v="CUST00493"/>
        <s v="CUST00494"/>
        <s v="CUST00495"/>
        <s v="CUST00496"/>
        <s v="CUST00497"/>
        <s v="CUST00498"/>
        <s v="CUST00499"/>
        <s v="CUST00500"/>
        <s v="CUST00501"/>
        <s v="CUST00502"/>
        <s v="CUST00503"/>
        <s v="CUST00504"/>
        <s v="CUST00505"/>
        <s v="CUST00506"/>
        <s v="CUST00507"/>
        <s v="CUST00508"/>
        <s v="CUST00509"/>
        <s v="CUST00510"/>
        <s v="CUST00511"/>
        <s v="CUST00512"/>
        <s v="CUST00513"/>
        <s v="CUST00514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5"/>
        <s v="CUST00526"/>
        <s v="CUST00527"/>
        <s v="CUST00528"/>
        <s v="CUST00529"/>
        <s v="CUST00530"/>
        <s v="CUST00531"/>
        <s v="CUST00532"/>
        <s v="CUST00533"/>
        <s v="CUST00534"/>
        <s v="CUST00535"/>
        <s v="CUST00536"/>
        <s v="CUST00537"/>
        <s v="CUST00538"/>
        <s v="CUST00539"/>
        <s v="CUST00540"/>
        <s v="CUST00541"/>
        <s v="CUST00542"/>
        <s v="CUST00543"/>
        <s v="CUST00544"/>
        <s v="CUST00545"/>
        <s v="CUST00546"/>
        <s v="CUST00547"/>
        <s v="CUST00548"/>
        <s v="CUST00549"/>
        <s v="CUST00550"/>
        <s v="CUST00551"/>
        <s v="CUST00552"/>
        <s v="CUST00553"/>
        <s v="CUST00554"/>
        <s v="CUST00555"/>
        <s v="CUST00556"/>
        <s v="CUST00557"/>
        <s v="CUST00558"/>
        <s v="CUST00559"/>
        <s v="CUST00560"/>
        <s v="CUST00561"/>
        <s v="CUST00562"/>
        <s v="CUST00563"/>
        <s v="CUST00564"/>
        <s v="CUST00565"/>
        <s v="CUST00566"/>
        <s v="CUST00567"/>
        <s v="CUST00568"/>
        <s v="CUST00569"/>
        <s v="CUST00570"/>
        <s v="CUST00571"/>
        <s v="CUST00572"/>
        <s v="CUST00573"/>
        <s v="CUST00574"/>
        <s v="CUST00575"/>
        <s v="CUST00576"/>
        <s v="CUST00577"/>
        <s v="CUST00578"/>
        <s v="CUST00579"/>
        <s v="CUST00580"/>
        <s v="CUST00581"/>
        <s v="CUST00582"/>
        <s v="CUST00583"/>
        <s v="CUST00584"/>
        <s v="CUST00585"/>
        <s v="CUST00586"/>
        <s v="CUST00587"/>
        <s v="CUST00588"/>
        <s v="CUST00589"/>
        <s v="CUST00590"/>
        <s v="CUST00591"/>
        <s v="CUST00592"/>
        <s v="CUST00593"/>
        <s v="CUST00594"/>
        <s v="CUST00595"/>
        <s v="CUST00596"/>
        <s v="CUST00597"/>
        <s v="CUST00598"/>
        <s v="CUST00599"/>
        <s v="CUST00600"/>
        <s v="CUST00601"/>
        <s v="CUST00602"/>
        <s v="CUST00603"/>
        <s v="CUST00604"/>
        <s v="CUST00605"/>
        <s v="CUST00606"/>
        <s v="CUST00607"/>
        <s v="CUST00608"/>
        <s v="CUST00609"/>
        <s v="CUST00610"/>
        <s v="CUST00611"/>
        <s v="CUST00612"/>
        <s v="CUST00613"/>
        <s v="CUST00614"/>
        <s v="CUST00615"/>
        <s v="CUST00616"/>
        <s v="CUST00617"/>
        <s v="CUST00618"/>
        <s v="CUST00619"/>
        <s v="CUST00620"/>
        <s v="CUST00621"/>
        <s v="CUST00622"/>
        <s v="CUST00623"/>
        <s v="CUST00624"/>
        <s v="CUST00625"/>
        <s v="CUST00626"/>
        <s v="CUST00627"/>
        <s v="CUST00628"/>
        <s v="CUST00629"/>
        <s v="CUST00630"/>
        <s v="CUST00631"/>
        <s v="CUST00632"/>
        <s v="CUST00633"/>
        <s v="CUST00634"/>
        <s v="CUST00635"/>
        <s v="CUST00636"/>
        <s v="CUST00637"/>
        <s v="CUST00638"/>
        <s v="CUST00639"/>
        <s v="CUST00640"/>
        <s v="CUST00641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57"/>
        <s v="CUST00658"/>
        <s v="CUST00659"/>
        <s v="CUST00660"/>
        <s v="CUST00661"/>
        <s v="CUST00662"/>
        <s v="CUST00663"/>
        <s v="CUST00664"/>
        <s v="CUST00665"/>
        <s v="CUST00666"/>
        <s v="CUST00667"/>
        <s v="CUST00668"/>
        <s v="CUST00669"/>
        <s v="CUST00670"/>
        <s v="CUST00671"/>
        <s v="CUST00672"/>
        <s v="CUST00673"/>
        <s v="CUST00674"/>
        <s v="CUST00675"/>
        <s v="CUST00676"/>
        <s v="CUST00677"/>
        <s v="CUST00678"/>
        <s v="CUST00679"/>
        <s v="CUST00680"/>
        <s v="CUST00681"/>
        <s v="CUST00682"/>
        <s v="CUST00683"/>
        <s v="CUST00684"/>
        <s v="CUST00685"/>
        <s v="CUST00686"/>
        <s v="CUST00687"/>
        <s v="CUST00688"/>
        <s v="CUST00689"/>
        <s v="CUST00690"/>
        <s v="CUST00691"/>
        <s v="CUST00692"/>
        <s v="CUST00693"/>
        <s v="CUST00694"/>
        <s v="CUST00695"/>
        <s v="CUST00696"/>
        <s v="CUST00697"/>
        <s v="CUST00698"/>
        <s v="CUST00699"/>
        <s v="CUST00700"/>
        <s v="CUST00701"/>
        <s v="CUST00702"/>
        <s v="CUST00703"/>
        <s v="CUST00704"/>
        <s v="CUST00705"/>
        <s v="CUST00706"/>
        <s v="CUST00707"/>
        <s v="CUST00708"/>
        <s v="CUST00709"/>
        <s v="CUST00710"/>
        <s v="CUST00711"/>
        <s v="CUST00712"/>
        <s v="CUST00713"/>
        <s v="CUST00714"/>
        <s v="CUST00715"/>
        <s v="CUST00716"/>
        <s v="CUST00717"/>
        <s v="CUST00718"/>
        <s v="CUST00719"/>
        <s v="CUST00720"/>
        <s v="CUST00721"/>
        <s v="CUST00722"/>
        <s v="CUST00723"/>
        <s v="CUST00724"/>
        <s v="CUST00725"/>
        <s v="CUST00726"/>
        <s v="CUST00727"/>
        <s v="CUST00728"/>
        <s v="CUST00729"/>
        <s v="CUST00730"/>
        <s v="CUST00731"/>
        <s v="CUST00732"/>
        <s v="CUST00733"/>
        <s v="CUST00734"/>
        <s v="CUST00735"/>
        <s v="CUST00736"/>
        <s v="CUST00737"/>
        <s v="CUST00738"/>
        <s v="CUST00739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1"/>
        <s v="CUST00752"/>
        <s v="CUST00753"/>
        <s v="CUST00754"/>
        <s v="CUST00755"/>
        <s v="CUST00756"/>
        <s v="CUST00757"/>
        <s v="CUST00758"/>
        <s v="CUST00759"/>
        <s v="CUST00760"/>
        <s v="CUST00761"/>
        <s v="CUST00762"/>
        <s v="CUST00763"/>
        <s v="CUST00764"/>
        <s v="CUST00765"/>
        <s v="CUST00766"/>
        <s v="CUST00767"/>
        <s v="CUST00768"/>
        <s v="CUST00769"/>
        <s v="CUST00770"/>
        <s v="CUST00771"/>
        <s v="CUST00772"/>
        <s v="CUST00773"/>
        <s v="CUST00774"/>
        <s v="CUST00775"/>
        <s v="CUST00776"/>
        <s v="CUST00777"/>
        <s v="CUST00778"/>
        <s v="CUST00779"/>
        <s v="CUST00780"/>
        <s v="CUST00781"/>
        <s v="CUST00782"/>
        <s v="CUST00783"/>
        <s v="CUST00784"/>
        <s v="CUST00785"/>
        <s v="CUST00786"/>
        <s v="CUST00787"/>
        <s v="CUST00788"/>
        <s v="CUST00789"/>
        <s v="CUST00790"/>
        <s v="CUST00791"/>
        <s v="CUST00792"/>
        <s v="CUST00793"/>
        <s v="CUST00794"/>
        <s v="CUST00795"/>
        <s v="CUST00796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7"/>
        <s v="CUST00808"/>
        <s v="CUST00809"/>
        <s v="CUST00810"/>
        <s v="CUST00811"/>
        <s v="CUST00812"/>
        <s v="CUST00813"/>
        <s v="CUST00814"/>
        <s v="CUST00815"/>
        <s v="CUST00816"/>
        <s v="CUST00817"/>
        <s v="CUST00818"/>
        <s v="CUST00819"/>
        <s v="CUST00820"/>
        <s v="CUST00821"/>
        <s v="CUST00822"/>
        <s v="CUST00823"/>
        <s v="CUST00824"/>
        <s v="CUST00825"/>
        <s v="CUST00826"/>
        <s v="CUST00827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0"/>
        <s v="CUST00841"/>
        <s v="CUST00842"/>
        <s v="CUST00843"/>
        <s v="CUST00844"/>
        <s v="CUST00845"/>
        <s v="CUST00846"/>
        <s v="CUST00847"/>
        <s v="CUST00848"/>
        <s v="CUST00849"/>
        <s v="CUST00850"/>
        <s v="CUST00851"/>
        <s v="CUST00852"/>
        <s v="CUST00853"/>
        <s v="CUST00854"/>
        <s v="CUST00855"/>
        <s v="CUST00856"/>
        <s v="CUST00857"/>
        <s v="CUST00858"/>
        <s v="CUST00859"/>
        <s v="CUST00860"/>
        <s v="CUST00861"/>
        <s v="CUST00862"/>
        <s v="CUST00863"/>
        <s v="CUST00864"/>
        <s v="CUST00865"/>
        <s v="CUST00866"/>
        <s v="CUST00867"/>
        <s v="CUST00868"/>
        <s v="CUST00869"/>
        <s v="CUST00870"/>
        <s v="CUST00871"/>
        <s v="CUST00872"/>
        <s v="CUST00873"/>
        <s v="CUST00874"/>
        <s v="CUST00875"/>
        <s v="CUST00876"/>
        <s v="CUST00877"/>
        <s v="CUST00878"/>
        <s v="CUST00879"/>
        <s v="CUST00880"/>
        <s v="CUST00881"/>
        <s v="CUST00882"/>
        <s v="CUST00883"/>
        <s v="CUST00884"/>
        <s v="CUST00885"/>
        <s v="CUST00886"/>
        <s v="CUST00887"/>
        <s v="CUST00888"/>
        <s v="CUST00889"/>
        <s v="CUST00890"/>
        <s v="CUST00891"/>
        <s v="CUST00892"/>
        <s v="CUST00893"/>
        <s v="CUST00894"/>
        <s v="CUST00895"/>
        <s v="CUST00896"/>
        <s v="CUST00897"/>
        <s v="CUST00898"/>
        <s v="CUST00899"/>
        <s v="CUST00900"/>
        <s v="CUST00901"/>
        <s v="CUST00902"/>
        <s v="CUST00903"/>
        <s v="CUST00904"/>
        <s v="CUST00905"/>
        <s v="CUST00906"/>
        <s v="CUST00907"/>
        <s v="CUST00908"/>
        <s v="CUST00909"/>
        <s v="CUST00910"/>
        <s v="CUST00911"/>
        <s v="CUST00912"/>
        <s v="CUST00913"/>
        <s v="CUST00914"/>
        <s v="CUST00915"/>
        <s v="CUST00916"/>
        <s v="CUST00917"/>
        <s v="CUST00918"/>
        <s v="CUST00919"/>
        <s v="CUST00920"/>
        <s v="CUST00921"/>
        <s v="CUST00922"/>
        <s v="CUST00923"/>
        <s v="CUST00924"/>
        <s v="CUST00925"/>
        <s v="CUST00926"/>
        <s v="CUST00927"/>
        <s v="CUST00928"/>
        <s v="CUST00929"/>
        <s v="CUST00930"/>
        <s v="CUST00931"/>
        <s v="CUST00932"/>
        <s v="CUST00933"/>
        <s v="CUST00934"/>
        <s v="CUST00935"/>
        <s v="CUST00936"/>
        <s v="CUST00937"/>
        <s v="CUST00938"/>
        <s v="CUST00939"/>
        <s v="CUST00940"/>
        <s v="CUST00941"/>
        <s v="CUST00942"/>
        <s v="CUST00943"/>
        <s v="CUST00944"/>
        <s v="CUST00945"/>
        <s v="CUST00946"/>
        <s v="CUST00947"/>
        <s v="CUST00948"/>
        <s v="CUST00949"/>
        <s v="CUST00950"/>
        <s v="CUST00951"/>
        <s v="CUST00952"/>
        <s v="CUST00953"/>
        <s v="CUST00954"/>
        <s v="CUST00955"/>
        <s v="CUST00956"/>
        <s v="CUST00957"/>
        <s v="CUST00958"/>
        <s v="CUST00959"/>
        <s v="CUST00960"/>
        <s v="CUST00961"/>
        <s v="CUST00962"/>
        <s v="CUST00963"/>
        <s v="CUST00964"/>
        <s v="CUST00965"/>
        <s v="CUST00966"/>
        <s v="CUST00967"/>
        <s v="CUST00968"/>
        <s v="CUST00969"/>
        <s v="CUST00970"/>
        <s v="CUST00971"/>
        <s v="CUST00972"/>
        <s v="CUST00973"/>
        <s v="CUST00974"/>
        <s v="CUST00975"/>
        <s v="CUST00976"/>
        <s v="CUST00977"/>
        <s v="CUST00978"/>
        <s v="CUST00979"/>
        <s v="CUST00980"/>
        <s v="CUST00981"/>
        <s v="CUST00982"/>
        <s v="CUST00983"/>
        <s v="CUST00984"/>
        <s v="CUST00985"/>
        <s v="CUST00986"/>
        <s v="CUST00987"/>
        <s v="CUST00988"/>
        <s v="CUST00989"/>
        <s v="CUST00990"/>
        <s v="CUST00991"/>
        <s v="CUST00992"/>
        <s v="CUST00993"/>
        <s v="CUST00994"/>
        <s v="CUST00995"/>
        <s v="CUST00996"/>
        <s v="CUST00997"/>
        <s v="CUST00998"/>
        <s v="CUST00999"/>
        <s v="CUST01000"/>
        <s v="CUST01001"/>
        <s v="CUST01002"/>
        <s v="CUST01003"/>
        <s v="CUST01004"/>
        <s v="CUST01005"/>
        <s v="CUST01006"/>
        <s v="CUST01007"/>
        <s v="CUST01008"/>
        <s v="CUST01009"/>
        <s v="CUST01010"/>
        <s v="CUST01011"/>
        <s v="CUST01012"/>
        <s v="CUST01013"/>
        <s v="CUST01014"/>
        <s v="CUST01015"/>
        <s v="CUST01016"/>
        <s v="CUST01017"/>
        <s v="CUST01018"/>
        <s v="CUST01019"/>
        <s v="CUST01020"/>
        <s v="CUST01021"/>
        <s v="CUST01022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3"/>
        <s v="CUST01034"/>
        <s v="CUST01035"/>
        <s v="CUST01036"/>
        <s v="CUST01037"/>
        <s v="CUST01038"/>
        <s v="CUST01039"/>
        <s v="CUST01040"/>
        <s v="CUST01041"/>
        <s v="CUST01042"/>
        <s v="CUST01043"/>
        <s v="CUST01044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6"/>
        <s v="CUST01057"/>
        <s v="CUST01058"/>
        <s v="CUST01059"/>
        <s v="CUST01060"/>
        <s v="CUST01061"/>
        <s v="CUST01062"/>
        <s v="CUST01063"/>
        <s v="CUST01064"/>
        <s v="CUST01065"/>
        <s v="CUST01066"/>
        <s v="CUST01067"/>
        <s v="CUST01068"/>
        <s v="CUST01069"/>
        <s v="CUST01070"/>
        <s v="CUST01071"/>
        <s v="CUST01072"/>
        <s v="CUST01073"/>
        <s v="CUST01074"/>
        <s v="CUST01075"/>
        <s v="CUST01076"/>
        <s v="CUST01077"/>
        <s v="CUST01078"/>
        <s v="CUST01079"/>
        <s v="CUST01080"/>
        <s v="CUST01081"/>
        <s v="CUST01082"/>
        <s v="CUST01083"/>
        <s v="CUST01084"/>
        <s v="CUST01085"/>
        <s v="CUST01086"/>
        <s v="CUST01087"/>
        <s v="CUST01088"/>
        <s v="CUST01089"/>
        <s v="CUST01090"/>
        <s v="CUST01091"/>
        <s v="CUST01092"/>
        <s v="CUST01093"/>
        <s v="CUST01094"/>
        <s v="CUST01095"/>
        <s v="CUST01096"/>
        <s v="CUST01097"/>
        <s v="CUST01098"/>
        <s v="CUST01099"/>
        <s v="CUST01100"/>
        <s v="CUST01101"/>
        <s v="CUST01102"/>
        <s v="CUST01103"/>
        <s v="CUST01104"/>
        <s v="CUST01105"/>
        <s v="CUST01106"/>
        <s v="CUST01107"/>
        <s v="CUST01108"/>
        <s v="CUST01109"/>
        <s v="CUST01110"/>
        <s v="CUST01111"/>
        <s v="CUST01112"/>
        <s v="CUST01113"/>
        <s v="CUST01114"/>
        <s v="CUST01115"/>
        <s v="CUST01116"/>
        <s v="CUST01117"/>
        <s v="CUST01118"/>
        <s v="CUST01119"/>
        <s v="CUST01120"/>
        <s v="CUST01121"/>
        <s v="CUST01122"/>
        <s v="CUST01123"/>
        <s v="CUST01124"/>
        <s v="CUST01125"/>
        <s v="CUST01126"/>
        <s v="CUST01127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0"/>
        <s v="CUST01141"/>
        <s v="CUST01142"/>
        <s v="CUST01143"/>
        <s v="CUST01144"/>
        <s v="CUST01145"/>
        <s v="CUST01146"/>
        <s v="CUST01147"/>
        <s v="CUST01148"/>
        <s v="CUST01149"/>
        <s v="CUST01150"/>
        <s v="CUST01151"/>
        <s v="CUST01152"/>
        <s v="CUST01153"/>
        <s v="CUST01154"/>
        <s v="CUST01155"/>
        <s v="CUST01156"/>
        <s v="CUST01157"/>
        <s v="CUST01158"/>
        <s v="CUST01159"/>
        <s v="CUST01160"/>
        <s v="CUST01161"/>
        <s v="CUST01162"/>
        <s v="CUST01163"/>
        <s v="CUST01164"/>
        <s v="CUST01165"/>
        <s v="CUST01166"/>
        <s v="CUST01167"/>
        <s v="CUST01168"/>
        <s v="CUST01169"/>
        <s v="CUST01170"/>
        <s v="CUST01171"/>
        <s v="CUST01172"/>
        <s v="CUST01173"/>
        <s v="CUST01174"/>
        <s v="CUST01175"/>
        <s v="CUST01176"/>
        <s v="CUST01177"/>
        <s v="CUST01178"/>
        <s v="CUST01179"/>
        <s v="CUST01180"/>
        <s v="CUST01181"/>
        <s v="CUST01182"/>
        <s v="CUST01183"/>
        <s v="CUST01184"/>
        <s v="CUST01185"/>
        <s v="CUST01186"/>
        <s v="CUST01187"/>
        <s v="CUST01188"/>
        <s v="CUST01189"/>
        <s v="CUST01190"/>
        <s v="CUST01191"/>
        <s v="CUST01192"/>
        <s v="CUST01193"/>
        <s v="CUST01194"/>
        <s v="CUST01195"/>
        <s v="CUST01196"/>
        <s v="CUST01197"/>
        <s v="CUST01198"/>
        <s v="CUST01199"/>
        <s v="CUST01200"/>
        <s v="CUST01201"/>
        <s v="CUST01202"/>
        <s v="CUST01203"/>
        <s v="CUST01204"/>
        <s v="CUST01205"/>
        <s v="CUST01206"/>
        <s v="CUST01207"/>
        <s v="CUST01208"/>
        <s v="CUST01209"/>
        <s v="CUST01210"/>
        <s v="CUST01211"/>
        <s v="CUST01212"/>
        <s v="CUST01213"/>
        <s v="CUST01214"/>
        <s v="CUST01215"/>
        <s v="CUST01216"/>
        <s v="CUST01217"/>
        <s v="CUST01218"/>
        <s v="CUST01219"/>
        <s v="CUST01220"/>
        <s v="CUST01221"/>
        <s v="CUST01222"/>
        <s v="CUST01223"/>
        <s v="CUST01224"/>
        <s v="CUST01225"/>
        <s v="CUST01226"/>
        <s v="CUST01227"/>
        <s v="CUST01228"/>
        <s v="CUST01229"/>
        <s v="CUST01230"/>
        <s v="CUST01231"/>
        <s v="CUST01232"/>
        <s v="CUST01233"/>
        <s v="CUST01234"/>
        <s v="CUST01235"/>
        <s v="CUST01236"/>
        <s v="CUST01237"/>
        <s v="CUST01238"/>
        <s v="CUST01239"/>
        <s v="CUST01240"/>
        <s v="CUST01241"/>
        <s v="CUST01242"/>
        <s v="CUST01243"/>
        <s v="CUST01244"/>
        <s v="CUST01245"/>
        <s v="CUST01246"/>
        <s v="CUST01247"/>
        <s v="CUST01248"/>
        <s v="CUST01249"/>
        <s v="CUST01250"/>
        <s v="CUST01251"/>
        <s v="CUST01252"/>
        <s v="CUST01253"/>
        <s v="CUST01254"/>
        <s v="CUST01255"/>
        <s v="CUST01256"/>
        <s v="CUST01257"/>
        <s v="CUST01258"/>
        <s v="CUST01259"/>
        <s v="CUST01260"/>
        <s v="CUST01261"/>
        <s v="CUST01262"/>
        <s v="CUST01263"/>
        <s v="CUST01264"/>
        <s v="CUST01265"/>
        <s v="CUST01266"/>
        <s v="CUST01267"/>
        <s v="CUST01268"/>
        <s v="CUST01269"/>
        <s v="CUST01270"/>
        <s v="CUST01271"/>
        <s v="CUST01272"/>
        <s v="CUST01273"/>
        <s v="CUST01274"/>
        <s v="CUST01275"/>
        <s v="CUST01276"/>
        <s v="CUST01277"/>
        <s v="CUST01278"/>
        <s v="CUST01279"/>
        <s v="CUST01280"/>
        <s v="CUST01281"/>
        <s v="CUST01282"/>
        <s v="CUST01283"/>
        <s v="CUST01284"/>
        <s v="CUST01285"/>
        <s v="CUST01286"/>
        <s v="CUST01287"/>
        <s v="CUST01288"/>
        <s v="CUST01289"/>
        <s v="CUST01290"/>
        <s v="CUST01291"/>
        <s v="CUST01292"/>
        <s v="CUST01293"/>
        <s v="CUST01294"/>
        <s v="CUST01295"/>
        <s v="CUST01296"/>
        <s v="CUST01297"/>
        <s v="CUST01298"/>
        <s v="CUST01299"/>
        <s v="CUST01300"/>
        <s v="CUST01301"/>
        <s v="CUST01302"/>
        <s v="CUST01303"/>
        <s v="CUST01304"/>
        <s v="CUST01305"/>
        <s v="CUST01306"/>
        <s v="CUST01307"/>
        <s v="CUST01308"/>
        <s v="CUST01309"/>
        <s v="CUST01310"/>
        <s v="CUST01311"/>
        <s v="CUST01312"/>
        <s v="CUST01313"/>
        <s v="CUST01314"/>
        <s v="CUST01315"/>
        <s v="CUST01316"/>
        <s v="CUST01317"/>
        <s v="CUST01318"/>
        <s v="CUST01319"/>
        <s v="CUST01320"/>
        <s v="CUST01321"/>
        <s v="CUST01322"/>
        <s v="CUST01323"/>
        <s v="CUST01324"/>
        <s v="CUST01325"/>
        <s v="CUST01326"/>
        <s v="CUST01327"/>
        <s v="CUST01328"/>
        <s v="CUST01329"/>
        <s v="CUST01330"/>
        <s v="CUST01331"/>
        <s v="CUST01332"/>
        <s v="CUST01333"/>
        <s v="CUST01334"/>
        <s v="CUST01335"/>
        <s v="CUST01336"/>
        <s v="CUST01337"/>
        <s v="CUST01338"/>
        <s v="CUST01339"/>
        <s v="CUST01340"/>
        <s v="CUST01341"/>
        <s v="CUST01342"/>
        <s v="CUST01343"/>
        <s v="CUST01344"/>
        <s v="CUST01345"/>
        <s v="CUST01346"/>
        <s v="CUST01347"/>
        <s v="CUST01348"/>
        <s v="CUST01349"/>
        <s v="CUST01350"/>
        <s v="CUST01351"/>
        <s v="CUST01352"/>
        <s v="CUST01353"/>
        <s v="CUST01354"/>
        <s v="CUST01355"/>
        <s v="CUST01356"/>
        <s v="CUST01357"/>
        <s v="CUST01358"/>
        <s v="CUST01359"/>
        <s v="CUST01360"/>
        <s v="CUST01361"/>
        <s v="CUST01362"/>
        <s v="CUST01363"/>
        <s v="CUST01364"/>
        <s v="CUST01365"/>
        <s v="CUST01366"/>
        <s v="CUST01367"/>
        <s v="CUST01368"/>
        <s v="CUST01369"/>
        <s v="CUST01370"/>
        <s v="CUST01371"/>
        <s v="CUST01372"/>
        <s v="CUST01373"/>
        <s v="CUST01374"/>
        <s v="CUST01375"/>
        <s v="CUST01376"/>
        <s v="CUST01377"/>
        <s v="CUST01378"/>
        <s v="CUST01379"/>
        <s v="CUST01380"/>
        <s v="CUST01381"/>
        <s v="CUST01382"/>
        <s v="CUST01383"/>
        <s v="CUST01384"/>
        <s v="CUST01385"/>
        <s v="CUST01386"/>
        <s v="CUST01387"/>
        <s v="CUST01388"/>
        <s v="CUST01389"/>
        <s v="CUST01390"/>
        <s v="CUST01391"/>
        <s v="CUST01392"/>
        <s v="CUST01393"/>
        <s v="CUST01394"/>
        <s v="CUST01395"/>
        <s v="CUST01396"/>
        <s v="CUST01397"/>
        <s v="CUST01398"/>
        <s v="CUST01399"/>
        <s v="CUST01400"/>
        <s v="CUST01401"/>
        <s v="CUST01402"/>
        <s v="CUST01403"/>
        <s v="CUST01404"/>
        <s v="CUST01405"/>
        <s v="CUST01406"/>
        <s v="CUST01407"/>
        <s v="CUST01408"/>
        <s v="CUST01409"/>
        <s v="CUST01410"/>
        <s v="CUST01411"/>
        <s v="CUST01412"/>
        <s v="CUST01413"/>
        <s v="CUST01414"/>
        <s v="CUST01415"/>
        <s v="CUST01416"/>
        <s v="CUST01417"/>
        <s v="CUST01418"/>
        <s v="CUST01419"/>
        <s v="CUST01420"/>
        <s v="CUST01421"/>
        <s v="CUST01422"/>
        <s v="CUST01423"/>
        <s v="CUST01424"/>
        <s v="CUST01425"/>
        <s v="CUST01426"/>
        <s v="CUST01427"/>
        <s v="CUST01428"/>
        <s v="CUST01429"/>
        <s v="CUST01430"/>
        <s v="CUST01431"/>
        <s v="CUST01432"/>
        <s v="CUST01433"/>
        <s v="CUST01434"/>
        <s v="CUST01435"/>
        <s v="CUST01436"/>
        <s v="CUST01437"/>
        <s v="CUST01438"/>
        <s v="CUST01439"/>
        <s v="CUST01440"/>
        <s v="CUST01441"/>
        <s v="CUST01442"/>
        <s v="CUST01443"/>
        <s v="CUST01444"/>
        <s v="CUST01445"/>
        <s v="CUST01446"/>
        <s v="CUST01447"/>
        <s v="CUST01448"/>
        <s v="CUST01449"/>
        <s v="CUST01450"/>
        <s v="CUST01451"/>
        <s v="CUST01452"/>
        <s v="CUST01453"/>
        <s v="CUST01454"/>
        <s v="CUST01455"/>
        <s v="CUST01456"/>
        <s v="CUST01457"/>
        <s v="CUST01458"/>
        <s v="CUST01459"/>
        <s v="CUST01460"/>
        <s v="CUST01461"/>
        <s v="CUST01462"/>
        <s v="CUST01463"/>
        <s v="CUST01464"/>
        <s v="CUST01465"/>
        <s v="CUST01466"/>
        <s v="CUST01467"/>
        <s v="CUST01468"/>
        <s v="CUST01469"/>
        <s v="CUST01470"/>
        <s v="CUST01471"/>
        <s v="CUST01472"/>
        <s v="CUST01473"/>
        <s v="CUST01474"/>
        <s v="CUST01475"/>
        <s v="CUST01476"/>
        <s v="CUST01477"/>
        <s v="CUST01478"/>
        <s v="CUST01479"/>
        <s v="CUST01480"/>
        <s v="CUST01481"/>
        <s v="CUST01482"/>
        <s v="CUST01483"/>
        <s v="CUST01484"/>
        <s v="CUST01485"/>
        <s v="CUST01486"/>
        <s v="CUST01487"/>
        <s v="CUST01488"/>
        <s v="CUST01489"/>
        <s v="CUST01490"/>
        <s v="CUST01491"/>
        <s v="CUST01492"/>
        <s v="CUST01493"/>
        <s v="CUST01494"/>
        <s v="CUST01495"/>
        <s v="CUST01496"/>
        <s v="CUST01497"/>
        <s v="CUST01498"/>
        <s v="CUST01499"/>
        <s v="CUST01500"/>
        <s v="CUST01501"/>
        <s v="CUST01502"/>
        <s v="CUST01503"/>
        <s v="CUST01504"/>
        <s v="CUST01505"/>
        <s v="CUST01506"/>
        <s v="CUST01507"/>
        <s v="CUST01508"/>
        <s v="CUST01509"/>
        <s v="CUST01510"/>
        <s v="CUST01511"/>
        <s v="CUST01512"/>
        <s v="CUST01513"/>
        <s v="CUST01514"/>
        <s v="CUST01515"/>
        <s v="CUST01516"/>
        <s v="CUST01517"/>
        <s v="CUST01518"/>
        <s v="CUST01519"/>
        <s v="CUST01520"/>
        <s v="CUST01521"/>
        <s v="CUST01522"/>
        <s v="CUST01523"/>
        <s v="CUST01524"/>
        <s v="CUST01525"/>
        <s v="CUST01526"/>
        <s v="CUST01527"/>
        <s v="CUST01528"/>
        <s v="CUST01529"/>
        <s v="CUST01530"/>
        <s v="CUST01531"/>
        <s v="CUST01532"/>
        <s v="CUST01533"/>
        <s v="CUST01534"/>
        <s v="CUST01535"/>
        <s v="CUST01536"/>
        <s v="CUST01537"/>
        <s v="CUST01538"/>
        <s v="CUST01539"/>
        <s v="CUST01540"/>
        <s v="CUST01541"/>
        <s v="CUST01542"/>
        <s v="CUST01543"/>
        <s v="CUST01544"/>
        <s v="CUST01545"/>
        <s v="CUST01546"/>
        <s v="CUST01547"/>
        <s v="CUST01548"/>
        <s v="CUST01549"/>
        <s v="CUST01550"/>
        <s v="CUST01551"/>
        <s v="CUST01552"/>
        <s v="CUST01553"/>
        <s v="CUST01554"/>
        <s v="CUST01555"/>
        <s v="CUST01556"/>
        <s v="CUST01557"/>
        <s v="CUST01558"/>
        <s v="CUST01559"/>
        <s v="CUST01560"/>
        <s v="CUST01561"/>
        <s v="CUST01562"/>
        <s v="CUST01563"/>
        <s v="CUST01564"/>
        <s v="CUST01565"/>
        <s v="CUST01566"/>
        <s v="CUST01567"/>
        <s v="CUST01568"/>
        <s v="CUST01569"/>
        <s v="CUST01570"/>
        <s v="CUST01571"/>
        <s v="CUST01572"/>
        <s v="CUST01573"/>
        <s v="CUST01574"/>
        <s v="CUST01575"/>
        <s v="CUST01576"/>
        <s v="CUST01577"/>
        <s v="CUST01578"/>
        <s v="CUST01579"/>
        <s v="CUST01580"/>
        <s v="CUST01581"/>
        <s v="CUST01582"/>
        <s v="CUST01583"/>
        <s v="CUST01584"/>
        <s v="CUST01585"/>
        <s v="CUST01586"/>
        <s v="CUST01587"/>
        <s v="CUST01588"/>
        <s v="CUST01589"/>
        <s v="CUST01590"/>
        <s v="CUST01591"/>
        <s v="CUST01592"/>
        <s v="CUST01593"/>
        <s v="CUST01594"/>
        <s v="CUST01595"/>
        <s v="CUST01596"/>
        <s v="CUST01597"/>
        <s v="CUST01598"/>
        <s v="CUST01599"/>
        <s v="CUST01600"/>
        <s v="CUST01601"/>
        <s v="CUST01602"/>
        <s v="CUST01603"/>
        <s v="CUST01604"/>
        <s v="CUST01605"/>
        <s v="CUST01606"/>
        <s v="CUST01607"/>
        <s v="CUST01608"/>
        <s v="CUST01609"/>
        <s v="CUST01610"/>
        <s v="CUST01611"/>
        <s v="CUST01612"/>
        <s v="CUST01613"/>
        <s v="CUST01614"/>
        <s v="CUST01615"/>
        <s v="CUST01616"/>
        <s v="CUST01617"/>
        <s v="CUST01618"/>
        <s v="CUST01619"/>
        <s v="CUST01620"/>
        <s v="CUST01621"/>
        <s v="CUST01622"/>
        <s v="CUST01623"/>
        <s v="CUST01624"/>
        <s v="CUST01625"/>
        <s v="CUST01626"/>
        <s v="CUST01627"/>
        <s v="CUST01628"/>
        <s v="CUST01629"/>
        <s v="CUST01630"/>
        <s v="CUST01631"/>
        <s v="CUST01632"/>
        <s v="CUST01633"/>
        <s v="CUST01634"/>
        <s v="CUST01635"/>
        <s v="CUST01636"/>
        <s v="CUST01637"/>
        <s v="CUST01638"/>
        <s v="CUST01639"/>
        <s v="CUST01640"/>
        <s v="CUST01641"/>
        <s v="CUST01642"/>
        <s v="CUST01643"/>
        <s v="CUST01644"/>
        <s v="CUST01645"/>
        <s v="CUST01646"/>
        <s v="CUST01647"/>
        <s v="CUST01648"/>
        <s v="CUST01649"/>
        <s v="CUST01650"/>
        <s v="CUST01651"/>
        <s v="CUST01652"/>
        <s v="CUST01653"/>
        <s v="CUST01654"/>
        <s v="CUST01655"/>
        <s v="CUST01656"/>
        <s v="CUST01657"/>
        <s v="CUST01658"/>
        <s v="CUST01659"/>
        <s v="CUST01660"/>
        <s v="CUST01661"/>
        <s v="CUST01662"/>
        <s v="CUST01663"/>
        <s v="CUST01664"/>
        <s v="CUST01665"/>
        <s v="CUST01666"/>
        <s v="CUST01667"/>
        <s v="CUST01668"/>
        <s v="CUST01669"/>
        <s v="CUST01670"/>
        <s v="CUST01671"/>
        <s v="CUST01672"/>
        <s v="CUST01673"/>
        <s v="CUST01674"/>
        <s v="CUST01675"/>
        <s v="CUST01676"/>
        <s v="CUST01677"/>
        <s v="CUST01678"/>
        <s v="CUST01679"/>
        <s v="CUST01680"/>
        <s v="CUST01681"/>
        <s v="CUST01682"/>
        <s v="CUST01683"/>
        <s v="CUST01684"/>
        <s v="CUST01685"/>
        <s v="CUST01686"/>
        <s v="CUST01687"/>
        <s v="CUST01688"/>
        <s v="CUST01689"/>
        <s v="CUST01690"/>
        <s v="CUST01691"/>
        <s v="CUST01692"/>
        <s v="CUST01693"/>
        <s v="CUST01694"/>
        <s v="CUST01695"/>
        <s v="CUST01696"/>
        <s v="CUST01697"/>
        <s v="CUST01698"/>
        <s v="CUST01699"/>
        <s v="CUST01700"/>
        <s v="CUST01701"/>
        <s v="CUST01702"/>
        <s v="CUST01703"/>
        <s v="CUST01704"/>
        <s v="CUST01705"/>
        <s v="CUST01706"/>
        <s v="CUST01707"/>
        <s v="CUST01708"/>
        <s v="CUST01709"/>
        <s v="CUST01710"/>
        <s v="CUST01711"/>
        <s v="CUST01712"/>
        <s v="CUST01713"/>
        <s v="CUST01714"/>
        <s v="CUST01715"/>
        <s v="CUST01716"/>
        <s v="CUST01717"/>
        <s v="CUST01718"/>
        <s v="CUST01719"/>
        <s v="CUST01720"/>
        <s v="CUST01721"/>
        <s v="CUST01722"/>
        <s v="CUST01723"/>
        <s v="CUST01724"/>
        <s v="CUST01725"/>
        <s v="CUST01726"/>
        <s v="CUST01727"/>
        <s v="CUST01728"/>
        <s v="CUST01729"/>
        <s v="CUST01730"/>
        <s v="CUST01731"/>
        <s v="CUST01732"/>
        <s v="CUST01733"/>
        <s v="CUST01734"/>
        <s v="CUST01735"/>
        <s v="CUST01736"/>
        <s v="CUST01737"/>
        <s v="CUST01738"/>
        <s v="CUST01739"/>
        <s v="CUST01740"/>
        <s v="CUST01741"/>
        <s v="CUST01742"/>
        <s v="CUST01743"/>
        <s v="CUST01744"/>
        <s v="CUST01745"/>
        <s v="CUST01746"/>
        <s v="CUST01747"/>
        <s v="CUST01748"/>
        <s v="CUST01749"/>
        <s v="CUST01750"/>
        <s v="CUST01751"/>
        <s v="CUST01752"/>
        <s v="CUST01753"/>
        <s v="CUST01754"/>
        <s v="CUST01755"/>
        <s v="CUST01756"/>
        <s v="CUST01757"/>
        <s v="CUST01758"/>
        <s v="CUST01759"/>
        <s v="CUST01760"/>
        <s v="CUST01761"/>
        <s v="CUST01762"/>
        <s v="CUST01763"/>
        <s v="CUST01764"/>
        <s v="CUST01765"/>
        <s v="CUST01766"/>
        <s v="CUST01767"/>
        <s v="CUST01768"/>
        <s v="CUST01769"/>
        <s v="CUST01770"/>
        <s v="CUST01771"/>
        <s v="CUST01772"/>
        <s v="CUST01773"/>
        <s v="CUST01774"/>
        <s v="CUST01775"/>
        <s v="CUST01776"/>
        <s v="CUST01777"/>
        <s v="CUST01778"/>
        <s v="CUST01779"/>
        <s v="CUST01780"/>
        <s v="CUST01781"/>
        <s v="CUST01782"/>
        <s v="CUST01783"/>
        <s v="CUST01784"/>
        <s v="CUST01785"/>
        <s v="CUST01786"/>
        <s v="CUST01787"/>
        <s v="CUST01788"/>
        <s v="CUST01789"/>
        <s v="CUST01790"/>
        <s v="CUST01791"/>
        <s v="CUST01792"/>
        <s v="CUST01793"/>
        <s v="CUST01794"/>
        <s v="CUST01795"/>
        <s v="CUST01796"/>
        <s v="CUST01797"/>
        <s v="CUST01798"/>
        <s v="CUST01799"/>
        <s v="CUST01800"/>
        <s v="CUST01801"/>
        <s v="CUST01802"/>
        <s v="CUST01803"/>
        <s v="CUST01804"/>
        <s v="CUST01805"/>
        <s v="CUST01806"/>
        <s v="CUST01807"/>
        <s v="CUST01808"/>
        <s v="CUST01809"/>
        <s v="CUST01810"/>
        <s v="CUST01811"/>
        <s v="CUST01812"/>
        <s v="CUST01813"/>
        <s v="CUST01814"/>
        <s v="CUST01815"/>
        <s v="CUST01816"/>
        <s v="CUST01817"/>
        <s v="CUST01818"/>
        <s v="CUST01819"/>
        <s v="CUST01820"/>
        <s v="CUST01821"/>
        <s v="CUST01822"/>
        <s v="CUST01823"/>
        <s v="CUST01824"/>
        <s v="CUST01825"/>
        <s v="CUST01826"/>
        <s v="CUST01827"/>
        <s v="CUST01828"/>
        <s v="CUST01829"/>
        <s v="CUST01830"/>
        <s v="CUST01831"/>
        <s v="CUST01832"/>
        <s v="CUST01833"/>
        <s v="CUST01834"/>
        <s v="CUST01835"/>
        <s v="CUST01836"/>
        <s v="CUST01837"/>
        <s v="CUST01838"/>
        <s v="CUST01839"/>
        <s v="CUST01840"/>
        <s v="CUST01841"/>
        <s v="CUST01842"/>
        <s v="CUST01843"/>
        <s v="CUST01844"/>
        <s v="CUST01845"/>
        <s v="CUST01846"/>
        <s v="CUST01847"/>
        <s v="CUST01848"/>
        <s v="CUST01849"/>
        <s v="CUST01850"/>
        <s v="CUST01851"/>
        <s v="CUST01852"/>
        <s v="CUST01853"/>
        <s v="CUST01854"/>
        <s v="CUST01855"/>
        <s v="CUST01856"/>
        <s v="CUST01857"/>
        <s v="CUST01858"/>
        <s v="CUST01859"/>
        <s v="CUST01860"/>
        <s v="CUST01861"/>
        <s v="CUST01862"/>
        <s v="CUST01863"/>
        <s v="CUST01864"/>
        <s v="CUST01865"/>
        <s v="CUST01866"/>
        <s v="CUST01867"/>
        <s v="CUST01868"/>
        <s v="CUST01869"/>
        <s v="CUST01870"/>
        <s v="CUST01871"/>
        <s v="CUST01872"/>
        <s v="CUST01873"/>
        <s v="CUST01874"/>
        <s v="CUST01875"/>
        <s v="CUST01876"/>
        <s v="CUST01877"/>
        <s v="CUST01878"/>
        <s v="CUST01879"/>
        <s v="CUST01880"/>
        <s v="CUST01881"/>
        <s v="CUST01882"/>
        <s v="CUST01883"/>
        <s v="CUST01884"/>
        <s v="CUST01885"/>
        <s v="CUST01886"/>
        <s v="CUST01887"/>
        <s v="CUST01888"/>
        <s v="CUST01889"/>
        <s v="CUST01890"/>
        <s v="CUST01891"/>
        <s v="CUST01892"/>
        <s v="CUST01893"/>
        <s v="CUST01894"/>
        <s v="CUST01895"/>
        <s v="CUST01896"/>
        <s v="CUST01897"/>
        <s v="CUST01898"/>
        <s v="CUST01899"/>
        <s v="CUST01900"/>
        <s v="CUST01901"/>
        <s v="CUST01902"/>
        <s v="CUST01903"/>
        <s v="CUST01904"/>
        <s v="CUST01905"/>
        <s v="CUST01906"/>
        <s v="CUST01907"/>
        <s v="CUST01908"/>
        <s v="CUST01909"/>
        <s v="CUST01910"/>
        <s v="CUST01911"/>
        <s v="CUST01912"/>
        <s v="CUST01913"/>
        <s v="CUST01914"/>
        <s v="CUST01915"/>
        <s v="CUST01916"/>
        <s v="CUST01917"/>
        <s v="CUST01918"/>
        <s v="CUST01919"/>
        <s v="CUST01920"/>
        <s v="CUST01921"/>
        <s v="CUST01922"/>
        <s v="CUST01923"/>
        <s v="CUST01924"/>
        <s v="CUST01925"/>
        <s v="CUST01926"/>
        <s v="CUST01927"/>
        <s v="CUST01928"/>
        <s v="CUST01929"/>
        <s v="CUST01930"/>
        <s v="CUST01931"/>
        <s v="CUST01932"/>
        <s v="CUST01933"/>
        <s v="CUST01934"/>
        <s v="CUST01935"/>
        <s v="CUST01936"/>
        <s v="CUST01937"/>
        <s v="CUST01938"/>
        <s v="CUST01939"/>
        <s v="CUST01940"/>
        <s v="CUST01941"/>
        <s v="CUST01942"/>
        <s v="CUST01943"/>
        <s v="CUST01944"/>
        <s v="CUST01945"/>
        <s v="CUST01946"/>
        <s v="CUST01947"/>
        <s v="CUST01948"/>
        <s v="CUST01949"/>
        <s v="CUST01950"/>
        <s v="CUST01951"/>
        <s v="CUST01952"/>
        <s v="CUST01953"/>
        <s v="CUST01954"/>
        <s v="CUST01955"/>
        <s v="CUST01956"/>
        <s v="CUST01957"/>
        <s v="CUST01958"/>
        <s v="CUST01959"/>
        <s v="CUST01960"/>
        <s v="CUST01961"/>
        <s v="CUST01962"/>
        <s v="CUST01963"/>
        <s v="CUST01964"/>
        <s v="CUST01965"/>
        <s v="CUST01966"/>
        <s v="CUST01967"/>
        <s v="CUST01968"/>
        <s v="CUST01969"/>
        <s v="CUST01970"/>
        <s v="CUST01971"/>
        <s v="CUST01972"/>
        <s v="CUST01973"/>
        <s v="CUST01974"/>
        <s v="CUST01975"/>
        <s v="CUST01976"/>
        <s v="CUST01977"/>
        <s v="CUST01978"/>
        <s v="CUST01979"/>
        <s v="CUST01980"/>
        <s v="CUST01981"/>
        <s v="CUST01982"/>
        <s v="CUST01983"/>
        <s v="CUST01984"/>
        <s v="CUST01985"/>
        <s v="CUST01986"/>
        <s v="CUST01987"/>
        <s v="CUST01988"/>
        <s v="CUST01989"/>
        <s v="CUST01990"/>
        <s v="CUST01991"/>
        <s v="CUST01992"/>
        <s v="CUST01993"/>
        <s v="CUST01994"/>
        <s v="CUST01995"/>
        <s v="CUST01996"/>
        <s v="CUST01997"/>
        <s v="CUST01998"/>
        <s v="CUST01999"/>
        <s v="CUST0200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75"/>
    </cacheField>
    <cacheField name="SeniorCitizen" numFmtId="0">
      <sharedItems/>
    </cacheField>
    <cacheField name="TenureMonths" numFmtId="0">
      <sharedItems containsSemiMixedTypes="0" containsString="0" containsNumber="1" containsInteger="1" minValue="1" maxValue="72"/>
    </cacheField>
    <cacheField name="TenureGroups" numFmtId="0">
      <sharedItems count="5">
        <s v="49+ Months"/>
        <s v="7-12 Months"/>
        <s v="0-6 Months"/>
        <s v="25-48 Months"/>
        <s v="13-24 Months"/>
      </sharedItems>
    </cacheField>
    <cacheField name="Contract" numFmtId="0">
      <sharedItems/>
    </cacheField>
    <cacheField name="InternetService" numFmtId="0">
      <sharedItems/>
    </cacheField>
    <cacheField name="PaymentMethod" numFmtId="0">
      <sharedItems/>
    </cacheField>
    <cacheField name="TechSupport" numFmtId="0">
      <sharedItems/>
    </cacheField>
    <cacheField name="OnlineSecurity" numFmtId="0">
      <sharedItems/>
    </cacheField>
    <cacheField name="NumServices" numFmtId="0">
      <sharedItems containsSemiMixedTypes="0" containsString="0" containsNumber="1" containsInteger="1" minValue="1" maxValue="8"/>
    </cacheField>
    <cacheField name="MonthlyCharges" numFmtId="2">
      <sharedItems containsSemiMixedTypes="0" containsString="0" containsNumber="1" minValue="20" maxValue="109.72"/>
    </cacheField>
    <cacheField name="TotalCharges" numFmtId="2">
      <sharedItems containsSemiMixedTypes="0" containsString="0" containsNumber="1" minValue="27.93" maxValue="7219.48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Male"/>
    <n v="64"/>
    <s v="Yes"/>
    <x v="0"/>
    <x v="0"/>
    <x v="0"/>
    <x v="0"/>
    <s v="No"/>
    <s v="No"/>
    <n v="3"/>
    <n v="64.84"/>
    <n v="4257.37"/>
    <x v="0"/>
  </r>
  <r>
    <x v="1"/>
    <s v="Female"/>
    <n v="29"/>
    <s v="No"/>
    <x v="1"/>
    <x v="1"/>
    <x v="1"/>
    <x v="1"/>
    <s v="No"/>
    <s v="No"/>
    <n v="1"/>
    <n v="22.14"/>
    <n v="249.99"/>
    <x v="0"/>
  </r>
  <r>
    <x v="2"/>
    <s v="Male"/>
    <n v="33"/>
    <s v="No"/>
    <x v="2"/>
    <x v="0"/>
    <x v="0"/>
    <x v="0"/>
    <s v="No"/>
    <s v="No"/>
    <n v="5"/>
    <n v="81.209999999999994"/>
    <n v="171.32"/>
    <x v="1"/>
  </r>
  <r>
    <x v="3"/>
    <s v="Male"/>
    <n v="41"/>
    <s v="No"/>
    <x v="3"/>
    <x v="0"/>
    <x v="1"/>
    <x v="2"/>
    <s v="Yes"/>
    <s v="No"/>
    <n v="3"/>
    <n v="24.55"/>
    <n v="181.26"/>
    <x v="1"/>
  </r>
  <r>
    <x v="4"/>
    <s v="Male"/>
    <n v="36"/>
    <s v="No"/>
    <x v="4"/>
    <x v="0"/>
    <x v="0"/>
    <x v="1"/>
    <s v="Yes"/>
    <s v="No"/>
    <n v="3"/>
    <n v="75.959999999999994"/>
    <n v="226.83"/>
    <x v="0"/>
  </r>
  <r>
    <x v="5"/>
    <s v="Female"/>
    <n v="25"/>
    <s v="No"/>
    <x v="4"/>
    <x v="0"/>
    <x v="0"/>
    <x v="3"/>
    <s v="No"/>
    <s v="No"/>
    <n v="5"/>
    <n v="88.83"/>
    <n v="286.27"/>
    <x v="1"/>
  </r>
  <r>
    <x v="6"/>
    <s v="Male"/>
    <n v="48"/>
    <s v="No"/>
    <x v="5"/>
    <x v="0"/>
    <x v="0"/>
    <x v="2"/>
    <s v="Yes"/>
    <s v="No"/>
    <n v="2"/>
    <n v="80.739999999999995"/>
    <n v="2242.5500000000002"/>
    <x v="0"/>
  </r>
  <r>
    <x v="7"/>
    <s v="Male"/>
    <n v="38"/>
    <s v="No"/>
    <x v="6"/>
    <x v="1"/>
    <x v="0"/>
    <x v="3"/>
    <s v="No"/>
    <s v="No"/>
    <n v="1"/>
    <n v="67.67"/>
    <n v="2915.92"/>
    <x v="0"/>
  </r>
  <r>
    <x v="8"/>
    <s v="Male"/>
    <n v="34"/>
    <s v="No"/>
    <x v="7"/>
    <x v="0"/>
    <x v="0"/>
    <x v="1"/>
    <s v="No"/>
    <s v="No"/>
    <n v="6"/>
    <n v="100.2"/>
    <n v="3323.74"/>
    <x v="0"/>
  </r>
  <r>
    <x v="9"/>
    <s v="Female"/>
    <n v="40"/>
    <s v="No"/>
    <x v="8"/>
    <x v="2"/>
    <x v="2"/>
    <x v="3"/>
    <s v="Yes"/>
    <s v="Yes"/>
    <n v="2"/>
    <n v="50.75"/>
    <n v="48.33"/>
    <x v="1"/>
  </r>
  <r>
    <x v="10"/>
    <s v="Male"/>
    <n v="54"/>
    <s v="No"/>
    <x v="9"/>
    <x v="0"/>
    <x v="2"/>
    <x v="2"/>
    <s v="Yes"/>
    <s v="Yes"/>
    <n v="3"/>
    <n v="46.2"/>
    <n v="366.31"/>
    <x v="0"/>
  </r>
  <r>
    <x v="11"/>
    <s v="Male"/>
    <n v="71"/>
    <s v="Yes"/>
    <x v="10"/>
    <x v="0"/>
    <x v="2"/>
    <x v="1"/>
    <s v="No"/>
    <s v="Yes"/>
    <n v="3"/>
    <n v="54.61"/>
    <n v="1881.87"/>
    <x v="0"/>
  </r>
  <r>
    <x v="12"/>
    <s v="Male"/>
    <n v="33"/>
    <s v="No"/>
    <x v="11"/>
    <x v="0"/>
    <x v="0"/>
    <x v="0"/>
    <s v="No"/>
    <s v="No"/>
    <n v="6"/>
    <n v="85.56"/>
    <n v="4021.73"/>
    <x v="0"/>
  </r>
  <r>
    <x v="13"/>
    <s v="Male"/>
    <n v="23"/>
    <s v="No"/>
    <x v="12"/>
    <x v="1"/>
    <x v="2"/>
    <x v="1"/>
    <s v="No"/>
    <s v="Yes"/>
    <n v="4"/>
    <n v="62.61"/>
    <n v="268.75"/>
    <x v="0"/>
  </r>
  <r>
    <x v="14"/>
    <s v="Female"/>
    <n v="25"/>
    <s v="No"/>
    <x v="0"/>
    <x v="0"/>
    <x v="0"/>
    <x v="0"/>
    <s v="No"/>
    <s v="Yes"/>
    <n v="4"/>
    <n v="80.89"/>
    <n v="5931.39"/>
    <x v="0"/>
  </r>
  <r>
    <x v="15"/>
    <s v="Male"/>
    <n v="42"/>
    <s v="No"/>
    <x v="13"/>
    <x v="0"/>
    <x v="2"/>
    <x v="0"/>
    <s v="No"/>
    <s v="Yes"/>
    <n v="4"/>
    <n v="60.39"/>
    <n v="1136.78"/>
    <x v="0"/>
  </r>
  <r>
    <x v="16"/>
    <s v="Female"/>
    <n v="35"/>
    <s v="No"/>
    <x v="10"/>
    <x v="2"/>
    <x v="0"/>
    <x v="3"/>
    <s v="No"/>
    <s v="No"/>
    <n v="7"/>
    <n v="97.77"/>
    <n v="3149.6"/>
    <x v="1"/>
  </r>
  <r>
    <x v="17"/>
    <s v="Female"/>
    <n v="42"/>
    <s v="No"/>
    <x v="14"/>
    <x v="0"/>
    <x v="1"/>
    <x v="1"/>
    <s v="No"/>
    <s v="Yes"/>
    <n v="1"/>
    <n v="25.99"/>
    <n v="237.93"/>
    <x v="0"/>
  </r>
  <r>
    <x v="18"/>
    <s v="Female"/>
    <n v="29"/>
    <s v="No"/>
    <x v="1"/>
    <x v="0"/>
    <x v="2"/>
    <x v="0"/>
    <s v="No"/>
    <s v="No"/>
    <n v="4"/>
    <n v="62.77"/>
    <n v="773.22"/>
    <x v="0"/>
  </r>
  <r>
    <x v="19"/>
    <s v="Male"/>
    <n v="32"/>
    <s v="No"/>
    <x v="15"/>
    <x v="2"/>
    <x v="2"/>
    <x v="3"/>
    <s v="Yes"/>
    <s v="Yes"/>
    <n v="6"/>
    <n v="68.97"/>
    <n v="707.29"/>
    <x v="0"/>
  </r>
  <r>
    <x v="20"/>
    <s v="Female"/>
    <n v="43"/>
    <s v="No"/>
    <x v="16"/>
    <x v="0"/>
    <x v="0"/>
    <x v="0"/>
    <s v="No"/>
    <s v="No"/>
    <n v="5"/>
    <n v="83.8"/>
    <n v="4122.22"/>
    <x v="1"/>
  </r>
  <r>
    <x v="21"/>
    <s v="Male"/>
    <n v="58"/>
    <s v="No"/>
    <x v="17"/>
    <x v="0"/>
    <x v="0"/>
    <x v="3"/>
    <s v="No"/>
    <s v="No"/>
    <n v="1"/>
    <n v="66.540000000000006"/>
    <n v="1081.1600000000001"/>
    <x v="0"/>
  </r>
  <r>
    <x v="22"/>
    <s v="Female"/>
    <n v="62"/>
    <s v="Yes"/>
    <x v="8"/>
    <x v="0"/>
    <x v="0"/>
    <x v="0"/>
    <s v="Yes"/>
    <s v="No"/>
    <n v="5"/>
    <n v="74.099999999999994"/>
    <n v="79.209999999999994"/>
    <x v="1"/>
  </r>
  <r>
    <x v="23"/>
    <s v="Female"/>
    <n v="43"/>
    <s v="No"/>
    <x v="18"/>
    <x v="0"/>
    <x v="1"/>
    <x v="2"/>
    <s v="Yes"/>
    <s v="No"/>
    <n v="1"/>
    <n v="27.22"/>
    <n v="1751.05"/>
    <x v="0"/>
  </r>
  <r>
    <x v="24"/>
    <s v="Female"/>
    <n v="64"/>
    <s v="Yes"/>
    <x v="19"/>
    <x v="0"/>
    <x v="1"/>
    <x v="0"/>
    <s v="No"/>
    <s v="No"/>
    <n v="3"/>
    <n v="35.67"/>
    <n v="740.8"/>
    <x v="1"/>
  </r>
  <r>
    <x v="25"/>
    <s v="Female"/>
    <n v="49"/>
    <s v="No"/>
    <x v="20"/>
    <x v="0"/>
    <x v="0"/>
    <x v="3"/>
    <s v="Yes"/>
    <s v="No"/>
    <n v="4"/>
    <n v="73.94"/>
    <n v="2241.9499999999998"/>
    <x v="0"/>
  </r>
  <r>
    <x v="26"/>
    <s v="Female"/>
    <n v="27"/>
    <s v="No"/>
    <x v="21"/>
    <x v="0"/>
    <x v="2"/>
    <x v="2"/>
    <s v="Yes"/>
    <s v="No"/>
    <n v="6"/>
    <n v="57.49"/>
    <n v="786.77"/>
    <x v="0"/>
  </r>
  <r>
    <x v="27"/>
    <s v="Female"/>
    <n v="33"/>
    <s v="No"/>
    <x v="22"/>
    <x v="0"/>
    <x v="2"/>
    <x v="1"/>
    <s v="No"/>
    <s v="No"/>
    <n v="3"/>
    <n v="51.1"/>
    <n v="1689.07"/>
    <x v="0"/>
  </r>
  <r>
    <x v="28"/>
    <s v="Female"/>
    <n v="24"/>
    <s v="No"/>
    <x v="12"/>
    <x v="1"/>
    <x v="2"/>
    <x v="1"/>
    <s v="No"/>
    <s v="Yes"/>
    <n v="7"/>
    <n v="67.69"/>
    <n v="290.52999999999997"/>
    <x v="0"/>
  </r>
  <r>
    <x v="29"/>
    <s v="Female"/>
    <n v="34"/>
    <s v="No"/>
    <x v="23"/>
    <x v="0"/>
    <x v="0"/>
    <x v="3"/>
    <s v="No"/>
    <s v="No"/>
    <n v="1"/>
    <n v="57.62"/>
    <n v="1604.57"/>
    <x v="1"/>
  </r>
  <r>
    <x v="30"/>
    <s v="Male"/>
    <n v="40"/>
    <s v="No"/>
    <x v="24"/>
    <x v="0"/>
    <x v="0"/>
    <x v="0"/>
    <s v="No"/>
    <s v="Yes"/>
    <n v="3"/>
    <n v="65.61"/>
    <n v="4153.5600000000004"/>
    <x v="1"/>
  </r>
  <r>
    <x v="31"/>
    <s v="Male"/>
    <n v="43"/>
    <s v="No"/>
    <x v="5"/>
    <x v="2"/>
    <x v="0"/>
    <x v="2"/>
    <s v="No"/>
    <s v="No"/>
    <n v="4"/>
    <n v="64.36"/>
    <n v="1843.58"/>
    <x v="0"/>
  </r>
  <r>
    <x v="32"/>
    <s v="Female"/>
    <n v="38"/>
    <s v="No"/>
    <x v="25"/>
    <x v="1"/>
    <x v="1"/>
    <x v="2"/>
    <s v="No"/>
    <s v="No"/>
    <n v="4"/>
    <n v="43.07"/>
    <n v="3099.1"/>
    <x v="0"/>
  </r>
  <r>
    <x v="33"/>
    <s v="Female"/>
    <n v="39"/>
    <s v="No"/>
    <x v="26"/>
    <x v="0"/>
    <x v="2"/>
    <x v="0"/>
    <s v="Yes"/>
    <s v="No"/>
    <n v="1"/>
    <n v="53.85"/>
    <n v="1339.24"/>
    <x v="0"/>
  </r>
  <r>
    <x v="34"/>
    <s v="Female"/>
    <n v="75"/>
    <s v="Yes"/>
    <x v="4"/>
    <x v="2"/>
    <x v="2"/>
    <x v="0"/>
    <s v="No"/>
    <s v="No"/>
    <n v="3"/>
    <n v="55.11"/>
    <n v="167.63"/>
    <x v="0"/>
  </r>
  <r>
    <x v="35"/>
    <s v="Male"/>
    <n v="24"/>
    <s v="No"/>
    <x v="27"/>
    <x v="0"/>
    <x v="1"/>
    <x v="0"/>
    <s v="No"/>
    <s v="No"/>
    <n v="1"/>
    <n v="26.17"/>
    <n v="1875.81"/>
    <x v="0"/>
  </r>
  <r>
    <x v="36"/>
    <s v="Female"/>
    <n v="31"/>
    <s v="No"/>
    <x v="26"/>
    <x v="0"/>
    <x v="2"/>
    <x v="1"/>
    <s v="No"/>
    <s v="No"/>
    <n v="3"/>
    <n v="45.27"/>
    <n v="1139.73"/>
    <x v="0"/>
  </r>
  <r>
    <x v="37"/>
    <s v="Male"/>
    <n v="32"/>
    <s v="No"/>
    <x v="28"/>
    <x v="1"/>
    <x v="1"/>
    <x v="2"/>
    <s v="No"/>
    <s v="No"/>
    <n v="4"/>
    <n v="25.57"/>
    <n v="530.89"/>
    <x v="0"/>
  </r>
  <r>
    <x v="38"/>
    <s v="Male"/>
    <n v="70"/>
    <s v="Yes"/>
    <x v="22"/>
    <x v="0"/>
    <x v="2"/>
    <x v="3"/>
    <s v="No"/>
    <s v="Yes"/>
    <n v="2"/>
    <n v="50.77"/>
    <n v="1806.46"/>
    <x v="0"/>
  </r>
  <r>
    <x v="39"/>
    <s v="Male"/>
    <n v="24"/>
    <s v="No"/>
    <x v="29"/>
    <x v="0"/>
    <x v="0"/>
    <x v="0"/>
    <s v="No"/>
    <s v="No"/>
    <n v="8"/>
    <n v="99.31"/>
    <n v="2587.4699999999998"/>
    <x v="0"/>
  </r>
  <r>
    <x v="40"/>
    <s v="Male"/>
    <n v="26"/>
    <s v="No"/>
    <x v="30"/>
    <x v="0"/>
    <x v="1"/>
    <x v="1"/>
    <s v="No"/>
    <s v="No"/>
    <n v="6"/>
    <n v="43.17"/>
    <n v="217.1"/>
    <x v="0"/>
  </r>
  <r>
    <x v="41"/>
    <s v="Male"/>
    <n v="68"/>
    <s v="Yes"/>
    <x v="31"/>
    <x v="0"/>
    <x v="2"/>
    <x v="1"/>
    <s v="No"/>
    <s v="No"/>
    <n v="5"/>
    <n v="70.39"/>
    <n v="4086.2"/>
    <x v="0"/>
  </r>
  <r>
    <x v="42"/>
    <s v="Female"/>
    <n v="65"/>
    <s v="Yes"/>
    <x v="14"/>
    <x v="0"/>
    <x v="0"/>
    <x v="1"/>
    <s v="No"/>
    <s v="No"/>
    <n v="5"/>
    <n v="78.180000000000007"/>
    <n v="674.88"/>
    <x v="1"/>
  </r>
  <r>
    <x v="43"/>
    <s v="Female"/>
    <n v="25"/>
    <s v="No"/>
    <x v="32"/>
    <x v="2"/>
    <x v="0"/>
    <x v="2"/>
    <s v="No"/>
    <s v="Yes"/>
    <n v="3"/>
    <n v="82.59"/>
    <n v="4397.05"/>
    <x v="0"/>
  </r>
  <r>
    <x v="44"/>
    <s v="Female"/>
    <n v="67"/>
    <s v="Yes"/>
    <x v="33"/>
    <x v="0"/>
    <x v="0"/>
    <x v="1"/>
    <s v="No"/>
    <s v="Yes"/>
    <n v="4"/>
    <n v="73.53"/>
    <n v="465.2"/>
    <x v="1"/>
  </r>
  <r>
    <x v="45"/>
    <s v="Female"/>
    <n v="40"/>
    <s v="No"/>
    <x v="34"/>
    <x v="2"/>
    <x v="2"/>
    <x v="2"/>
    <s v="No"/>
    <s v="No"/>
    <n v="6"/>
    <n v="48.36"/>
    <n v="2674.17"/>
    <x v="0"/>
  </r>
  <r>
    <x v="46"/>
    <s v="Female"/>
    <n v="46"/>
    <s v="No"/>
    <x v="35"/>
    <x v="1"/>
    <x v="1"/>
    <x v="3"/>
    <s v="Yes"/>
    <s v="No"/>
    <n v="4"/>
    <n v="45.38"/>
    <n v="2114.73"/>
    <x v="0"/>
  </r>
  <r>
    <x v="47"/>
    <s v="Male"/>
    <n v="35"/>
    <s v="No"/>
    <x v="15"/>
    <x v="2"/>
    <x v="1"/>
    <x v="3"/>
    <s v="Yes"/>
    <s v="No"/>
    <n v="3"/>
    <n v="30.54"/>
    <n v="310.42"/>
    <x v="0"/>
  </r>
  <r>
    <x v="48"/>
    <s v="Female"/>
    <n v="48"/>
    <s v="No"/>
    <x v="36"/>
    <x v="1"/>
    <x v="1"/>
    <x v="0"/>
    <s v="No"/>
    <s v="No"/>
    <n v="1"/>
    <n v="20"/>
    <n v="1311.19"/>
    <x v="0"/>
  </r>
  <r>
    <x v="49"/>
    <s v="Female"/>
    <n v="47"/>
    <s v="No"/>
    <x v="37"/>
    <x v="1"/>
    <x v="0"/>
    <x v="3"/>
    <s v="No"/>
    <s v="No"/>
    <n v="4"/>
    <n v="82.37"/>
    <n v="3603.45"/>
    <x v="0"/>
  </r>
  <r>
    <x v="50"/>
    <s v="Male"/>
    <n v="69"/>
    <s v="Yes"/>
    <x v="4"/>
    <x v="0"/>
    <x v="0"/>
    <x v="3"/>
    <s v="Yes"/>
    <s v="Yes"/>
    <n v="5"/>
    <n v="76.77"/>
    <n v="247.59"/>
    <x v="0"/>
  </r>
  <r>
    <x v="51"/>
    <s v="Female"/>
    <n v="56"/>
    <s v="No"/>
    <x v="20"/>
    <x v="0"/>
    <x v="0"/>
    <x v="2"/>
    <s v="Yes"/>
    <s v="Yes"/>
    <n v="4"/>
    <n v="69.11"/>
    <n v="2229.98"/>
    <x v="0"/>
  </r>
  <r>
    <x v="52"/>
    <s v="Male"/>
    <n v="52"/>
    <s v="No"/>
    <x v="19"/>
    <x v="0"/>
    <x v="1"/>
    <x v="0"/>
    <s v="No"/>
    <s v="Yes"/>
    <n v="2"/>
    <n v="42.18"/>
    <n v="901.49"/>
    <x v="1"/>
  </r>
  <r>
    <x v="53"/>
    <s v="Female"/>
    <n v="35"/>
    <s v="No"/>
    <x v="23"/>
    <x v="2"/>
    <x v="0"/>
    <x v="0"/>
    <s v="No"/>
    <s v="No"/>
    <n v="3"/>
    <n v="73.569999999999993"/>
    <n v="2024.43"/>
    <x v="0"/>
  </r>
  <r>
    <x v="54"/>
    <s v="Male"/>
    <n v="59"/>
    <s v="No"/>
    <x v="38"/>
    <x v="2"/>
    <x v="2"/>
    <x v="3"/>
    <s v="No"/>
    <s v="Yes"/>
    <n v="4"/>
    <n v="48.95"/>
    <n v="3040.72"/>
    <x v="0"/>
  </r>
  <r>
    <x v="55"/>
    <s v="Female"/>
    <n v="56"/>
    <s v="No"/>
    <x v="7"/>
    <x v="0"/>
    <x v="2"/>
    <x v="1"/>
    <s v="No"/>
    <s v="No"/>
    <n v="4"/>
    <n v="55.76"/>
    <n v="1917.3"/>
    <x v="0"/>
  </r>
  <r>
    <x v="56"/>
    <s v="Female"/>
    <n v="34"/>
    <s v="No"/>
    <x v="39"/>
    <x v="0"/>
    <x v="0"/>
    <x v="0"/>
    <s v="No"/>
    <s v="No"/>
    <n v="6"/>
    <n v="101.93"/>
    <n v="3409.55"/>
    <x v="0"/>
  </r>
  <r>
    <x v="57"/>
    <s v="Male"/>
    <n v="31"/>
    <s v="No"/>
    <x v="40"/>
    <x v="0"/>
    <x v="0"/>
    <x v="2"/>
    <s v="Yes"/>
    <s v="Yes"/>
    <n v="2"/>
    <n v="71.790000000000006"/>
    <n v="3698.27"/>
    <x v="0"/>
  </r>
  <r>
    <x v="58"/>
    <s v="Male"/>
    <n v="48"/>
    <s v="No"/>
    <x v="22"/>
    <x v="1"/>
    <x v="1"/>
    <x v="1"/>
    <s v="No"/>
    <s v="Yes"/>
    <n v="3"/>
    <n v="32.51"/>
    <n v="1147.3"/>
    <x v="0"/>
  </r>
  <r>
    <x v="59"/>
    <s v="Male"/>
    <n v="41"/>
    <s v="No"/>
    <x v="41"/>
    <x v="0"/>
    <x v="1"/>
    <x v="1"/>
    <s v="No"/>
    <s v="Yes"/>
    <n v="5"/>
    <n v="48.51"/>
    <n v="1955.62"/>
    <x v="1"/>
  </r>
  <r>
    <x v="60"/>
    <s v="Male"/>
    <n v="52"/>
    <s v="No"/>
    <x v="42"/>
    <x v="1"/>
    <x v="0"/>
    <x v="1"/>
    <s v="Yes"/>
    <s v="No"/>
    <n v="4"/>
    <n v="75.819999999999993"/>
    <n v="3577.27"/>
    <x v="0"/>
  </r>
  <r>
    <x v="61"/>
    <s v="Male"/>
    <n v="61"/>
    <s v="Yes"/>
    <x v="37"/>
    <x v="2"/>
    <x v="2"/>
    <x v="3"/>
    <s v="No"/>
    <s v="No"/>
    <n v="2"/>
    <n v="47.43"/>
    <n v="2231.85"/>
    <x v="1"/>
  </r>
  <r>
    <x v="62"/>
    <s v="Male"/>
    <n v="62"/>
    <s v="Yes"/>
    <x v="43"/>
    <x v="0"/>
    <x v="1"/>
    <x v="1"/>
    <s v="No"/>
    <s v="Yes"/>
    <n v="2"/>
    <n v="28.41"/>
    <n v="1710.37"/>
    <x v="0"/>
  </r>
  <r>
    <x v="63"/>
    <s v="Male"/>
    <n v="51"/>
    <s v="No"/>
    <x v="44"/>
    <x v="0"/>
    <x v="0"/>
    <x v="3"/>
    <s v="No"/>
    <s v="No"/>
    <n v="4"/>
    <n v="84.98"/>
    <n v="5213.3999999999996"/>
    <x v="1"/>
  </r>
  <r>
    <x v="64"/>
    <s v="Male"/>
    <n v="20"/>
    <s v="No"/>
    <x v="45"/>
    <x v="0"/>
    <x v="0"/>
    <x v="1"/>
    <s v="No"/>
    <s v="No"/>
    <n v="3"/>
    <n v="76.36"/>
    <n v="1626.19"/>
    <x v="0"/>
  </r>
  <r>
    <x v="65"/>
    <s v="Female"/>
    <n v="54"/>
    <s v="No"/>
    <x v="11"/>
    <x v="0"/>
    <x v="0"/>
    <x v="1"/>
    <s v="No"/>
    <s v="No"/>
    <n v="2"/>
    <n v="80.959999999999994"/>
    <n v="3910.9"/>
    <x v="0"/>
  </r>
  <r>
    <x v="66"/>
    <s v="Female"/>
    <n v="60"/>
    <s v="Yes"/>
    <x v="46"/>
    <x v="0"/>
    <x v="2"/>
    <x v="3"/>
    <s v="No"/>
    <s v="No"/>
    <n v="2"/>
    <n v="53.15"/>
    <n v="1159.93"/>
    <x v="0"/>
  </r>
  <r>
    <x v="67"/>
    <s v="Male"/>
    <n v="57"/>
    <s v="No"/>
    <x v="47"/>
    <x v="0"/>
    <x v="0"/>
    <x v="1"/>
    <s v="No"/>
    <s v="No"/>
    <n v="3"/>
    <n v="85.69"/>
    <n v="1396.7"/>
    <x v="1"/>
  </r>
  <r>
    <x v="68"/>
    <s v="Female"/>
    <n v="43"/>
    <s v="No"/>
    <x v="25"/>
    <x v="2"/>
    <x v="0"/>
    <x v="2"/>
    <s v="No"/>
    <s v="No"/>
    <n v="3"/>
    <n v="79.55"/>
    <n v="5609.94"/>
    <x v="0"/>
  </r>
  <r>
    <x v="69"/>
    <s v="Female"/>
    <n v="72"/>
    <s v="Yes"/>
    <x v="15"/>
    <x v="0"/>
    <x v="0"/>
    <x v="1"/>
    <s v="No"/>
    <s v="No"/>
    <n v="4"/>
    <n v="77.180000000000007"/>
    <n v="803.29"/>
    <x v="0"/>
  </r>
  <r>
    <x v="70"/>
    <s v="Female"/>
    <n v="40"/>
    <s v="No"/>
    <x v="48"/>
    <x v="0"/>
    <x v="2"/>
    <x v="0"/>
    <s v="No"/>
    <s v="No"/>
    <n v="3"/>
    <n v="54.05"/>
    <n v="782.71"/>
    <x v="1"/>
  </r>
  <r>
    <x v="71"/>
    <s v="Female"/>
    <n v="61"/>
    <s v="Yes"/>
    <x v="39"/>
    <x v="2"/>
    <x v="1"/>
    <x v="1"/>
    <s v="No"/>
    <s v="No"/>
    <n v="2"/>
    <n v="45.8"/>
    <n v="1675.27"/>
    <x v="0"/>
  </r>
  <r>
    <x v="72"/>
    <s v="Male"/>
    <n v="56"/>
    <s v="No"/>
    <x v="7"/>
    <x v="1"/>
    <x v="1"/>
    <x v="0"/>
    <s v="No"/>
    <s v="No"/>
    <n v="1"/>
    <n v="38.130000000000003"/>
    <n v="1250.32"/>
    <x v="0"/>
  </r>
  <r>
    <x v="73"/>
    <s v="Female"/>
    <n v="32"/>
    <s v="No"/>
    <x v="17"/>
    <x v="0"/>
    <x v="1"/>
    <x v="2"/>
    <s v="Yes"/>
    <s v="No"/>
    <n v="4"/>
    <n v="51.83"/>
    <n v="894.78"/>
    <x v="0"/>
  </r>
  <r>
    <x v="74"/>
    <s v="Male"/>
    <n v="73"/>
    <s v="Yes"/>
    <x v="22"/>
    <x v="1"/>
    <x v="2"/>
    <x v="2"/>
    <s v="No"/>
    <s v="No"/>
    <n v="4"/>
    <n v="51.95"/>
    <n v="1734.21"/>
    <x v="0"/>
  </r>
  <r>
    <x v="75"/>
    <s v="Female"/>
    <n v="66"/>
    <s v="Yes"/>
    <x v="36"/>
    <x v="0"/>
    <x v="0"/>
    <x v="1"/>
    <s v="No"/>
    <s v="No"/>
    <n v="4"/>
    <n v="65.87"/>
    <n v="4321.8599999999997"/>
    <x v="0"/>
  </r>
  <r>
    <x v="76"/>
    <s v="Female"/>
    <n v="21"/>
    <s v="No"/>
    <x v="6"/>
    <x v="1"/>
    <x v="0"/>
    <x v="3"/>
    <s v="Yes"/>
    <s v="Yes"/>
    <n v="2"/>
    <n v="65.099999999999994"/>
    <n v="2520.7800000000002"/>
    <x v="0"/>
  </r>
  <r>
    <x v="77"/>
    <s v="Female"/>
    <n v="46"/>
    <s v="No"/>
    <x v="23"/>
    <x v="1"/>
    <x v="1"/>
    <x v="3"/>
    <s v="Yes"/>
    <s v="Yes"/>
    <n v="7"/>
    <n v="54.16"/>
    <n v="1452.5"/>
    <x v="0"/>
  </r>
  <r>
    <x v="78"/>
    <s v="Male"/>
    <n v="39"/>
    <s v="No"/>
    <x v="37"/>
    <x v="1"/>
    <x v="0"/>
    <x v="1"/>
    <s v="No"/>
    <s v="Yes"/>
    <n v="6"/>
    <n v="82.48"/>
    <n v="4138.4799999999996"/>
    <x v="0"/>
  </r>
  <r>
    <x v="79"/>
    <s v="Female"/>
    <n v="42"/>
    <s v="No"/>
    <x v="49"/>
    <x v="0"/>
    <x v="0"/>
    <x v="1"/>
    <s v="Yes"/>
    <s v="No"/>
    <n v="3"/>
    <n v="75.19"/>
    <n v="3049.16"/>
    <x v="0"/>
  </r>
  <r>
    <x v="80"/>
    <s v="Male"/>
    <n v="30"/>
    <s v="No"/>
    <x v="0"/>
    <x v="2"/>
    <x v="2"/>
    <x v="2"/>
    <s v="Yes"/>
    <s v="No"/>
    <n v="6"/>
    <n v="63.84"/>
    <n v="4349.68"/>
    <x v="0"/>
  </r>
  <r>
    <x v="81"/>
    <s v="Female"/>
    <n v="35"/>
    <s v="No"/>
    <x v="28"/>
    <x v="0"/>
    <x v="0"/>
    <x v="2"/>
    <s v="No"/>
    <s v="Yes"/>
    <n v="3"/>
    <n v="62.65"/>
    <n v="1293.1300000000001"/>
    <x v="0"/>
  </r>
  <r>
    <x v="82"/>
    <s v="Male"/>
    <n v="50"/>
    <s v="No"/>
    <x v="8"/>
    <x v="0"/>
    <x v="0"/>
    <x v="2"/>
    <s v="Yes"/>
    <s v="Yes"/>
    <n v="8"/>
    <n v="98"/>
    <n v="105.3"/>
    <x v="0"/>
  </r>
  <r>
    <x v="83"/>
    <s v="Female"/>
    <n v="33"/>
    <s v="No"/>
    <x v="50"/>
    <x v="0"/>
    <x v="1"/>
    <x v="2"/>
    <s v="No"/>
    <s v="Yes"/>
    <n v="2"/>
    <n v="33.22"/>
    <n v="2228.83"/>
    <x v="0"/>
  </r>
  <r>
    <x v="84"/>
    <s v="Male"/>
    <n v="62"/>
    <s v="Yes"/>
    <x v="18"/>
    <x v="0"/>
    <x v="1"/>
    <x v="3"/>
    <s v="No"/>
    <s v="Yes"/>
    <n v="2"/>
    <n v="42.31"/>
    <n v="2565.09"/>
    <x v="1"/>
  </r>
  <r>
    <x v="85"/>
    <s v="Male"/>
    <n v="59"/>
    <s v="No"/>
    <x v="51"/>
    <x v="0"/>
    <x v="0"/>
    <x v="0"/>
    <s v="No"/>
    <s v="Yes"/>
    <n v="4"/>
    <n v="80.12"/>
    <n v="5110.87"/>
    <x v="0"/>
  </r>
  <r>
    <x v="86"/>
    <s v="Female"/>
    <n v="61"/>
    <s v="Yes"/>
    <x v="12"/>
    <x v="2"/>
    <x v="1"/>
    <x v="1"/>
    <s v="No"/>
    <s v="No"/>
    <n v="2"/>
    <n v="38.479999999999997"/>
    <n v="163.03"/>
    <x v="0"/>
  </r>
  <r>
    <x v="87"/>
    <s v="Male"/>
    <n v="19"/>
    <s v="No"/>
    <x v="43"/>
    <x v="2"/>
    <x v="2"/>
    <x v="1"/>
    <s v="No"/>
    <s v="Yes"/>
    <n v="4"/>
    <n v="53.27"/>
    <n v="2931.07"/>
    <x v="0"/>
  </r>
  <r>
    <x v="88"/>
    <s v="Female"/>
    <n v="72"/>
    <s v="Yes"/>
    <x v="26"/>
    <x v="0"/>
    <x v="2"/>
    <x v="3"/>
    <s v="No"/>
    <s v="Yes"/>
    <n v="3"/>
    <n v="57.43"/>
    <n v="1391.66"/>
    <x v="0"/>
  </r>
  <r>
    <x v="89"/>
    <s v="Female"/>
    <n v="52"/>
    <s v="No"/>
    <x v="37"/>
    <x v="0"/>
    <x v="0"/>
    <x v="2"/>
    <s v="No"/>
    <s v="No"/>
    <n v="3"/>
    <n v="80.66"/>
    <n v="3817.62"/>
    <x v="1"/>
  </r>
  <r>
    <x v="90"/>
    <s v="Female"/>
    <n v="59"/>
    <s v="No"/>
    <x v="52"/>
    <x v="0"/>
    <x v="0"/>
    <x v="2"/>
    <s v="No"/>
    <s v="No"/>
    <n v="3"/>
    <n v="78.89"/>
    <n v="3055.9"/>
    <x v="1"/>
  </r>
  <r>
    <x v="91"/>
    <s v="Female"/>
    <n v="51"/>
    <s v="No"/>
    <x v="48"/>
    <x v="0"/>
    <x v="2"/>
    <x v="2"/>
    <s v="No"/>
    <s v="Yes"/>
    <n v="4"/>
    <n v="57.41"/>
    <n v="903.61"/>
    <x v="0"/>
  </r>
  <r>
    <x v="92"/>
    <s v="Female"/>
    <n v="47"/>
    <s v="No"/>
    <x v="18"/>
    <x v="0"/>
    <x v="1"/>
    <x v="2"/>
    <s v="No"/>
    <s v="Yes"/>
    <n v="8"/>
    <n v="59.45"/>
    <n v="3689.81"/>
    <x v="0"/>
  </r>
  <r>
    <x v="93"/>
    <s v="Female"/>
    <n v="72"/>
    <s v="Yes"/>
    <x v="19"/>
    <x v="2"/>
    <x v="2"/>
    <x v="2"/>
    <s v="No"/>
    <s v="No"/>
    <n v="6"/>
    <n v="71.36"/>
    <n v="1506.77"/>
    <x v="0"/>
  </r>
  <r>
    <x v="94"/>
    <s v="Female"/>
    <n v="30"/>
    <s v="No"/>
    <x v="44"/>
    <x v="0"/>
    <x v="0"/>
    <x v="1"/>
    <s v="No"/>
    <s v="No"/>
    <n v="5"/>
    <n v="91.41"/>
    <n v="5598.41"/>
    <x v="0"/>
  </r>
  <r>
    <x v="95"/>
    <s v="Female"/>
    <n v="30"/>
    <s v="No"/>
    <x v="53"/>
    <x v="0"/>
    <x v="0"/>
    <x v="2"/>
    <s v="No"/>
    <s v="Yes"/>
    <n v="7"/>
    <n v="87.07"/>
    <n v="4465.09"/>
    <x v="1"/>
  </r>
  <r>
    <x v="96"/>
    <s v="Female"/>
    <n v="35"/>
    <s v="No"/>
    <x v="16"/>
    <x v="0"/>
    <x v="1"/>
    <x v="3"/>
    <s v="No"/>
    <s v="Yes"/>
    <n v="2"/>
    <n v="25.18"/>
    <n v="1111.5999999999999"/>
    <x v="1"/>
  </r>
  <r>
    <x v="97"/>
    <s v="Female"/>
    <n v="49"/>
    <s v="No"/>
    <x v="54"/>
    <x v="2"/>
    <x v="0"/>
    <x v="1"/>
    <s v="No"/>
    <s v="Yes"/>
    <n v="3"/>
    <n v="69.180000000000007"/>
    <n v="1001.16"/>
    <x v="0"/>
  </r>
  <r>
    <x v="98"/>
    <s v="Female"/>
    <n v="49"/>
    <s v="No"/>
    <x v="47"/>
    <x v="1"/>
    <x v="2"/>
    <x v="2"/>
    <s v="No"/>
    <s v="No"/>
    <n v="6"/>
    <n v="68.02"/>
    <n v="1206.5"/>
    <x v="0"/>
  </r>
  <r>
    <x v="99"/>
    <s v="Male"/>
    <n v="52"/>
    <s v="No"/>
    <x v="49"/>
    <x v="2"/>
    <x v="0"/>
    <x v="2"/>
    <s v="Yes"/>
    <s v="No"/>
    <n v="4"/>
    <n v="79.03"/>
    <n v="3040.14"/>
    <x v="0"/>
  </r>
  <r>
    <x v="100"/>
    <s v="Male"/>
    <n v="56"/>
    <s v="No"/>
    <x v="14"/>
    <x v="1"/>
    <x v="0"/>
    <x v="1"/>
    <s v="No"/>
    <s v="No"/>
    <n v="4"/>
    <n v="83.39"/>
    <n v="716.04"/>
    <x v="1"/>
  </r>
  <r>
    <x v="101"/>
    <s v="Female"/>
    <n v="63"/>
    <s v="Yes"/>
    <x v="33"/>
    <x v="0"/>
    <x v="2"/>
    <x v="1"/>
    <s v="No"/>
    <s v="No"/>
    <n v="2"/>
    <n v="56.82"/>
    <n v="356.13"/>
    <x v="1"/>
  </r>
  <r>
    <x v="102"/>
    <s v="Female"/>
    <n v="69"/>
    <s v="Yes"/>
    <x v="45"/>
    <x v="0"/>
    <x v="2"/>
    <x v="3"/>
    <s v="No"/>
    <s v="No"/>
    <n v="4"/>
    <n v="45.8"/>
    <n v="1082.1400000000001"/>
    <x v="0"/>
  </r>
  <r>
    <x v="103"/>
    <s v="Female"/>
    <n v="46"/>
    <s v="No"/>
    <x v="24"/>
    <x v="1"/>
    <x v="0"/>
    <x v="3"/>
    <s v="Yes"/>
    <s v="No"/>
    <n v="7"/>
    <n v="87.63"/>
    <n v="5481.4"/>
    <x v="0"/>
  </r>
  <r>
    <x v="104"/>
    <s v="Female"/>
    <n v="66"/>
    <s v="Yes"/>
    <x v="16"/>
    <x v="0"/>
    <x v="0"/>
    <x v="2"/>
    <s v="No"/>
    <s v="No"/>
    <n v="4"/>
    <n v="80.489999999999995"/>
    <n v="3906.52"/>
    <x v="0"/>
  </r>
  <r>
    <x v="105"/>
    <s v="Female"/>
    <n v="46"/>
    <s v="No"/>
    <x v="52"/>
    <x v="1"/>
    <x v="1"/>
    <x v="1"/>
    <s v="No"/>
    <s v="Yes"/>
    <n v="1"/>
    <n v="36.81"/>
    <n v="1332.8"/>
    <x v="0"/>
  </r>
  <r>
    <x v="106"/>
    <s v="Female"/>
    <n v="70"/>
    <s v="Yes"/>
    <x v="54"/>
    <x v="0"/>
    <x v="0"/>
    <x v="1"/>
    <s v="No"/>
    <s v="No"/>
    <n v="4"/>
    <n v="78.63"/>
    <n v="1159.3599999999999"/>
    <x v="0"/>
  </r>
  <r>
    <x v="107"/>
    <s v="Female"/>
    <n v="61"/>
    <s v="Yes"/>
    <x v="50"/>
    <x v="0"/>
    <x v="2"/>
    <x v="1"/>
    <s v="No"/>
    <s v="No"/>
    <n v="5"/>
    <n v="72.56"/>
    <n v="4952.8"/>
    <x v="0"/>
  </r>
  <r>
    <x v="108"/>
    <s v="Female"/>
    <n v="74"/>
    <s v="Yes"/>
    <x v="38"/>
    <x v="0"/>
    <x v="1"/>
    <x v="1"/>
    <s v="No"/>
    <s v="No"/>
    <n v="2"/>
    <n v="36.86"/>
    <n v="2418.31"/>
    <x v="0"/>
  </r>
  <r>
    <x v="109"/>
    <s v="Male"/>
    <n v="33"/>
    <s v="No"/>
    <x v="39"/>
    <x v="1"/>
    <x v="0"/>
    <x v="1"/>
    <s v="No"/>
    <s v="No"/>
    <n v="2"/>
    <n v="73.67"/>
    <n v="2689.97"/>
    <x v="0"/>
  </r>
  <r>
    <x v="110"/>
    <s v="Female"/>
    <n v="73"/>
    <s v="Yes"/>
    <x v="13"/>
    <x v="1"/>
    <x v="1"/>
    <x v="2"/>
    <s v="No"/>
    <s v="No"/>
    <n v="3"/>
    <n v="36.229999999999997"/>
    <n v="696.06"/>
    <x v="0"/>
  </r>
  <r>
    <x v="111"/>
    <s v="Male"/>
    <n v="61"/>
    <s v="Yes"/>
    <x v="20"/>
    <x v="0"/>
    <x v="0"/>
    <x v="0"/>
    <s v="No"/>
    <s v="No"/>
    <n v="3"/>
    <n v="74.83"/>
    <n v="2295.98"/>
    <x v="0"/>
  </r>
  <r>
    <x v="112"/>
    <s v="Female"/>
    <n v="64"/>
    <s v="Yes"/>
    <x v="26"/>
    <x v="0"/>
    <x v="2"/>
    <x v="0"/>
    <s v="No"/>
    <s v="Yes"/>
    <n v="8"/>
    <n v="77.319999999999993"/>
    <n v="1810.55"/>
    <x v="0"/>
  </r>
  <r>
    <x v="113"/>
    <s v="Female"/>
    <n v="74"/>
    <s v="Yes"/>
    <x v="6"/>
    <x v="0"/>
    <x v="0"/>
    <x v="1"/>
    <s v="No"/>
    <s v="No"/>
    <n v="3"/>
    <n v="73.63"/>
    <n v="2728.38"/>
    <x v="0"/>
  </r>
  <r>
    <x v="114"/>
    <s v="Male"/>
    <n v="27"/>
    <s v="No"/>
    <x v="54"/>
    <x v="0"/>
    <x v="1"/>
    <x v="1"/>
    <s v="No"/>
    <s v="No"/>
    <n v="3"/>
    <n v="44.79"/>
    <n v="610.07000000000005"/>
    <x v="1"/>
  </r>
  <r>
    <x v="115"/>
    <s v="Female"/>
    <n v="47"/>
    <s v="No"/>
    <x v="29"/>
    <x v="0"/>
    <x v="0"/>
    <x v="2"/>
    <s v="Yes"/>
    <s v="No"/>
    <n v="7"/>
    <n v="97.16"/>
    <n v="2656.07"/>
    <x v="0"/>
  </r>
  <r>
    <x v="116"/>
    <s v="Male"/>
    <n v="42"/>
    <s v="No"/>
    <x v="46"/>
    <x v="0"/>
    <x v="0"/>
    <x v="3"/>
    <s v="No"/>
    <s v="Yes"/>
    <n v="7"/>
    <n v="99.39"/>
    <n v="2174.61"/>
    <x v="1"/>
  </r>
  <r>
    <x v="117"/>
    <s v="Female"/>
    <n v="56"/>
    <s v="No"/>
    <x v="11"/>
    <x v="0"/>
    <x v="1"/>
    <x v="3"/>
    <s v="No"/>
    <s v="Yes"/>
    <n v="4"/>
    <n v="33.72"/>
    <n v="1546.93"/>
    <x v="0"/>
  </r>
  <r>
    <x v="118"/>
    <s v="Female"/>
    <n v="37"/>
    <s v="No"/>
    <x v="42"/>
    <x v="0"/>
    <x v="2"/>
    <x v="0"/>
    <s v="No"/>
    <s v="No"/>
    <n v="7"/>
    <n v="63.49"/>
    <n v="3411.31"/>
    <x v="0"/>
  </r>
  <r>
    <x v="119"/>
    <s v="Male"/>
    <n v="22"/>
    <s v="No"/>
    <x v="4"/>
    <x v="0"/>
    <x v="2"/>
    <x v="1"/>
    <s v="No"/>
    <s v="No"/>
    <n v="8"/>
    <n v="78.42"/>
    <n v="225.05"/>
    <x v="0"/>
  </r>
  <r>
    <x v="120"/>
    <s v="Female"/>
    <n v="18"/>
    <s v="No"/>
    <x v="55"/>
    <x v="0"/>
    <x v="0"/>
    <x v="0"/>
    <s v="No"/>
    <s v="No"/>
    <n v="3"/>
    <n v="74.44"/>
    <n v="3284.3"/>
    <x v="1"/>
  </r>
  <r>
    <x v="121"/>
    <s v="Male"/>
    <n v="47"/>
    <s v="No"/>
    <x v="13"/>
    <x v="0"/>
    <x v="2"/>
    <x v="1"/>
    <s v="Yes"/>
    <s v="No"/>
    <n v="3"/>
    <n v="56.81"/>
    <n v="1071.27"/>
    <x v="0"/>
  </r>
  <r>
    <x v="122"/>
    <s v="Female"/>
    <n v="66"/>
    <s v="Yes"/>
    <x v="23"/>
    <x v="0"/>
    <x v="0"/>
    <x v="2"/>
    <s v="No"/>
    <s v="No"/>
    <n v="1"/>
    <n v="59.18"/>
    <n v="1647.36"/>
    <x v="0"/>
  </r>
  <r>
    <x v="123"/>
    <s v="Male"/>
    <n v="20"/>
    <s v="No"/>
    <x v="56"/>
    <x v="0"/>
    <x v="0"/>
    <x v="1"/>
    <s v="No"/>
    <s v="No"/>
    <n v="6"/>
    <n v="76.790000000000006"/>
    <n v="3329.89"/>
    <x v="0"/>
  </r>
  <r>
    <x v="124"/>
    <s v="Male"/>
    <n v="62"/>
    <s v="Yes"/>
    <x v="57"/>
    <x v="1"/>
    <x v="2"/>
    <x v="3"/>
    <s v="No"/>
    <s v="Yes"/>
    <n v="6"/>
    <n v="68.63"/>
    <n v="5184.72"/>
    <x v="0"/>
  </r>
  <r>
    <x v="125"/>
    <s v="Female"/>
    <n v="31"/>
    <s v="No"/>
    <x v="18"/>
    <x v="0"/>
    <x v="0"/>
    <x v="1"/>
    <s v="Yes"/>
    <s v="Yes"/>
    <n v="4"/>
    <n v="73.680000000000007"/>
    <n v="4336.43"/>
    <x v="0"/>
  </r>
  <r>
    <x v="126"/>
    <s v="Female"/>
    <n v="73"/>
    <s v="Yes"/>
    <x v="13"/>
    <x v="0"/>
    <x v="1"/>
    <x v="3"/>
    <s v="No"/>
    <s v="No"/>
    <n v="3"/>
    <n v="42"/>
    <n v="752.6"/>
    <x v="1"/>
  </r>
  <r>
    <x v="127"/>
    <s v="Male"/>
    <n v="47"/>
    <s v="No"/>
    <x v="37"/>
    <x v="0"/>
    <x v="1"/>
    <x v="2"/>
    <s v="No"/>
    <s v="No"/>
    <n v="3"/>
    <n v="32.69"/>
    <n v="1569.83"/>
    <x v="0"/>
  </r>
  <r>
    <x v="128"/>
    <s v="Female"/>
    <n v="67"/>
    <s v="Yes"/>
    <x v="54"/>
    <x v="1"/>
    <x v="2"/>
    <x v="3"/>
    <s v="No"/>
    <s v="No"/>
    <n v="8"/>
    <n v="68.790000000000006"/>
    <n v="1017.01"/>
    <x v="0"/>
  </r>
  <r>
    <x v="129"/>
    <s v="Female"/>
    <n v="21"/>
    <s v="No"/>
    <x v="52"/>
    <x v="2"/>
    <x v="1"/>
    <x v="3"/>
    <s v="No"/>
    <s v="No"/>
    <n v="1"/>
    <n v="20"/>
    <n v="710.81"/>
    <x v="0"/>
  </r>
  <r>
    <x v="130"/>
    <s v="Female"/>
    <n v="35"/>
    <s v="No"/>
    <x v="53"/>
    <x v="1"/>
    <x v="2"/>
    <x v="2"/>
    <s v="No"/>
    <s v="Yes"/>
    <n v="3"/>
    <n v="63.73"/>
    <n v="3504.02"/>
    <x v="0"/>
  </r>
  <r>
    <x v="131"/>
    <s v="Male"/>
    <n v="54"/>
    <s v="No"/>
    <x v="31"/>
    <x v="1"/>
    <x v="0"/>
    <x v="3"/>
    <s v="Yes"/>
    <s v="No"/>
    <n v="5"/>
    <n v="87.88"/>
    <n v="5568.68"/>
    <x v="0"/>
  </r>
  <r>
    <x v="132"/>
    <s v="Male"/>
    <n v="42"/>
    <s v="No"/>
    <x v="58"/>
    <x v="0"/>
    <x v="2"/>
    <x v="1"/>
    <s v="No"/>
    <s v="No"/>
    <n v="4"/>
    <n v="48.53"/>
    <n v="1769.87"/>
    <x v="1"/>
  </r>
  <r>
    <x v="133"/>
    <s v="Male"/>
    <n v="65"/>
    <s v="Yes"/>
    <x v="6"/>
    <x v="1"/>
    <x v="0"/>
    <x v="1"/>
    <s v="No"/>
    <s v="No"/>
    <n v="3"/>
    <n v="61.02"/>
    <n v="2435.62"/>
    <x v="0"/>
  </r>
  <r>
    <x v="134"/>
    <s v="Male"/>
    <n v="18"/>
    <s v="No"/>
    <x v="20"/>
    <x v="1"/>
    <x v="0"/>
    <x v="3"/>
    <s v="Yes"/>
    <s v="Yes"/>
    <n v="4"/>
    <n v="74.819999999999993"/>
    <n v="2180.35"/>
    <x v="0"/>
  </r>
  <r>
    <x v="135"/>
    <s v="Male"/>
    <n v="70"/>
    <s v="Yes"/>
    <x v="14"/>
    <x v="0"/>
    <x v="1"/>
    <x v="3"/>
    <s v="No"/>
    <s v="No"/>
    <n v="2"/>
    <n v="39.630000000000003"/>
    <n v="348.19"/>
    <x v="1"/>
  </r>
  <r>
    <x v="136"/>
    <s v="Male"/>
    <n v="63"/>
    <s v="Yes"/>
    <x v="59"/>
    <x v="0"/>
    <x v="2"/>
    <x v="1"/>
    <s v="No"/>
    <s v="No"/>
    <n v="3"/>
    <n v="51.31"/>
    <n v="3375.49"/>
    <x v="0"/>
  </r>
  <r>
    <x v="137"/>
    <s v="Male"/>
    <n v="32"/>
    <s v="No"/>
    <x v="7"/>
    <x v="0"/>
    <x v="1"/>
    <x v="0"/>
    <s v="Yes"/>
    <s v="No"/>
    <n v="3"/>
    <n v="35.549999999999997"/>
    <n v="1091.55"/>
    <x v="0"/>
  </r>
  <r>
    <x v="138"/>
    <s v="Male"/>
    <n v="26"/>
    <s v="No"/>
    <x v="40"/>
    <x v="2"/>
    <x v="0"/>
    <x v="2"/>
    <s v="No"/>
    <s v="No"/>
    <n v="4"/>
    <n v="85.93"/>
    <n v="4529.08"/>
    <x v="0"/>
  </r>
  <r>
    <x v="139"/>
    <s v="Male"/>
    <n v="32"/>
    <s v="No"/>
    <x v="54"/>
    <x v="0"/>
    <x v="2"/>
    <x v="1"/>
    <s v="No"/>
    <s v="Yes"/>
    <n v="3"/>
    <n v="48.08"/>
    <n v="649.29"/>
    <x v="0"/>
  </r>
  <r>
    <x v="140"/>
    <s v="Female"/>
    <n v="66"/>
    <s v="Yes"/>
    <x v="53"/>
    <x v="1"/>
    <x v="0"/>
    <x v="0"/>
    <s v="No"/>
    <s v="Yes"/>
    <n v="4"/>
    <n v="74.23"/>
    <n v="3913.17"/>
    <x v="0"/>
  </r>
  <r>
    <x v="141"/>
    <s v="Male"/>
    <n v="74"/>
    <s v="Yes"/>
    <x v="24"/>
    <x v="0"/>
    <x v="2"/>
    <x v="1"/>
    <s v="No"/>
    <s v="Yes"/>
    <n v="2"/>
    <n v="52.54"/>
    <n v="3129.11"/>
    <x v="0"/>
  </r>
  <r>
    <x v="142"/>
    <s v="Female"/>
    <n v="41"/>
    <s v="No"/>
    <x v="41"/>
    <x v="0"/>
    <x v="2"/>
    <x v="2"/>
    <s v="No"/>
    <s v="No"/>
    <n v="3"/>
    <n v="53.04"/>
    <n v="2308.83"/>
    <x v="0"/>
  </r>
  <r>
    <x v="143"/>
    <s v="Female"/>
    <n v="21"/>
    <s v="No"/>
    <x v="27"/>
    <x v="0"/>
    <x v="2"/>
    <x v="1"/>
    <s v="No"/>
    <s v="No"/>
    <n v="6"/>
    <n v="60.86"/>
    <n v="4190.84"/>
    <x v="0"/>
  </r>
  <r>
    <x v="144"/>
    <s v="Female"/>
    <n v="29"/>
    <s v="No"/>
    <x v="27"/>
    <x v="0"/>
    <x v="0"/>
    <x v="3"/>
    <s v="Yes"/>
    <s v="No"/>
    <n v="5"/>
    <n v="87.95"/>
    <n v="5719.52"/>
    <x v="0"/>
  </r>
  <r>
    <x v="145"/>
    <s v="Male"/>
    <n v="75"/>
    <s v="Yes"/>
    <x v="9"/>
    <x v="2"/>
    <x v="0"/>
    <x v="1"/>
    <s v="No"/>
    <s v="Yes"/>
    <n v="4"/>
    <n v="82.62"/>
    <n v="616.49"/>
    <x v="0"/>
  </r>
  <r>
    <x v="146"/>
    <s v="Male"/>
    <n v="54"/>
    <s v="No"/>
    <x v="2"/>
    <x v="1"/>
    <x v="0"/>
    <x v="3"/>
    <s v="No"/>
    <s v="No"/>
    <n v="6"/>
    <n v="92.83"/>
    <n v="189.43"/>
    <x v="1"/>
  </r>
  <r>
    <x v="147"/>
    <s v="Male"/>
    <n v="54"/>
    <s v="No"/>
    <x v="41"/>
    <x v="0"/>
    <x v="2"/>
    <x v="2"/>
    <s v="No"/>
    <s v="No"/>
    <n v="3"/>
    <n v="53.93"/>
    <n v="2227.0700000000002"/>
    <x v="0"/>
  </r>
  <r>
    <x v="148"/>
    <s v="Male"/>
    <n v="60"/>
    <s v="Yes"/>
    <x v="60"/>
    <x v="2"/>
    <x v="1"/>
    <x v="0"/>
    <s v="No"/>
    <s v="Yes"/>
    <n v="6"/>
    <n v="36.67"/>
    <n v="2072.29"/>
    <x v="0"/>
  </r>
  <r>
    <x v="149"/>
    <s v="Female"/>
    <n v="23"/>
    <s v="No"/>
    <x v="17"/>
    <x v="0"/>
    <x v="0"/>
    <x v="3"/>
    <s v="Yes"/>
    <s v="No"/>
    <n v="3"/>
    <n v="75.08"/>
    <n v="1193.48"/>
    <x v="1"/>
  </r>
  <r>
    <x v="150"/>
    <s v="Male"/>
    <n v="56"/>
    <s v="No"/>
    <x v="38"/>
    <x v="2"/>
    <x v="2"/>
    <x v="0"/>
    <s v="No"/>
    <s v="Yes"/>
    <n v="4"/>
    <n v="50.8"/>
    <n v="3313.44"/>
    <x v="0"/>
  </r>
  <r>
    <x v="151"/>
    <s v="Male"/>
    <n v="73"/>
    <s v="Yes"/>
    <x v="11"/>
    <x v="0"/>
    <x v="1"/>
    <x v="1"/>
    <s v="No"/>
    <s v="Yes"/>
    <n v="4"/>
    <n v="26.81"/>
    <n v="1373.4"/>
    <x v="0"/>
  </r>
  <r>
    <x v="152"/>
    <s v="Male"/>
    <n v="63"/>
    <s v="Yes"/>
    <x v="20"/>
    <x v="0"/>
    <x v="2"/>
    <x v="2"/>
    <s v="No"/>
    <s v="Yes"/>
    <n v="2"/>
    <n v="49.08"/>
    <n v="1364.03"/>
    <x v="0"/>
  </r>
  <r>
    <x v="153"/>
    <s v="Male"/>
    <n v="41"/>
    <s v="No"/>
    <x v="1"/>
    <x v="0"/>
    <x v="2"/>
    <x v="1"/>
    <s v="No"/>
    <s v="No"/>
    <n v="6"/>
    <n v="67.709999999999994"/>
    <n v="844.25"/>
    <x v="1"/>
  </r>
  <r>
    <x v="154"/>
    <s v="Male"/>
    <n v="28"/>
    <s v="No"/>
    <x v="39"/>
    <x v="0"/>
    <x v="1"/>
    <x v="3"/>
    <s v="No"/>
    <s v="No"/>
    <n v="2"/>
    <n v="44.19"/>
    <n v="1431.62"/>
    <x v="0"/>
  </r>
  <r>
    <x v="155"/>
    <s v="Female"/>
    <n v="30"/>
    <s v="No"/>
    <x v="15"/>
    <x v="0"/>
    <x v="0"/>
    <x v="1"/>
    <s v="No"/>
    <s v="Yes"/>
    <n v="4"/>
    <n v="70.56"/>
    <n v="769.34"/>
    <x v="0"/>
  </r>
  <r>
    <x v="156"/>
    <s v="Male"/>
    <n v="51"/>
    <s v="No"/>
    <x v="59"/>
    <x v="1"/>
    <x v="0"/>
    <x v="1"/>
    <s v="No"/>
    <s v="No"/>
    <n v="6"/>
    <n v="91.74"/>
    <n v="5835.29"/>
    <x v="1"/>
  </r>
  <r>
    <x v="157"/>
    <s v="Female"/>
    <n v="42"/>
    <s v="No"/>
    <x v="32"/>
    <x v="2"/>
    <x v="0"/>
    <x v="1"/>
    <s v="No"/>
    <s v="No"/>
    <n v="2"/>
    <n v="59.81"/>
    <n v="3084.39"/>
    <x v="0"/>
  </r>
  <r>
    <x v="158"/>
    <s v="Male"/>
    <n v="24"/>
    <s v="No"/>
    <x v="19"/>
    <x v="1"/>
    <x v="1"/>
    <x v="3"/>
    <s v="No"/>
    <s v="No"/>
    <n v="3"/>
    <n v="45.89"/>
    <n v="940.93"/>
    <x v="0"/>
  </r>
  <r>
    <x v="159"/>
    <s v="Female"/>
    <n v="69"/>
    <s v="Yes"/>
    <x v="25"/>
    <x v="0"/>
    <x v="1"/>
    <x v="0"/>
    <s v="Yes"/>
    <s v="Yes"/>
    <n v="4"/>
    <n v="36.1"/>
    <n v="2618.79"/>
    <x v="0"/>
  </r>
  <r>
    <x v="160"/>
    <s v="Male"/>
    <n v="21"/>
    <s v="No"/>
    <x v="11"/>
    <x v="0"/>
    <x v="2"/>
    <x v="3"/>
    <s v="Yes"/>
    <s v="No"/>
    <n v="4"/>
    <n v="56.66"/>
    <n v="2651.3"/>
    <x v="0"/>
  </r>
  <r>
    <x v="161"/>
    <s v="Male"/>
    <n v="25"/>
    <s v="No"/>
    <x v="28"/>
    <x v="0"/>
    <x v="0"/>
    <x v="1"/>
    <s v="No"/>
    <s v="No"/>
    <n v="3"/>
    <n v="72.75"/>
    <n v="1418.34"/>
    <x v="0"/>
  </r>
  <r>
    <x v="162"/>
    <s v="Female"/>
    <n v="37"/>
    <s v="No"/>
    <x v="51"/>
    <x v="0"/>
    <x v="0"/>
    <x v="1"/>
    <s v="Yes"/>
    <s v="Yes"/>
    <n v="4"/>
    <n v="84.31"/>
    <n v="5398.2"/>
    <x v="0"/>
  </r>
  <r>
    <x v="163"/>
    <s v="Female"/>
    <n v="46"/>
    <s v="No"/>
    <x v="35"/>
    <x v="1"/>
    <x v="0"/>
    <x v="2"/>
    <s v="No"/>
    <s v="No"/>
    <n v="6"/>
    <n v="76.849999999999994"/>
    <n v="3480.88"/>
    <x v="0"/>
  </r>
  <r>
    <x v="164"/>
    <s v="Female"/>
    <n v="71"/>
    <s v="Yes"/>
    <x v="7"/>
    <x v="0"/>
    <x v="0"/>
    <x v="2"/>
    <s v="Yes"/>
    <s v="No"/>
    <n v="3"/>
    <n v="73.760000000000005"/>
    <n v="2269.1799999999998"/>
    <x v="0"/>
  </r>
  <r>
    <x v="165"/>
    <s v="Male"/>
    <n v="70"/>
    <s v="Yes"/>
    <x v="31"/>
    <x v="0"/>
    <x v="2"/>
    <x v="1"/>
    <s v="Yes"/>
    <s v="Yes"/>
    <n v="6"/>
    <n v="62.51"/>
    <n v="3729.56"/>
    <x v="0"/>
  </r>
  <r>
    <x v="166"/>
    <s v="Female"/>
    <n v="68"/>
    <s v="Yes"/>
    <x v="14"/>
    <x v="0"/>
    <x v="1"/>
    <x v="3"/>
    <s v="No"/>
    <s v="No"/>
    <n v="5"/>
    <n v="60.39"/>
    <n v="523.24"/>
    <x v="0"/>
  </r>
  <r>
    <x v="167"/>
    <s v="Male"/>
    <n v="62"/>
    <s v="Yes"/>
    <x v="27"/>
    <x v="2"/>
    <x v="1"/>
    <x v="0"/>
    <s v="No"/>
    <s v="Yes"/>
    <n v="4"/>
    <n v="33.409999999999997"/>
    <n v="2173.4899999999998"/>
    <x v="0"/>
  </r>
  <r>
    <x v="168"/>
    <s v="Male"/>
    <n v="63"/>
    <s v="Yes"/>
    <x v="39"/>
    <x v="0"/>
    <x v="2"/>
    <x v="2"/>
    <s v="No"/>
    <s v="No"/>
    <n v="8"/>
    <n v="56.93"/>
    <n v="1852.59"/>
    <x v="1"/>
  </r>
  <r>
    <x v="169"/>
    <s v="Female"/>
    <n v="27"/>
    <s v="No"/>
    <x v="61"/>
    <x v="0"/>
    <x v="0"/>
    <x v="2"/>
    <s v="No"/>
    <s v="Yes"/>
    <n v="6"/>
    <n v="98.86"/>
    <n v="6107.57"/>
    <x v="0"/>
  </r>
  <r>
    <x v="170"/>
    <s v="Female"/>
    <n v="60"/>
    <s v="Yes"/>
    <x v="9"/>
    <x v="0"/>
    <x v="0"/>
    <x v="2"/>
    <s v="No"/>
    <s v="Yes"/>
    <n v="4"/>
    <n v="82.44"/>
    <n v="653.85"/>
    <x v="0"/>
  </r>
  <r>
    <x v="171"/>
    <s v="Male"/>
    <n v="51"/>
    <s v="No"/>
    <x v="56"/>
    <x v="0"/>
    <x v="0"/>
    <x v="2"/>
    <s v="Yes"/>
    <s v="Yes"/>
    <n v="6"/>
    <n v="81.489999999999995"/>
    <n v="3669.25"/>
    <x v="0"/>
  </r>
  <r>
    <x v="172"/>
    <s v="Male"/>
    <n v="74"/>
    <s v="Yes"/>
    <x v="37"/>
    <x v="0"/>
    <x v="2"/>
    <x v="1"/>
    <s v="No"/>
    <s v="No"/>
    <n v="3"/>
    <n v="54.77"/>
    <n v="2479.2600000000002"/>
    <x v="0"/>
  </r>
  <r>
    <x v="173"/>
    <s v="Female"/>
    <n v="43"/>
    <s v="No"/>
    <x v="6"/>
    <x v="0"/>
    <x v="1"/>
    <x v="2"/>
    <s v="No"/>
    <s v="No"/>
    <n v="1"/>
    <n v="23.39"/>
    <n v="958.09"/>
    <x v="0"/>
  </r>
  <r>
    <x v="174"/>
    <s v="Female"/>
    <n v="58"/>
    <s v="No"/>
    <x v="62"/>
    <x v="1"/>
    <x v="0"/>
    <x v="3"/>
    <s v="No"/>
    <s v="Yes"/>
    <n v="2"/>
    <n v="57.3"/>
    <n v="3012.91"/>
    <x v="0"/>
  </r>
  <r>
    <x v="175"/>
    <s v="Female"/>
    <n v="66"/>
    <s v="Yes"/>
    <x v="16"/>
    <x v="0"/>
    <x v="0"/>
    <x v="1"/>
    <s v="No"/>
    <s v="Yes"/>
    <n v="5"/>
    <n v="81.849999999999994"/>
    <n v="3685.13"/>
    <x v="1"/>
  </r>
  <r>
    <x v="176"/>
    <s v="Male"/>
    <n v="75"/>
    <s v="Yes"/>
    <x v="37"/>
    <x v="1"/>
    <x v="0"/>
    <x v="0"/>
    <s v="No"/>
    <s v="No"/>
    <n v="5"/>
    <n v="81.8"/>
    <n v="4018.45"/>
    <x v="0"/>
  </r>
  <r>
    <x v="177"/>
    <s v="Male"/>
    <n v="20"/>
    <s v="No"/>
    <x v="48"/>
    <x v="2"/>
    <x v="0"/>
    <x v="2"/>
    <s v="Yes"/>
    <s v="No"/>
    <n v="6"/>
    <n v="89.38"/>
    <n v="1351.85"/>
    <x v="1"/>
  </r>
  <r>
    <x v="178"/>
    <s v="Male"/>
    <n v="73"/>
    <s v="Yes"/>
    <x v="13"/>
    <x v="1"/>
    <x v="2"/>
    <x v="2"/>
    <s v="Yes"/>
    <s v="No"/>
    <n v="3"/>
    <n v="48.19"/>
    <n v="982"/>
    <x v="1"/>
  </r>
  <r>
    <x v="179"/>
    <s v="Male"/>
    <n v="23"/>
    <s v="No"/>
    <x v="29"/>
    <x v="0"/>
    <x v="0"/>
    <x v="1"/>
    <s v="No"/>
    <s v="Yes"/>
    <n v="3"/>
    <n v="69.58"/>
    <n v="1768.35"/>
    <x v="1"/>
  </r>
  <r>
    <x v="180"/>
    <s v="Male"/>
    <n v="22"/>
    <s v="No"/>
    <x v="40"/>
    <x v="0"/>
    <x v="2"/>
    <x v="3"/>
    <s v="No"/>
    <s v="No"/>
    <n v="4"/>
    <n v="56.36"/>
    <n v="3084.45"/>
    <x v="0"/>
  </r>
  <r>
    <x v="181"/>
    <s v="Male"/>
    <n v="22"/>
    <s v="No"/>
    <x v="46"/>
    <x v="1"/>
    <x v="1"/>
    <x v="2"/>
    <s v="Yes"/>
    <s v="No"/>
    <n v="3"/>
    <n v="30.13"/>
    <n v="688.14"/>
    <x v="0"/>
  </r>
  <r>
    <x v="182"/>
    <s v="Female"/>
    <n v="71"/>
    <s v="Yes"/>
    <x v="19"/>
    <x v="1"/>
    <x v="2"/>
    <x v="1"/>
    <s v="No"/>
    <s v="No"/>
    <n v="4"/>
    <n v="66.959999999999994"/>
    <n v="1493.95"/>
    <x v="0"/>
  </r>
  <r>
    <x v="183"/>
    <s v="Male"/>
    <n v="64"/>
    <s v="Yes"/>
    <x v="42"/>
    <x v="0"/>
    <x v="0"/>
    <x v="0"/>
    <s v="Yes"/>
    <s v="No"/>
    <n v="1"/>
    <n v="72.94"/>
    <n v="3991.82"/>
    <x v="0"/>
  </r>
  <r>
    <x v="184"/>
    <s v="Male"/>
    <n v="40"/>
    <s v="No"/>
    <x v="52"/>
    <x v="1"/>
    <x v="0"/>
    <x v="3"/>
    <s v="No"/>
    <s v="Yes"/>
    <n v="4"/>
    <n v="75.39"/>
    <n v="2639.15"/>
    <x v="0"/>
  </r>
  <r>
    <x v="185"/>
    <s v="Male"/>
    <n v="66"/>
    <s v="Yes"/>
    <x v="28"/>
    <x v="0"/>
    <x v="2"/>
    <x v="0"/>
    <s v="No"/>
    <s v="Yes"/>
    <n v="4"/>
    <n v="62.74"/>
    <n v="1172.1400000000001"/>
    <x v="0"/>
  </r>
  <r>
    <x v="186"/>
    <s v="Female"/>
    <n v="26"/>
    <s v="No"/>
    <x v="63"/>
    <x v="0"/>
    <x v="0"/>
    <x v="1"/>
    <s v="No"/>
    <s v="No"/>
    <n v="2"/>
    <n v="62.33"/>
    <n v="1857.99"/>
    <x v="1"/>
  </r>
  <r>
    <x v="187"/>
    <s v="Male"/>
    <n v="52"/>
    <s v="No"/>
    <x v="42"/>
    <x v="0"/>
    <x v="0"/>
    <x v="3"/>
    <s v="No"/>
    <s v="No"/>
    <n v="2"/>
    <n v="67.77"/>
    <n v="3395.55"/>
    <x v="1"/>
  </r>
  <r>
    <x v="188"/>
    <s v="Male"/>
    <n v="37"/>
    <s v="No"/>
    <x v="12"/>
    <x v="0"/>
    <x v="2"/>
    <x v="2"/>
    <s v="No"/>
    <s v="No"/>
    <n v="3"/>
    <n v="65.25"/>
    <n v="274.33"/>
    <x v="0"/>
  </r>
  <r>
    <x v="189"/>
    <s v="Female"/>
    <n v="75"/>
    <s v="Yes"/>
    <x v="60"/>
    <x v="0"/>
    <x v="2"/>
    <x v="3"/>
    <s v="No"/>
    <s v="No"/>
    <n v="5"/>
    <n v="67.52"/>
    <n v="3423.63"/>
    <x v="0"/>
  </r>
  <r>
    <x v="190"/>
    <s v="Male"/>
    <n v="66"/>
    <s v="Yes"/>
    <x v="57"/>
    <x v="1"/>
    <x v="2"/>
    <x v="2"/>
    <s v="Yes"/>
    <s v="No"/>
    <n v="5"/>
    <n v="65.02"/>
    <n v="4843.16"/>
    <x v="0"/>
  </r>
  <r>
    <x v="191"/>
    <s v="Male"/>
    <n v="59"/>
    <s v="No"/>
    <x v="23"/>
    <x v="0"/>
    <x v="0"/>
    <x v="0"/>
    <s v="No"/>
    <s v="No"/>
    <n v="6"/>
    <n v="84.49"/>
    <n v="2227.65"/>
    <x v="0"/>
  </r>
  <r>
    <x v="192"/>
    <s v="Male"/>
    <n v="52"/>
    <s v="No"/>
    <x v="12"/>
    <x v="0"/>
    <x v="1"/>
    <x v="1"/>
    <s v="Yes"/>
    <s v="No"/>
    <n v="4"/>
    <n v="40.71"/>
    <n v="157.38"/>
    <x v="1"/>
  </r>
  <r>
    <x v="193"/>
    <s v="Male"/>
    <n v="67"/>
    <s v="Yes"/>
    <x v="46"/>
    <x v="0"/>
    <x v="0"/>
    <x v="3"/>
    <s v="No"/>
    <s v="Yes"/>
    <n v="4"/>
    <n v="68.72"/>
    <n v="1625.31"/>
    <x v="1"/>
  </r>
  <r>
    <x v="194"/>
    <s v="Male"/>
    <n v="35"/>
    <s v="No"/>
    <x v="56"/>
    <x v="0"/>
    <x v="0"/>
    <x v="1"/>
    <s v="No"/>
    <s v="Yes"/>
    <n v="1"/>
    <n v="64.739999999999995"/>
    <n v="2704.29"/>
    <x v="0"/>
  </r>
  <r>
    <x v="195"/>
    <s v="Female"/>
    <n v="34"/>
    <s v="No"/>
    <x v="51"/>
    <x v="0"/>
    <x v="2"/>
    <x v="2"/>
    <s v="No"/>
    <s v="No"/>
    <n v="4"/>
    <n v="61.63"/>
    <n v="4029.48"/>
    <x v="0"/>
  </r>
  <r>
    <x v="196"/>
    <s v="Female"/>
    <n v="41"/>
    <s v="No"/>
    <x v="36"/>
    <x v="1"/>
    <x v="2"/>
    <x v="1"/>
    <s v="No"/>
    <s v="Yes"/>
    <n v="5"/>
    <n v="62.82"/>
    <n v="3870.51"/>
    <x v="0"/>
  </r>
  <r>
    <x v="197"/>
    <s v="Female"/>
    <n v="20"/>
    <s v="No"/>
    <x v="22"/>
    <x v="1"/>
    <x v="1"/>
    <x v="0"/>
    <s v="Yes"/>
    <s v="Yes"/>
    <n v="3"/>
    <n v="36.82"/>
    <n v="1322.71"/>
    <x v="0"/>
  </r>
  <r>
    <x v="198"/>
    <s v="Male"/>
    <n v="49"/>
    <s v="No"/>
    <x v="60"/>
    <x v="1"/>
    <x v="2"/>
    <x v="0"/>
    <s v="No"/>
    <s v="Yes"/>
    <n v="4"/>
    <n v="54.42"/>
    <n v="3090.32"/>
    <x v="0"/>
  </r>
  <r>
    <x v="199"/>
    <s v="Male"/>
    <n v="52"/>
    <s v="No"/>
    <x v="8"/>
    <x v="1"/>
    <x v="1"/>
    <x v="2"/>
    <s v="No"/>
    <s v="Yes"/>
    <n v="2"/>
    <n v="26.65"/>
    <n v="27.93"/>
    <x v="0"/>
  </r>
  <r>
    <x v="200"/>
    <s v="Male"/>
    <n v="55"/>
    <s v="No"/>
    <x v="50"/>
    <x v="0"/>
    <x v="1"/>
    <x v="1"/>
    <s v="No"/>
    <s v="Yes"/>
    <n v="2"/>
    <n v="26.01"/>
    <n v="1880.89"/>
    <x v="0"/>
  </r>
  <r>
    <x v="201"/>
    <s v="Female"/>
    <n v="30"/>
    <s v="No"/>
    <x v="52"/>
    <x v="0"/>
    <x v="2"/>
    <x v="1"/>
    <s v="Yes"/>
    <s v="No"/>
    <n v="2"/>
    <n v="49.24"/>
    <n v="1828.52"/>
    <x v="0"/>
  </r>
  <r>
    <x v="202"/>
    <s v="Male"/>
    <n v="73"/>
    <s v="Yes"/>
    <x v="33"/>
    <x v="0"/>
    <x v="2"/>
    <x v="1"/>
    <s v="No"/>
    <s v="No"/>
    <n v="5"/>
    <n v="68.14"/>
    <n v="376.28"/>
    <x v="1"/>
  </r>
  <r>
    <x v="203"/>
    <s v="Male"/>
    <n v="64"/>
    <s v="Yes"/>
    <x v="26"/>
    <x v="0"/>
    <x v="2"/>
    <x v="2"/>
    <s v="No"/>
    <s v="No"/>
    <n v="5"/>
    <n v="56.99"/>
    <n v="1374.13"/>
    <x v="0"/>
  </r>
  <r>
    <x v="204"/>
    <s v="Female"/>
    <n v="42"/>
    <s v="No"/>
    <x v="47"/>
    <x v="2"/>
    <x v="1"/>
    <x v="1"/>
    <s v="No"/>
    <s v="No"/>
    <n v="4"/>
    <n v="41.29"/>
    <n v="703.56"/>
    <x v="1"/>
  </r>
  <r>
    <x v="205"/>
    <s v="Male"/>
    <n v="26"/>
    <s v="No"/>
    <x v="31"/>
    <x v="0"/>
    <x v="2"/>
    <x v="1"/>
    <s v="No"/>
    <s v="No"/>
    <n v="3"/>
    <n v="55.11"/>
    <n v="3450.12"/>
    <x v="0"/>
  </r>
  <r>
    <x v="206"/>
    <s v="Female"/>
    <n v="21"/>
    <s v="No"/>
    <x v="1"/>
    <x v="0"/>
    <x v="0"/>
    <x v="1"/>
    <s v="No"/>
    <s v="Yes"/>
    <n v="5"/>
    <n v="89.51"/>
    <n v="1027.54"/>
    <x v="1"/>
  </r>
  <r>
    <x v="207"/>
    <s v="Female"/>
    <n v="31"/>
    <s v="No"/>
    <x v="33"/>
    <x v="2"/>
    <x v="2"/>
    <x v="3"/>
    <s v="Yes"/>
    <s v="No"/>
    <n v="3"/>
    <n v="55.09"/>
    <n v="311.44"/>
    <x v="0"/>
  </r>
  <r>
    <x v="208"/>
    <s v="Female"/>
    <n v="54"/>
    <s v="No"/>
    <x v="5"/>
    <x v="2"/>
    <x v="0"/>
    <x v="1"/>
    <s v="Yes"/>
    <s v="Yes"/>
    <n v="8"/>
    <n v="84.59"/>
    <n v="2174.89"/>
    <x v="0"/>
  </r>
  <r>
    <x v="209"/>
    <s v="Male"/>
    <n v="51"/>
    <s v="No"/>
    <x v="9"/>
    <x v="1"/>
    <x v="0"/>
    <x v="1"/>
    <s v="No"/>
    <s v="No"/>
    <n v="6"/>
    <n v="101.87"/>
    <n v="795.93"/>
    <x v="1"/>
  </r>
  <r>
    <x v="210"/>
    <s v="Male"/>
    <n v="28"/>
    <s v="No"/>
    <x v="61"/>
    <x v="0"/>
    <x v="0"/>
    <x v="1"/>
    <s v="Yes"/>
    <s v="No"/>
    <n v="4"/>
    <n v="85.8"/>
    <n v="5263.24"/>
    <x v="0"/>
  </r>
  <r>
    <x v="211"/>
    <s v="Male"/>
    <n v="58"/>
    <s v="No"/>
    <x v="44"/>
    <x v="0"/>
    <x v="2"/>
    <x v="3"/>
    <s v="No"/>
    <s v="No"/>
    <n v="3"/>
    <n v="58.38"/>
    <n v="3144.94"/>
    <x v="1"/>
  </r>
  <r>
    <x v="212"/>
    <s v="Male"/>
    <n v="73"/>
    <s v="Yes"/>
    <x v="6"/>
    <x v="0"/>
    <x v="1"/>
    <x v="3"/>
    <s v="No"/>
    <s v="No"/>
    <n v="3"/>
    <n v="32.97"/>
    <n v="1222.53"/>
    <x v="0"/>
  </r>
  <r>
    <x v="213"/>
    <s v="Male"/>
    <n v="20"/>
    <s v="No"/>
    <x v="54"/>
    <x v="0"/>
    <x v="0"/>
    <x v="3"/>
    <s v="No"/>
    <s v="No"/>
    <n v="4"/>
    <n v="76.77"/>
    <n v="1136.1199999999999"/>
    <x v="1"/>
  </r>
  <r>
    <x v="214"/>
    <s v="Male"/>
    <n v="45"/>
    <s v="No"/>
    <x v="39"/>
    <x v="0"/>
    <x v="0"/>
    <x v="2"/>
    <s v="Yes"/>
    <s v="No"/>
    <n v="3"/>
    <n v="65.040000000000006"/>
    <n v="2174.33"/>
    <x v="0"/>
  </r>
  <r>
    <x v="215"/>
    <s v="Male"/>
    <n v="46"/>
    <s v="No"/>
    <x v="11"/>
    <x v="0"/>
    <x v="0"/>
    <x v="2"/>
    <s v="No"/>
    <s v="Yes"/>
    <n v="8"/>
    <n v="92.66"/>
    <n v="4676.76"/>
    <x v="0"/>
  </r>
  <r>
    <x v="216"/>
    <s v="Female"/>
    <n v="26"/>
    <s v="No"/>
    <x v="64"/>
    <x v="2"/>
    <x v="2"/>
    <x v="0"/>
    <s v="Yes"/>
    <s v="No"/>
    <n v="4"/>
    <n v="60.23"/>
    <n v="3339.59"/>
    <x v="0"/>
  </r>
  <r>
    <x v="217"/>
    <s v="Male"/>
    <n v="20"/>
    <s v="No"/>
    <x v="65"/>
    <x v="0"/>
    <x v="0"/>
    <x v="2"/>
    <s v="No"/>
    <s v="No"/>
    <n v="5"/>
    <n v="82.82"/>
    <n v="4144.17"/>
    <x v="0"/>
  </r>
  <r>
    <x v="218"/>
    <s v="Female"/>
    <n v="42"/>
    <s v="No"/>
    <x v="21"/>
    <x v="1"/>
    <x v="0"/>
    <x v="3"/>
    <s v="No"/>
    <s v="Yes"/>
    <n v="2"/>
    <n v="83.27"/>
    <n v="1009.02"/>
    <x v="0"/>
  </r>
  <r>
    <x v="219"/>
    <s v="Male"/>
    <n v="51"/>
    <s v="No"/>
    <x v="31"/>
    <x v="1"/>
    <x v="0"/>
    <x v="2"/>
    <s v="No"/>
    <s v="Yes"/>
    <n v="7"/>
    <n v="95.7"/>
    <n v="5915.77"/>
    <x v="0"/>
  </r>
  <r>
    <x v="220"/>
    <s v="Male"/>
    <n v="29"/>
    <s v="No"/>
    <x v="65"/>
    <x v="0"/>
    <x v="2"/>
    <x v="0"/>
    <s v="No"/>
    <s v="No"/>
    <n v="5"/>
    <n v="69.819999999999993"/>
    <n v="3306.23"/>
    <x v="0"/>
  </r>
  <r>
    <x v="221"/>
    <s v="Male"/>
    <n v="59"/>
    <s v="No"/>
    <x v="16"/>
    <x v="1"/>
    <x v="0"/>
    <x v="3"/>
    <s v="Yes"/>
    <s v="Yes"/>
    <n v="8"/>
    <n v="98.78"/>
    <n v="4249.59"/>
    <x v="0"/>
  </r>
  <r>
    <x v="222"/>
    <s v="Female"/>
    <n v="26"/>
    <s v="No"/>
    <x v="38"/>
    <x v="0"/>
    <x v="2"/>
    <x v="0"/>
    <s v="No"/>
    <s v="Yes"/>
    <n v="6"/>
    <n v="68.14"/>
    <n v="4500.62"/>
    <x v="0"/>
  </r>
  <r>
    <x v="223"/>
    <s v="Female"/>
    <n v="32"/>
    <s v="No"/>
    <x v="9"/>
    <x v="0"/>
    <x v="0"/>
    <x v="2"/>
    <s v="Yes"/>
    <s v="No"/>
    <n v="4"/>
    <n v="82.18"/>
    <n v="668.34"/>
    <x v="0"/>
  </r>
  <r>
    <x v="224"/>
    <s v="Female"/>
    <n v="57"/>
    <s v="No"/>
    <x v="66"/>
    <x v="1"/>
    <x v="2"/>
    <x v="1"/>
    <s v="Yes"/>
    <s v="Yes"/>
    <n v="6"/>
    <n v="53.11"/>
    <n v="2189.35"/>
    <x v="0"/>
  </r>
  <r>
    <x v="225"/>
    <s v="Female"/>
    <n v="42"/>
    <s v="No"/>
    <x v="28"/>
    <x v="0"/>
    <x v="0"/>
    <x v="1"/>
    <s v="No"/>
    <s v="No"/>
    <n v="5"/>
    <n v="81.180000000000007"/>
    <n v="1602.73"/>
    <x v="0"/>
  </r>
  <r>
    <x v="226"/>
    <s v="Male"/>
    <n v="22"/>
    <s v="No"/>
    <x v="49"/>
    <x v="2"/>
    <x v="2"/>
    <x v="0"/>
    <s v="No"/>
    <s v="No"/>
    <n v="1"/>
    <n v="37.22"/>
    <n v="1418.34"/>
    <x v="0"/>
  </r>
  <r>
    <x v="227"/>
    <s v="Female"/>
    <n v="28"/>
    <s v="No"/>
    <x v="65"/>
    <x v="0"/>
    <x v="0"/>
    <x v="1"/>
    <s v="No"/>
    <s v="No"/>
    <n v="3"/>
    <n v="66.739999999999995"/>
    <n v="3375.21"/>
    <x v="0"/>
  </r>
  <r>
    <x v="228"/>
    <s v="Male"/>
    <n v="51"/>
    <s v="No"/>
    <x v="59"/>
    <x v="1"/>
    <x v="2"/>
    <x v="3"/>
    <s v="No"/>
    <s v="Yes"/>
    <n v="3"/>
    <n v="63.36"/>
    <n v="4124.74"/>
    <x v="0"/>
  </r>
  <r>
    <x v="229"/>
    <s v="Male"/>
    <n v="41"/>
    <s v="No"/>
    <x v="38"/>
    <x v="0"/>
    <x v="1"/>
    <x v="1"/>
    <s v="No"/>
    <s v="No"/>
    <n v="2"/>
    <n v="25.46"/>
    <n v="1457.23"/>
    <x v="0"/>
  </r>
  <r>
    <x v="230"/>
    <s v="Female"/>
    <n v="32"/>
    <s v="No"/>
    <x v="62"/>
    <x v="0"/>
    <x v="1"/>
    <x v="1"/>
    <s v="No"/>
    <s v="No"/>
    <n v="4"/>
    <n v="31.73"/>
    <n v="1630.58"/>
    <x v="0"/>
  </r>
  <r>
    <x v="231"/>
    <s v="Female"/>
    <n v="55"/>
    <s v="No"/>
    <x v="14"/>
    <x v="0"/>
    <x v="2"/>
    <x v="2"/>
    <s v="No"/>
    <s v="Yes"/>
    <n v="7"/>
    <n v="73.73"/>
    <n v="661.25"/>
    <x v="0"/>
  </r>
  <r>
    <x v="232"/>
    <s v="Female"/>
    <n v="25"/>
    <s v="No"/>
    <x v="67"/>
    <x v="1"/>
    <x v="2"/>
    <x v="0"/>
    <s v="Yes"/>
    <s v="Yes"/>
    <n v="6"/>
    <n v="66.52"/>
    <n v="2439.77"/>
    <x v="0"/>
  </r>
  <r>
    <x v="233"/>
    <s v="Female"/>
    <n v="22"/>
    <s v="No"/>
    <x v="65"/>
    <x v="2"/>
    <x v="1"/>
    <x v="3"/>
    <s v="No"/>
    <s v="No"/>
    <n v="7"/>
    <n v="56.12"/>
    <n v="2757.22"/>
    <x v="0"/>
  </r>
  <r>
    <x v="234"/>
    <s v="Female"/>
    <n v="65"/>
    <s v="Yes"/>
    <x v="41"/>
    <x v="2"/>
    <x v="2"/>
    <x v="1"/>
    <s v="Yes"/>
    <s v="Yes"/>
    <n v="5"/>
    <n v="75.290000000000006"/>
    <n v="3192.99"/>
    <x v="0"/>
  </r>
  <r>
    <x v="235"/>
    <s v="Female"/>
    <n v="43"/>
    <s v="No"/>
    <x v="47"/>
    <x v="0"/>
    <x v="0"/>
    <x v="1"/>
    <s v="No"/>
    <s v="No"/>
    <n v="3"/>
    <n v="79.010000000000005"/>
    <n v="1382.29"/>
    <x v="1"/>
  </r>
  <r>
    <x v="236"/>
    <s v="Female"/>
    <n v="35"/>
    <s v="No"/>
    <x v="19"/>
    <x v="1"/>
    <x v="1"/>
    <x v="2"/>
    <s v="No"/>
    <s v="Yes"/>
    <n v="2"/>
    <n v="22.15"/>
    <n v="455.68"/>
    <x v="0"/>
  </r>
  <r>
    <x v="237"/>
    <s v="Female"/>
    <n v="23"/>
    <s v="No"/>
    <x v="42"/>
    <x v="1"/>
    <x v="0"/>
    <x v="2"/>
    <s v="No"/>
    <s v="Yes"/>
    <n v="5"/>
    <n v="89.53"/>
    <n v="4841.88"/>
    <x v="0"/>
  </r>
  <r>
    <x v="238"/>
    <s v="Male"/>
    <n v="54"/>
    <s v="No"/>
    <x v="24"/>
    <x v="1"/>
    <x v="0"/>
    <x v="0"/>
    <s v="No"/>
    <s v="Yes"/>
    <n v="4"/>
    <n v="77.459999999999994"/>
    <n v="4250.55"/>
    <x v="0"/>
  </r>
  <r>
    <x v="239"/>
    <s v="Female"/>
    <n v="65"/>
    <s v="Yes"/>
    <x v="49"/>
    <x v="0"/>
    <x v="0"/>
    <x v="2"/>
    <s v="Yes"/>
    <s v="No"/>
    <n v="3"/>
    <n v="76.180000000000007"/>
    <n v="3011.19"/>
    <x v="0"/>
  </r>
  <r>
    <x v="240"/>
    <s v="Female"/>
    <n v="30"/>
    <s v="No"/>
    <x v="60"/>
    <x v="1"/>
    <x v="0"/>
    <x v="2"/>
    <s v="No"/>
    <s v="No"/>
    <n v="5"/>
    <n v="71.430000000000007"/>
    <n v="4211.32"/>
    <x v="0"/>
  </r>
  <r>
    <x v="241"/>
    <s v="Male"/>
    <n v="45"/>
    <s v="No"/>
    <x v="41"/>
    <x v="2"/>
    <x v="2"/>
    <x v="2"/>
    <s v="No"/>
    <s v="Yes"/>
    <n v="1"/>
    <n v="50.52"/>
    <n v="2087.59"/>
    <x v="0"/>
  </r>
  <r>
    <x v="242"/>
    <s v="Female"/>
    <n v="22"/>
    <s v="No"/>
    <x v="49"/>
    <x v="0"/>
    <x v="0"/>
    <x v="0"/>
    <s v="No"/>
    <s v="No"/>
    <n v="3"/>
    <n v="65.89"/>
    <n v="2551.25"/>
    <x v="0"/>
  </r>
  <r>
    <x v="243"/>
    <s v="Male"/>
    <n v="30"/>
    <s v="No"/>
    <x v="21"/>
    <x v="2"/>
    <x v="0"/>
    <x v="1"/>
    <s v="No"/>
    <s v="No"/>
    <n v="5"/>
    <n v="86.74"/>
    <n v="1061.57"/>
    <x v="0"/>
  </r>
  <r>
    <x v="244"/>
    <s v="Male"/>
    <n v="34"/>
    <s v="No"/>
    <x v="59"/>
    <x v="1"/>
    <x v="0"/>
    <x v="3"/>
    <s v="No"/>
    <s v="No"/>
    <n v="5"/>
    <n v="77.94"/>
    <n v="5235.72"/>
    <x v="0"/>
  </r>
  <r>
    <x v="245"/>
    <s v="Female"/>
    <n v="67"/>
    <s v="Yes"/>
    <x v="15"/>
    <x v="0"/>
    <x v="2"/>
    <x v="3"/>
    <s v="No"/>
    <s v="No"/>
    <n v="3"/>
    <n v="60.06"/>
    <n v="647.32000000000005"/>
    <x v="1"/>
  </r>
  <r>
    <x v="246"/>
    <s v="Male"/>
    <n v="57"/>
    <s v="No"/>
    <x v="13"/>
    <x v="0"/>
    <x v="2"/>
    <x v="1"/>
    <s v="No"/>
    <s v="No"/>
    <n v="4"/>
    <n v="49.93"/>
    <n v="979.22"/>
    <x v="0"/>
  </r>
  <r>
    <x v="247"/>
    <s v="Male"/>
    <n v="62"/>
    <s v="Yes"/>
    <x v="15"/>
    <x v="0"/>
    <x v="0"/>
    <x v="2"/>
    <s v="Yes"/>
    <s v="No"/>
    <n v="3"/>
    <n v="64.069999999999993"/>
    <n v="670.66"/>
    <x v="1"/>
  </r>
  <r>
    <x v="248"/>
    <s v="Male"/>
    <n v="49"/>
    <s v="No"/>
    <x v="16"/>
    <x v="0"/>
    <x v="0"/>
    <x v="1"/>
    <s v="Yes"/>
    <s v="No"/>
    <n v="4"/>
    <n v="75.209999999999994"/>
    <n v="3206.06"/>
    <x v="0"/>
  </r>
  <r>
    <x v="249"/>
    <s v="Male"/>
    <n v="46"/>
    <s v="No"/>
    <x v="56"/>
    <x v="2"/>
    <x v="0"/>
    <x v="0"/>
    <s v="No"/>
    <s v="No"/>
    <n v="4"/>
    <n v="80.86"/>
    <n v="3525.44"/>
    <x v="0"/>
  </r>
  <r>
    <x v="250"/>
    <s v="Female"/>
    <n v="68"/>
    <s v="Yes"/>
    <x v="8"/>
    <x v="0"/>
    <x v="1"/>
    <x v="1"/>
    <s v="Yes"/>
    <s v="Yes"/>
    <n v="3"/>
    <n v="28.98"/>
    <n v="27.97"/>
    <x v="0"/>
  </r>
  <r>
    <x v="251"/>
    <s v="Male"/>
    <n v="75"/>
    <s v="Yes"/>
    <x v="6"/>
    <x v="2"/>
    <x v="2"/>
    <x v="3"/>
    <s v="No"/>
    <s v="Yes"/>
    <n v="4"/>
    <n v="60.43"/>
    <n v="2561.64"/>
    <x v="0"/>
  </r>
  <r>
    <x v="252"/>
    <s v="Female"/>
    <n v="20"/>
    <s v="No"/>
    <x v="13"/>
    <x v="2"/>
    <x v="2"/>
    <x v="1"/>
    <s v="No"/>
    <s v="No"/>
    <n v="3"/>
    <n v="61.12"/>
    <n v="1229.04"/>
    <x v="0"/>
  </r>
  <r>
    <x v="253"/>
    <s v="Male"/>
    <n v="73"/>
    <s v="Yes"/>
    <x v="50"/>
    <x v="0"/>
    <x v="0"/>
    <x v="2"/>
    <s v="No"/>
    <s v="No"/>
    <n v="5"/>
    <n v="73.73"/>
    <n v="5337.35"/>
    <x v="0"/>
  </r>
  <r>
    <x v="254"/>
    <s v="Male"/>
    <n v="57"/>
    <s v="No"/>
    <x v="50"/>
    <x v="2"/>
    <x v="2"/>
    <x v="3"/>
    <s v="No"/>
    <s v="No"/>
    <n v="5"/>
    <n v="64.44"/>
    <n v="4282.6099999999997"/>
    <x v="0"/>
  </r>
  <r>
    <x v="255"/>
    <s v="Male"/>
    <n v="51"/>
    <s v="No"/>
    <x v="31"/>
    <x v="2"/>
    <x v="2"/>
    <x v="2"/>
    <s v="Yes"/>
    <s v="No"/>
    <n v="2"/>
    <n v="54.78"/>
    <n v="3196.33"/>
    <x v="0"/>
  </r>
  <r>
    <x v="256"/>
    <s v="Male"/>
    <n v="57"/>
    <s v="No"/>
    <x v="1"/>
    <x v="1"/>
    <x v="0"/>
    <x v="2"/>
    <s v="No"/>
    <s v="Yes"/>
    <n v="2"/>
    <n v="69.650000000000006"/>
    <n v="854.39"/>
    <x v="0"/>
  </r>
  <r>
    <x v="257"/>
    <s v="Female"/>
    <n v="44"/>
    <s v="No"/>
    <x v="31"/>
    <x v="1"/>
    <x v="0"/>
    <x v="3"/>
    <s v="No"/>
    <s v="No"/>
    <n v="3"/>
    <n v="74.42"/>
    <n v="4250.1099999999997"/>
    <x v="0"/>
  </r>
  <r>
    <x v="258"/>
    <s v="Female"/>
    <n v="30"/>
    <s v="No"/>
    <x v="7"/>
    <x v="2"/>
    <x v="0"/>
    <x v="2"/>
    <s v="No"/>
    <s v="Yes"/>
    <n v="8"/>
    <n v="85.14"/>
    <n v="2899.81"/>
    <x v="0"/>
  </r>
  <r>
    <x v="259"/>
    <s v="Male"/>
    <n v="62"/>
    <s v="Yes"/>
    <x v="56"/>
    <x v="1"/>
    <x v="1"/>
    <x v="1"/>
    <s v="Yes"/>
    <s v="Yes"/>
    <n v="2"/>
    <n v="36.06"/>
    <n v="1495.99"/>
    <x v="0"/>
  </r>
  <r>
    <x v="260"/>
    <s v="Male"/>
    <n v="50"/>
    <s v="No"/>
    <x v="25"/>
    <x v="0"/>
    <x v="1"/>
    <x v="1"/>
    <s v="No"/>
    <s v="No"/>
    <n v="8"/>
    <n v="57.43"/>
    <n v="4078.4"/>
    <x v="0"/>
  </r>
  <r>
    <x v="261"/>
    <s v="Female"/>
    <n v="23"/>
    <s v="No"/>
    <x v="9"/>
    <x v="2"/>
    <x v="2"/>
    <x v="1"/>
    <s v="Yes"/>
    <s v="Yes"/>
    <n v="1"/>
    <n v="48.05"/>
    <n v="405.59"/>
    <x v="0"/>
  </r>
  <r>
    <x v="262"/>
    <s v="Male"/>
    <n v="41"/>
    <s v="No"/>
    <x v="26"/>
    <x v="1"/>
    <x v="2"/>
    <x v="1"/>
    <s v="No"/>
    <s v="No"/>
    <n v="5"/>
    <n v="77.45"/>
    <n v="1926.71"/>
    <x v="0"/>
  </r>
  <r>
    <x v="263"/>
    <s v="Male"/>
    <n v="36"/>
    <s v="No"/>
    <x v="16"/>
    <x v="1"/>
    <x v="0"/>
    <x v="2"/>
    <s v="Yes"/>
    <s v="No"/>
    <n v="4"/>
    <n v="77.55"/>
    <n v="3755.13"/>
    <x v="0"/>
  </r>
  <r>
    <x v="264"/>
    <s v="Male"/>
    <n v="33"/>
    <s v="No"/>
    <x v="20"/>
    <x v="0"/>
    <x v="2"/>
    <x v="1"/>
    <s v="No"/>
    <s v="Yes"/>
    <n v="5"/>
    <n v="65.260000000000005"/>
    <n v="2045.99"/>
    <x v="1"/>
  </r>
  <r>
    <x v="265"/>
    <s v="Female"/>
    <n v="57"/>
    <s v="No"/>
    <x v="37"/>
    <x v="1"/>
    <x v="2"/>
    <x v="3"/>
    <s v="No"/>
    <s v="No"/>
    <n v="8"/>
    <n v="84.02"/>
    <n v="4057.25"/>
    <x v="0"/>
  </r>
  <r>
    <x v="266"/>
    <s v="Female"/>
    <n v="45"/>
    <s v="No"/>
    <x v="65"/>
    <x v="0"/>
    <x v="0"/>
    <x v="3"/>
    <s v="Yes"/>
    <s v="No"/>
    <n v="6"/>
    <n v="86.66"/>
    <n v="4209.07"/>
    <x v="0"/>
  </r>
  <r>
    <x v="267"/>
    <s v="Female"/>
    <n v="50"/>
    <s v="No"/>
    <x v="37"/>
    <x v="2"/>
    <x v="1"/>
    <x v="3"/>
    <s v="Yes"/>
    <s v="Yes"/>
    <n v="4"/>
    <n v="35.979999999999997"/>
    <n v="1629.34"/>
    <x v="0"/>
  </r>
  <r>
    <x v="268"/>
    <s v="Male"/>
    <n v="65"/>
    <s v="Yes"/>
    <x v="68"/>
    <x v="0"/>
    <x v="0"/>
    <x v="0"/>
    <s v="No"/>
    <s v="Yes"/>
    <n v="4"/>
    <n v="81.790000000000006"/>
    <n v="1557.22"/>
    <x v="0"/>
  </r>
  <r>
    <x v="269"/>
    <s v="Male"/>
    <n v="58"/>
    <s v="No"/>
    <x v="36"/>
    <x v="0"/>
    <x v="0"/>
    <x v="2"/>
    <s v="Yes"/>
    <s v="No"/>
    <n v="5"/>
    <n v="78.2"/>
    <n v="5283.9"/>
    <x v="0"/>
  </r>
  <r>
    <x v="270"/>
    <s v="Female"/>
    <n v="30"/>
    <s v="No"/>
    <x v="27"/>
    <x v="0"/>
    <x v="2"/>
    <x v="1"/>
    <s v="No"/>
    <s v="No"/>
    <n v="4"/>
    <n v="67.400000000000006"/>
    <n v="4801.74"/>
    <x v="0"/>
  </r>
  <r>
    <x v="271"/>
    <s v="Female"/>
    <n v="60"/>
    <s v="Yes"/>
    <x v="7"/>
    <x v="0"/>
    <x v="2"/>
    <x v="1"/>
    <s v="No"/>
    <s v="Yes"/>
    <n v="5"/>
    <n v="66.599999999999994"/>
    <n v="2216.0700000000002"/>
    <x v="0"/>
  </r>
  <r>
    <x v="272"/>
    <s v="Female"/>
    <n v="62"/>
    <s v="Yes"/>
    <x v="58"/>
    <x v="1"/>
    <x v="2"/>
    <x v="3"/>
    <s v="No"/>
    <s v="Yes"/>
    <n v="6"/>
    <n v="60.97"/>
    <n v="2079.6799999999998"/>
    <x v="0"/>
  </r>
  <r>
    <x v="273"/>
    <s v="Female"/>
    <n v="42"/>
    <s v="No"/>
    <x v="13"/>
    <x v="2"/>
    <x v="0"/>
    <x v="3"/>
    <s v="No"/>
    <s v="No"/>
    <n v="6"/>
    <n v="78.27"/>
    <n v="1601.21"/>
    <x v="0"/>
  </r>
  <r>
    <x v="274"/>
    <s v="Male"/>
    <n v="70"/>
    <s v="Yes"/>
    <x v="23"/>
    <x v="2"/>
    <x v="1"/>
    <x v="0"/>
    <s v="Yes"/>
    <s v="No"/>
    <n v="1"/>
    <n v="30.09"/>
    <n v="799.75"/>
    <x v="0"/>
  </r>
  <r>
    <x v="275"/>
    <s v="Female"/>
    <n v="59"/>
    <s v="No"/>
    <x v="6"/>
    <x v="0"/>
    <x v="2"/>
    <x v="2"/>
    <s v="No"/>
    <s v="Yes"/>
    <n v="7"/>
    <n v="72.790000000000006"/>
    <n v="3103.18"/>
    <x v="0"/>
  </r>
  <r>
    <x v="276"/>
    <s v="Male"/>
    <n v="53"/>
    <s v="No"/>
    <x v="48"/>
    <x v="0"/>
    <x v="2"/>
    <x v="0"/>
    <s v="Yes"/>
    <s v="No"/>
    <n v="4"/>
    <n v="50.29"/>
    <n v="719.12"/>
    <x v="0"/>
  </r>
  <r>
    <x v="277"/>
    <s v="Female"/>
    <n v="44"/>
    <s v="No"/>
    <x v="41"/>
    <x v="2"/>
    <x v="1"/>
    <x v="0"/>
    <s v="No"/>
    <s v="No"/>
    <n v="2"/>
    <n v="38.5"/>
    <n v="1546.61"/>
    <x v="0"/>
  </r>
  <r>
    <x v="278"/>
    <s v="Male"/>
    <n v="55"/>
    <s v="No"/>
    <x v="49"/>
    <x v="2"/>
    <x v="2"/>
    <x v="1"/>
    <s v="No"/>
    <s v="No"/>
    <n v="7"/>
    <n v="75.66"/>
    <n v="2922.45"/>
    <x v="0"/>
  </r>
  <r>
    <x v="279"/>
    <s v="Female"/>
    <n v="24"/>
    <s v="No"/>
    <x v="2"/>
    <x v="0"/>
    <x v="0"/>
    <x v="3"/>
    <s v="No"/>
    <s v="Yes"/>
    <n v="2"/>
    <n v="73.39"/>
    <n v="156.68"/>
    <x v="0"/>
  </r>
  <r>
    <x v="280"/>
    <s v="Female"/>
    <n v="22"/>
    <s v="No"/>
    <x v="18"/>
    <x v="0"/>
    <x v="2"/>
    <x v="3"/>
    <s v="Yes"/>
    <s v="No"/>
    <n v="5"/>
    <n v="68.3"/>
    <n v="4570.16"/>
    <x v="0"/>
  </r>
  <r>
    <x v="281"/>
    <s v="Female"/>
    <n v="60"/>
    <s v="Yes"/>
    <x v="63"/>
    <x v="0"/>
    <x v="0"/>
    <x v="1"/>
    <s v="No"/>
    <s v="Yes"/>
    <n v="3"/>
    <n v="68.069999999999993"/>
    <n v="2076.12"/>
    <x v="0"/>
  </r>
  <r>
    <x v="282"/>
    <s v="Female"/>
    <n v="62"/>
    <s v="Yes"/>
    <x v="36"/>
    <x v="2"/>
    <x v="0"/>
    <x v="1"/>
    <s v="No"/>
    <s v="No"/>
    <n v="6"/>
    <n v="80.48"/>
    <n v="5206.87"/>
    <x v="0"/>
  </r>
  <r>
    <x v="283"/>
    <s v="Male"/>
    <n v="75"/>
    <s v="Yes"/>
    <x v="42"/>
    <x v="1"/>
    <x v="0"/>
    <x v="2"/>
    <s v="No"/>
    <s v="No"/>
    <n v="2"/>
    <n v="69.180000000000007"/>
    <n v="3248.46"/>
    <x v="0"/>
  </r>
  <r>
    <x v="284"/>
    <s v="Female"/>
    <n v="74"/>
    <s v="Yes"/>
    <x v="69"/>
    <x v="0"/>
    <x v="1"/>
    <x v="0"/>
    <s v="No"/>
    <s v="No"/>
    <n v="1"/>
    <n v="24.56"/>
    <n v="252.74"/>
    <x v="0"/>
  </r>
  <r>
    <x v="285"/>
    <s v="Male"/>
    <n v="68"/>
    <s v="Yes"/>
    <x v="54"/>
    <x v="0"/>
    <x v="0"/>
    <x v="1"/>
    <s v="No"/>
    <s v="No"/>
    <n v="4"/>
    <n v="82.52"/>
    <n v="1138.82"/>
    <x v="0"/>
  </r>
  <r>
    <x v="286"/>
    <s v="Male"/>
    <n v="48"/>
    <s v="No"/>
    <x v="42"/>
    <x v="2"/>
    <x v="2"/>
    <x v="3"/>
    <s v="Yes"/>
    <s v="No"/>
    <n v="2"/>
    <n v="56.64"/>
    <n v="3007.45"/>
    <x v="1"/>
  </r>
  <r>
    <x v="287"/>
    <s v="Male"/>
    <n v="40"/>
    <s v="No"/>
    <x v="49"/>
    <x v="0"/>
    <x v="0"/>
    <x v="1"/>
    <s v="No"/>
    <s v="No"/>
    <n v="6"/>
    <n v="82.08"/>
    <n v="3352.14"/>
    <x v="1"/>
  </r>
  <r>
    <x v="288"/>
    <s v="Male"/>
    <n v="59"/>
    <s v="No"/>
    <x v="23"/>
    <x v="0"/>
    <x v="2"/>
    <x v="2"/>
    <s v="No"/>
    <s v="Yes"/>
    <n v="4"/>
    <n v="52.93"/>
    <n v="1467.75"/>
    <x v="0"/>
  </r>
  <r>
    <x v="289"/>
    <s v="Female"/>
    <n v="27"/>
    <s v="No"/>
    <x v="4"/>
    <x v="1"/>
    <x v="2"/>
    <x v="1"/>
    <s v="No"/>
    <s v="No"/>
    <n v="4"/>
    <n v="64.98"/>
    <n v="202.68"/>
    <x v="1"/>
  </r>
  <r>
    <x v="290"/>
    <s v="Male"/>
    <n v="49"/>
    <s v="No"/>
    <x v="0"/>
    <x v="0"/>
    <x v="2"/>
    <x v="3"/>
    <s v="No"/>
    <s v="Yes"/>
    <n v="3"/>
    <n v="48.13"/>
    <n v="3552.35"/>
    <x v="0"/>
  </r>
  <r>
    <x v="291"/>
    <s v="Male"/>
    <n v="60"/>
    <s v="Yes"/>
    <x v="5"/>
    <x v="0"/>
    <x v="0"/>
    <x v="0"/>
    <s v="Yes"/>
    <s v="Yes"/>
    <n v="6"/>
    <n v="85"/>
    <n v="2452.34"/>
    <x v="0"/>
  </r>
  <r>
    <x v="292"/>
    <s v="Male"/>
    <n v="70"/>
    <s v="Yes"/>
    <x v="2"/>
    <x v="2"/>
    <x v="2"/>
    <x v="2"/>
    <s v="No"/>
    <s v="No"/>
    <n v="3"/>
    <n v="47.93"/>
    <n v="97.12"/>
    <x v="0"/>
  </r>
  <r>
    <x v="293"/>
    <s v="Female"/>
    <n v="47"/>
    <s v="No"/>
    <x v="52"/>
    <x v="2"/>
    <x v="1"/>
    <x v="1"/>
    <s v="No"/>
    <s v="No"/>
    <n v="3"/>
    <n v="32.86"/>
    <n v="1304.32"/>
    <x v="0"/>
  </r>
  <r>
    <x v="294"/>
    <s v="Female"/>
    <n v="56"/>
    <s v="No"/>
    <x v="4"/>
    <x v="2"/>
    <x v="2"/>
    <x v="3"/>
    <s v="Yes"/>
    <s v="No"/>
    <n v="5"/>
    <n v="52.46"/>
    <n v="157.24"/>
    <x v="0"/>
  </r>
  <r>
    <x v="295"/>
    <s v="Female"/>
    <n v="48"/>
    <s v="No"/>
    <x v="17"/>
    <x v="2"/>
    <x v="2"/>
    <x v="3"/>
    <s v="No"/>
    <s v="No"/>
    <n v="5"/>
    <n v="71.98"/>
    <n v="1067.22"/>
    <x v="0"/>
  </r>
  <r>
    <x v="296"/>
    <s v="Female"/>
    <n v="35"/>
    <s v="No"/>
    <x v="6"/>
    <x v="1"/>
    <x v="1"/>
    <x v="0"/>
    <s v="No"/>
    <s v="No"/>
    <n v="2"/>
    <n v="40.090000000000003"/>
    <n v="1515.14"/>
    <x v="0"/>
  </r>
  <r>
    <x v="297"/>
    <s v="Male"/>
    <n v="53"/>
    <s v="No"/>
    <x v="2"/>
    <x v="2"/>
    <x v="0"/>
    <x v="0"/>
    <s v="No"/>
    <s v="No"/>
    <n v="3"/>
    <n v="69.349999999999994"/>
    <n v="130.44999999999999"/>
    <x v="0"/>
  </r>
  <r>
    <x v="298"/>
    <s v="Male"/>
    <n v="19"/>
    <s v="No"/>
    <x v="41"/>
    <x v="0"/>
    <x v="2"/>
    <x v="3"/>
    <s v="No"/>
    <s v="Yes"/>
    <n v="3"/>
    <n v="58.24"/>
    <n v="2262.44"/>
    <x v="0"/>
  </r>
  <r>
    <x v="299"/>
    <s v="Female"/>
    <n v="31"/>
    <s v="No"/>
    <x v="1"/>
    <x v="1"/>
    <x v="1"/>
    <x v="2"/>
    <s v="No"/>
    <s v="No"/>
    <n v="4"/>
    <n v="30.95"/>
    <n v="342.29"/>
    <x v="0"/>
  </r>
  <r>
    <x v="300"/>
    <s v="Male"/>
    <n v="30"/>
    <s v="No"/>
    <x v="39"/>
    <x v="2"/>
    <x v="0"/>
    <x v="1"/>
    <s v="Yes"/>
    <s v="No"/>
    <n v="3"/>
    <n v="79.349999999999994"/>
    <n v="2936.64"/>
    <x v="1"/>
  </r>
  <r>
    <x v="301"/>
    <s v="Male"/>
    <n v="46"/>
    <s v="No"/>
    <x v="61"/>
    <x v="0"/>
    <x v="2"/>
    <x v="1"/>
    <s v="No"/>
    <s v="No"/>
    <n v="3"/>
    <n v="48.81"/>
    <n v="3203.18"/>
    <x v="0"/>
  </r>
  <r>
    <x v="302"/>
    <s v="Male"/>
    <n v="29"/>
    <s v="No"/>
    <x v="60"/>
    <x v="0"/>
    <x v="0"/>
    <x v="2"/>
    <s v="No"/>
    <s v="Yes"/>
    <n v="3"/>
    <n v="83.52"/>
    <n v="4507.72"/>
    <x v="0"/>
  </r>
  <r>
    <x v="303"/>
    <s v="Female"/>
    <n v="56"/>
    <s v="No"/>
    <x v="56"/>
    <x v="0"/>
    <x v="2"/>
    <x v="1"/>
    <s v="No"/>
    <s v="No"/>
    <n v="6"/>
    <n v="70.58"/>
    <n v="3130.25"/>
    <x v="0"/>
  </r>
  <r>
    <x v="304"/>
    <s v="Female"/>
    <n v="19"/>
    <s v="No"/>
    <x v="38"/>
    <x v="0"/>
    <x v="2"/>
    <x v="2"/>
    <s v="No"/>
    <s v="Yes"/>
    <n v="7"/>
    <n v="68.44"/>
    <n v="4218.3999999999996"/>
    <x v="0"/>
  </r>
  <r>
    <x v="305"/>
    <s v="Male"/>
    <n v="49"/>
    <s v="No"/>
    <x v="65"/>
    <x v="0"/>
    <x v="0"/>
    <x v="3"/>
    <s v="No"/>
    <s v="Yes"/>
    <n v="4"/>
    <n v="76.14"/>
    <n v="3476.5"/>
    <x v="0"/>
  </r>
  <r>
    <x v="306"/>
    <s v="Female"/>
    <n v="30"/>
    <s v="No"/>
    <x v="26"/>
    <x v="2"/>
    <x v="2"/>
    <x v="3"/>
    <s v="Yes"/>
    <s v="Yes"/>
    <n v="4"/>
    <n v="60.01"/>
    <n v="1446.16"/>
    <x v="0"/>
  </r>
  <r>
    <x v="307"/>
    <s v="Female"/>
    <n v="63"/>
    <s v="Yes"/>
    <x v="45"/>
    <x v="2"/>
    <x v="0"/>
    <x v="1"/>
    <s v="Yes"/>
    <s v="Yes"/>
    <n v="1"/>
    <n v="60.53"/>
    <n v="1470.51"/>
    <x v="0"/>
  </r>
  <r>
    <x v="308"/>
    <s v="Female"/>
    <n v="44"/>
    <s v="No"/>
    <x v="70"/>
    <x v="0"/>
    <x v="0"/>
    <x v="1"/>
    <s v="No"/>
    <s v="No"/>
    <n v="2"/>
    <n v="78.87"/>
    <n v="1966.68"/>
    <x v="0"/>
  </r>
  <r>
    <x v="309"/>
    <s v="Female"/>
    <n v="66"/>
    <s v="Yes"/>
    <x v="52"/>
    <x v="0"/>
    <x v="0"/>
    <x v="3"/>
    <s v="No"/>
    <s v="No"/>
    <n v="3"/>
    <n v="77.14"/>
    <n v="2961.06"/>
    <x v="0"/>
  </r>
  <r>
    <x v="310"/>
    <s v="Female"/>
    <n v="58"/>
    <s v="No"/>
    <x v="23"/>
    <x v="0"/>
    <x v="1"/>
    <x v="2"/>
    <s v="No"/>
    <s v="Yes"/>
    <n v="4"/>
    <n v="47.75"/>
    <n v="1332.87"/>
    <x v="0"/>
  </r>
  <r>
    <x v="311"/>
    <s v="Male"/>
    <n v="34"/>
    <s v="No"/>
    <x v="19"/>
    <x v="2"/>
    <x v="0"/>
    <x v="2"/>
    <s v="No"/>
    <s v="No"/>
    <n v="6"/>
    <n v="69.849999999999994"/>
    <n v="1410.28"/>
    <x v="0"/>
  </r>
  <r>
    <x v="312"/>
    <s v="Female"/>
    <n v="57"/>
    <s v="No"/>
    <x v="62"/>
    <x v="0"/>
    <x v="1"/>
    <x v="1"/>
    <s v="No"/>
    <s v="No"/>
    <n v="3"/>
    <n v="37.11"/>
    <n v="1994.72"/>
    <x v="0"/>
  </r>
  <r>
    <x v="313"/>
    <s v="Male"/>
    <n v="48"/>
    <s v="No"/>
    <x v="68"/>
    <x v="0"/>
    <x v="2"/>
    <x v="1"/>
    <s v="No"/>
    <s v="No"/>
    <n v="7"/>
    <n v="72.739999999999995"/>
    <n v="1329.82"/>
    <x v="0"/>
  </r>
  <r>
    <x v="314"/>
    <s v="Male"/>
    <n v="51"/>
    <s v="No"/>
    <x v="58"/>
    <x v="0"/>
    <x v="0"/>
    <x v="1"/>
    <s v="No"/>
    <s v="No"/>
    <n v="3"/>
    <n v="74.98"/>
    <n v="2791.12"/>
    <x v="0"/>
  </r>
  <r>
    <x v="315"/>
    <s v="Female"/>
    <n v="41"/>
    <s v="No"/>
    <x v="56"/>
    <x v="0"/>
    <x v="2"/>
    <x v="2"/>
    <s v="No"/>
    <s v="No"/>
    <n v="4"/>
    <n v="59.16"/>
    <n v="2520.1999999999998"/>
    <x v="0"/>
  </r>
  <r>
    <x v="316"/>
    <s v="Male"/>
    <n v="62"/>
    <s v="Yes"/>
    <x v="53"/>
    <x v="0"/>
    <x v="2"/>
    <x v="1"/>
    <s v="No"/>
    <s v="No"/>
    <n v="3"/>
    <n v="52.75"/>
    <n v="2935.81"/>
    <x v="0"/>
  </r>
  <r>
    <x v="317"/>
    <s v="Male"/>
    <n v="52"/>
    <s v="No"/>
    <x v="20"/>
    <x v="2"/>
    <x v="2"/>
    <x v="1"/>
    <s v="No"/>
    <s v="No"/>
    <n v="2"/>
    <n v="66.8"/>
    <n v="1954.56"/>
    <x v="1"/>
  </r>
  <r>
    <x v="318"/>
    <s v="Male"/>
    <n v="65"/>
    <s v="Yes"/>
    <x v="34"/>
    <x v="1"/>
    <x v="0"/>
    <x v="1"/>
    <s v="Yes"/>
    <s v="No"/>
    <n v="4"/>
    <n v="80.7"/>
    <n v="4844.5200000000004"/>
    <x v="1"/>
  </r>
  <r>
    <x v="319"/>
    <s v="Female"/>
    <n v="23"/>
    <s v="No"/>
    <x v="10"/>
    <x v="1"/>
    <x v="0"/>
    <x v="0"/>
    <s v="No"/>
    <s v="No"/>
    <n v="3"/>
    <n v="75.86"/>
    <n v="2469.4299999999998"/>
    <x v="0"/>
  </r>
  <r>
    <x v="320"/>
    <s v="Female"/>
    <n v="36"/>
    <s v="No"/>
    <x v="51"/>
    <x v="0"/>
    <x v="0"/>
    <x v="2"/>
    <s v="No"/>
    <s v="No"/>
    <n v="7"/>
    <n v="97.56"/>
    <n v="6524.07"/>
    <x v="0"/>
  </r>
  <r>
    <x v="321"/>
    <s v="Male"/>
    <n v="47"/>
    <s v="No"/>
    <x v="51"/>
    <x v="1"/>
    <x v="0"/>
    <x v="3"/>
    <s v="Yes"/>
    <s v="No"/>
    <n v="1"/>
    <n v="63.09"/>
    <n v="4275.7"/>
    <x v="0"/>
  </r>
  <r>
    <x v="322"/>
    <s v="Female"/>
    <n v="24"/>
    <s v="No"/>
    <x v="23"/>
    <x v="1"/>
    <x v="0"/>
    <x v="1"/>
    <s v="Yes"/>
    <s v="No"/>
    <n v="1"/>
    <n v="57.99"/>
    <n v="1522.8"/>
    <x v="0"/>
  </r>
  <r>
    <x v="323"/>
    <s v="Female"/>
    <n v="27"/>
    <s v="No"/>
    <x v="35"/>
    <x v="0"/>
    <x v="0"/>
    <x v="1"/>
    <s v="Yes"/>
    <s v="No"/>
    <n v="3"/>
    <n v="81.349999999999994"/>
    <n v="3540.55"/>
    <x v="0"/>
  </r>
  <r>
    <x v="324"/>
    <s v="Female"/>
    <n v="58"/>
    <s v="No"/>
    <x v="41"/>
    <x v="1"/>
    <x v="0"/>
    <x v="1"/>
    <s v="No"/>
    <s v="Yes"/>
    <n v="5"/>
    <n v="80.67"/>
    <n v="3191.29"/>
    <x v="0"/>
  </r>
  <r>
    <x v="325"/>
    <s v="Female"/>
    <n v="49"/>
    <s v="No"/>
    <x v="18"/>
    <x v="0"/>
    <x v="0"/>
    <x v="1"/>
    <s v="Yes"/>
    <s v="No"/>
    <n v="6"/>
    <n v="96.53"/>
    <n v="5678.58"/>
    <x v="0"/>
  </r>
  <r>
    <x v="326"/>
    <s v="Male"/>
    <n v="51"/>
    <s v="No"/>
    <x v="45"/>
    <x v="2"/>
    <x v="0"/>
    <x v="1"/>
    <s v="Yes"/>
    <s v="Yes"/>
    <n v="3"/>
    <n v="84.09"/>
    <n v="1838.65"/>
    <x v="0"/>
  </r>
  <r>
    <x v="327"/>
    <s v="Male"/>
    <n v="45"/>
    <s v="No"/>
    <x v="11"/>
    <x v="0"/>
    <x v="0"/>
    <x v="3"/>
    <s v="No"/>
    <s v="Yes"/>
    <n v="7"/>
    <n v="74.739999999999995"/>
    <n v="3646.32"/>
    <x v="0"/>
  </r>
  <r>
    <x v="328"/>
    <s v="Female"/>
    <n v="32"/>
    <s v="No"/>
    <x v="10"/>
    <x v="2"/>
    <x v="1"/>
    <x v="1"/>
    <s v="No"/>
    <s v="Yes"/>
    <n v="1"/>
    <n v="29.51"/>
    <n v="898.49"/>
    <x v="0"/>
  </r>
  <r>
    <x v="329"/>
    <s v="Female"/>
    <n v="47"/>
    <s v="No"/>
    <x v="44"/>
    <x v="0"/>
    <x v="0"/>
    <x v="1"/>
    <s v="Yes"/>
    <s v="No"/>
    <n v="5"/>
    <n v="90.54"/>
    <n v="4897.43"/>
    <x v="0"/>
  </r>
  <r>
    <x v="330"/>
    <s v="Male"/>
    <n v="54"/>
    <s v="No"/>
    <x v="7"/>
    <x v="1"/>
    <x v="2"/>
    <x v="0"/>
    <s v="No"/>
    <s v="No"/>
    <n v="8"/>
    <n v="62.71"/>
    <n v="2086.92"/>
    <x v="0"/>
  </r>
  <r>
    <x v="331"/>
    <s v="Male"/>
    <n v="46"/>
    <s v="No"/>
    <x v="70"/>
    <x v="1"/>
    <x v="0"/>
    <x v="3"/>
    <s v="No"/>
    <s v="No"/>
    <n v="5"/>
    <n v="85.56"/>
    <n v="2186.41"/>
    <x v="0"/>
  </r>
  <r>
    <x v="332"/>
    <s v="Female"/>
    <n v="39"/>
    <s v="No"/>
    <x v="49"/>
    <x v="1"/>
    <x v="1"/>
    <x v="3"/>
    <s v="No"/>
    <s v="No"/>
    <n v="5"/>
    <n v="49.61"/>
    <n v="2024.16"/>
    <x v="0"/>
  </r>
  <r>
    <x v="333"/>
    <s v="Male"/>
    <n v="21"/>
    <s v="No"/>
    <x v="22"/>
    <x v="0"/>
    <x v="0"/>
    <x v="3"/>
    <s v="No"/>
    <s v="No"/>
    <n v="4"/>
    <n v="78.62"/>
    <n v="2846.33"/>
    <x v="0"/>
  </r>
  <r>
    <x v="334"/>
    <s v="Female"/>
    <n v="37"/>
    <s v="No"/>
    <x v="64"/>
    <x v="0"/>
    <x v="1"/>
    <x v="3"/>
    <s v="Yes"/>
    <s v="No"/>
    <n v="4"/>
    <n v="40.67"/>
    <n v="2307.7600000000002"/>
    <x v="0"/>
  </r>
  <r>
    <x v="335"/>
    <s v="Female"/>
    <n v="49"/>
    <s v="No"/>
    <x v="23"/>
    <x v="1"/>
    <x v="2"/>
    <x v="3"/>
    <s v="No"/>
    <s v="No"/>
    <n v="4"/>
    <n v="67.39"/>
    <n v="1859.73"/>
    <x v="1"/>
  </r>
  <r>
    <x v="336"/>
    <s v="Male"/>
    <n v="53"/>
    <s v="No"/>
    <x v="67"/>
    <x v="0"/>
    <x v="0"/>
    <x v="1"/>
    <s v="No"/>
    <s v="No"/>
    <n v="6"/>
    <n v="76.540000000000006"/>
    <n v="2936.03"/>
    <x v="1"/>
  </r>
  <r>
    <x v="337"/>
    <s v="Male"/>
    <n v="67"/>
    <s v="Yes"/>
    <x v="3"/>
    <x v="0"/>
    <x v="1"/>
    <x v="2"/>
    <s v="Yes"/>
    <s v="Yes"/>
    <n v="2"/>
    <n v="38.82"/>
    <n v="261.36"/>
    <x v="1"/>
  </r>
  <r>
    <x v="338"/>
    <s v="Female"/>
    <n v="21"/>
    <s v="No"/>
    <x v="27"/>
    <x v="1"/>
    <x v="2"/>
    <x v="1"/>
    <s v="No"/>
    <s v="No"/>
    <n v="4"/>
    <n v="62.21"/>
    <n v="3944.69"/>
    <x v="0"/>
  </r>
  <r>
    <x v="339"/>
    <s v="Female"/>
    <n v="44"/>
    <s v="No"/>
    <x v="67"/>
    <x v="0"/>
    <x v="0"/>
    <x v="0"/>
    <s v="No"/>
    <s v="No"/>
    <n v="3"/>
    <n v="84.11"/>
    <n v="3034.7"/>
    <x v="1"/>
  </r>
  <r>
    <x v="340"/>
    <s v="Male"/>
    <n v="34"/>
    <s v="No"/>
    <x v="64"/>
    <x v="0"/>
    <x v="2"/>
    <x v="2"/>
    <s v="No"/>
    <s v="No"/>
    <n v="6"/>
    <n v="60.36"/>
    <n v="3271.58"/>
    <x v="0"/>
  </r>
  <r>
    <x v="341"/>
    <s v="Female"/>
    <n v="29"/>
    <s v="No"/>
    <x v="61"/>
    <x v="0"/>
    <x v="1"/>
    <x v="0"/>
    <s v="No"/>
    <s v="No"/>
    <n v="4"/>
    <n v="51.34"/>
    <n v="3430.83"/>
    <x v="0"/>
  </r>
  <r>
    <x v="342"/>
    <s v="Male"/>
    <n v="39"/>
    <s v="No"/>
    <x v="61"/>
    <x v="0"/>
    <x v="2"/>
    <x v="2"/>
    <s v="No"/>
    <s v="No"/>
    <n v="8"/>
    <n v="65.28"/>
    <n v="4278.07"/>
    <x v="0"/>
  </r>
  <r>
    <x v="343"/>
    <s v="Female"/>
    <n v="34"/>
    <s v="No"/>
    <x v="37"/>
    <x v="1"/>
    <x v="0"/>
    <x v="0"/>
    <s v="No"/>
    <s v="No"/>
    <n v="4"/>
    <n v="76.69"/>
    <n v="3395.81"/>
    <x v="0"/>
  </r>
  <r>
    <x v="344"/>
    <s v="Male"/>
    <n v="27"/>
    <s v="No"/>
    <x v="28"/>
    <x v="1"/>
    <x v="2"/>
    <x v="2"/>
    <s v="No"/>
    <s v="No"/>
    <n v="3"/>
    <n v="46.86"/>
    <n v="998.46"/>
    <x v="0"/>
  </r>
  <r>
    <x v="345"/>
    <s v="Male"/>
    <n v="71"/>
    <s v="Yes"/>
    <x v="13"/>
    <x v="2"/>
    <x v="2"/>
    <x v="2"/>
    <s v="No"/>
    <s v="No"/>
    <n v="4"/>
    <n v="64.069999999999993"/>
    <n v="1235.51"/>
    <x v="0"/>
  </r>
  <r>
    <x v="346"/>
    <s v="Male"/>
    <n v="18"/>
    <s v="No"/>
    <x v="63"/>
    <x v="2"/>
    <x v="1"/>
    <x v="2"/>
    <s v="No"/>
    <s v="Yes"/>
    <n v="1"/>
    <n v="23.67"/>
    <n v="681.78"/>
    <x v="0"/>
  </r>
  <r>
    <x v="347"/>
    <s v="Female"/>
    <n v="39"/>
    <s v="No"/>
    <x v="34"/>
    <x v="0"/>
    <x v="2"/>
    <x v="2"/>
    <s v="No"/>
    <s v="No"/>
    <n v="5"/>
    <n v="70.94"/>
    <n v="4554.1400000000003"/>
    <x v="0"/>
  </r>
  <r>
    <x v="348"/>
    <s v="Female"/>
    <n v="43"/>
    <s v="No"/>
    <x v="68"/>
    <x v="0"/>
    <x v="0"/>
    <x v="2"/>
    <s v="No"/>
    <s v="No"/>
    <n v="4"/>
    <n v="67.180000000000007"/>
    <n v="1131.33"/>
    <x v="0"/>
  </r>
  <r>
    <x v="349"/>
    <s v="Male"/>
    <n v="73"/>
    <s v="Yes"/>
    <x v="39"/>
    <x v="0"/>
    <x v="1"/>
    <x v="3"/>
    <s v="No"/>
    <s v="No"/>
    <n v="3"/>
    <n v="33.880000000000003"/>
    <n v="1240.74"/>
    <x v="0"/>
  </r>
  <r>
    <x v="350"/>
    <s v="Female"/>
    <n v="35"/>
    <s v="No"/>
    <x v="66"/>
    <x v="0"/>
    <x v="0"/>
    <x v="0"/>
    <s v="No"/>
    <s v="No"/>
    <n v="5"/>
    <n v="95.5"/>
    <n v="4017.58"/>
    <x v="0"/>
  </r>
  <r>
    <x v="351"/>
    <s v="Male"/>
    <n v="67"/>
    <s v="Yes"/>
    <x v="15"/>
    <x v="2"/>
    <x v="0"/>
    <x v="1"/>
    <s v="No"/>
    <s v="Yes"/>
    <n v="2"/>
    <n v="65.680000000000007"/>
    <n v="745.07"/>
    <x v="0"/>
  </r>
  <r>
    <x v="352"/>
    <s v="Male"/>
    <n v="31"/>
    <s v="No"/>
    <x v="65"/>
    <x v="0"/>
    <x v="2"/>
    <x v="3"/>
    <s v="No"/>
    <s v="Yes"/>
    <n v="4"/>
    <n v="66.42"/>
    <n v="3478.87"/>
    <x v="0"/>
  </r>
  <r>
    <x v="353"/>
    <s v="Female"/>
    <n v="64"/>
    <s v="Yes"/>
    <x v="52"/>
    <x v="0"/>
    <x v="2"/>
    <x v="2"/>
    <s v="Yes"/>
    <s v="No"/>
    <n v="1"/>
    <n v="51.87"/>
    <n v="1976.65"/>
    <x v="0"/>
  </r>
  <r>
    <x v="354"/>
    <s v="Female"/>
    <n v="46"/>
    <s v="No"/>
    <x v="59"/>
    <x v="0"/>
    <x v="0"/>
    <x v="3"/>
    <s v="No"/>
    <s v="No"/>
    <n v="2"/>
    <n v="61.85"/>
    <n v="3656.07"/>
    <x v="0"/>
  </r>
  <r>
    <x v="355"/>
    <s v="Male"/>
    <n v="29"/>
    <s v="No"/>
    <x v="25"/>
    <x v="1"/>
    <x v="2"/>
    <x v="2"/>
    <s v="Yes"/>
    <s v="Yes"/>
    <n v="2"/>
    <n v="52.48"/>
    <n v="3348.14"/>
    <x v="0"/>
  </r>
  <r>
    <x v="356"/>
    <s v="Female"/>
    <n v="53"/>
    <s v="No"/>
    <x v="9"/>
    <x v="1"/>
    <x v="0"/>
    <x v="2"/>
    <s v="Yes"/>
    <s v="Yes"/>
    <n v="5"/>
    <n v="93.7"/>
    <n v="729.28"/>
    <x v="0"/>
  </r>
  <r>
    <x v="357"/>
    <s v="Female"/>
    <n v="52"/>
    <s v="No"/>
    <x v="22"/>
    <x v="0"/>
    <x v="0"/>
    <x v="1"/>
    <s v="Yes"/>
    <s v="No"/>
    <n v="5"/>
    <n v="80.13"/>
    <n v="2847.2"/>
    <x v="0"/>
  </r>
  <r>
    <x v="358"/>
    <s v="Male"/>
    <n v="69"/>
    <s v="Yes"/>
    <x v="11"/>
    <x v="2"/>
    <x v="1"/>
    <x v="1"/>
    <s v="No"/>
    <s v="Yes"/>
    <n v="3"/>
    <n v="32.17"/>
    <n v="1491.85"/>
    <x v="0"/>
  </r>
  <r>
    <x v="359"/>
    <s v="Male"/>
    <n v="29"/>
    <s v="No"/>
    <x v="64"/>
    <x v="0"/>
    <x v="0"/>
    <x v="0"/>
    <s v="No"/>
    <s v="Yes"/>
    <n v="6"/>
    <n v="89.3"/>
    <n v="4868.3500000000004"/>
    <x v="1"/>
  </r>
  <r>
    <x v="360"/>
    <s v="Female"/>
    <n v="24"/>
    <s v="No"/>
    <x v="61"/>
    <x v="0"/>
    <x v="0"/>
    <x v="1"/>
    <s v="No"/>
    <s v="No"/>
    <n v="4"/>
    <n v="77.5"/>
    <n v="5266.78"/>
    <x v="0"/>
  </r>
  <r>
    <x v="361"/>
    <s v="Male"/>
    <n v="46"/>
    <s v="No"/>
    <x v="71"/>
    <x v="2"/>
    <x v="0"/>
    <x v="3"/>
    <s v="No"/>
    <s v="No"/>
    <n v="6"/>
    <n v="76.53"/>
    <n v="2226.7399999999998"/>
    <x v="0"/>
  </r>
  <r>
    <x v="362"/>
    <s v="Male"/>
    <n v="28"/>
    <s v="No"/>
    <x v="12"/>
    <x v="0"/>
    <x v="1"/>
    <x v="2"/>
    <s v="No"/>
    <s v="No"/>
    <n v="5"/>
    <n v="43.45"/>
    <n v="183.44"/>
    <x v="1"/>
  </r>
  <r>
    <x v="363"/>
    <s v="Female"/>
    <n v="50"/>
    <s v="No"/>
    <x v="32"/>
    <x v="2"/>
    <x v="0"/>
    <x v="2"/>
    <s v="No"/>
    <s v="Yes"/>
    <n v="6"/>
    <n v="83.6"/>
    <n v="4023.36"/>
    <x v="0"/>
  </r>
  <r>
    <x v="364"/>
    <s v="Male"/>
    <n v="23"/>
    <s v="No"/>
    <x v="25"/>
    <x v="2"/>
    <x v="0"/>
    <x v="0"/>
    <s v="No"/>
    <s v="No"/>
    <n v="4"/>
    <n v="78.06"/>
    <n v="4999.3900000000003"/>
    <x v="0"/>
  </r>
  <r>
    <x v="365"/>
    <s v="Male"/>
    <n v="64"/>
    <s v="Yes"/>
    <x v="20"/>
    <x v="1"/>
    <x v="2"/>
    <x v="1"/>
    <s v="No"/>
    <s v="No"/>
    <n v="3"/>
    <n v="38.18"/>
    <n v="1075.27"/>
    <x v="0"/>
  </r>
  <r>
    <x v="366"/>
    <s v="Female"/>
    <n v="32"/>
    <s v="No"/>
    <x v="24"/>
    <x v="1"/>
    <x v="2"/>
    <x v="1"/>
    <s v="No"/>
    <s v="Yes"/>
    <n v="4"/>
    <n v="61.55"/>
    <n v="3894.4"/>
    <x v="0"/>
  </r>
  <r>
    <x v="367"/>
    <s v="Female"/>
    <n v="49"/>
    <s v="No"/>
    <x v="51"/>
    <x v="0"/>
    <x v="0"/>
    <x v="3"/>
    <s v="No"/>
    <s v="Yes"/>
    <n v="2"/>
    <n v="59.56"/>
    <n v="3959.44"/>
    <x v="0"/>
  </r>
  <r>
    <x v="368"/>
    <s v="Male"/>
    <n v="68"/>
    <s v="Yes"/>
    <x v="56"/>
    <x v="2"/>
    <x v="2"/>
    <x v="1"/>
    <s v="No"/>
    <s v="Yes"/>
    <n v="5"/>
    <n v="68.23"/>
    <n v="2950.7"/>
    <x v="0"/>
  </r>
  <r>
    <x v="369"/>
    <s v="Male"/>
    <n v="28"/>
    <s v="No"/>
    <x v="12"/>
    <x v="0"/>
    <x v="0"/>
    <x v="1"/>
    <s v="No"/>
    <s v="Yes"/>
    <n v="4"/>
    <n v="86.5"/>
    <n v="347.18"/>
    <x v="0"/>
  </r>
  <r>
    <x v="370"/>
    <s v="Female"/>
    <n v="75"/>
    <s v="Yes"/>
    <x v="29"/>
    <x v="1"/>
    <x v="1"/>
    <x v="0"/>
    <s v="No"/>
    <s v="Yes"/>
    <n v="1"/>
    <n v="20"/>
    <n v="535.16999999999996"/>
    <x v="0"/>
  </r>
  <r>
    <x v="371"/>
    <s v="Female"/>
    <n v="40"/>
    <s v="No"/>
    <x v="5"/>
    <x v="2"/>
    <x v="0"/>
    <x v="1"/>
    <s v="Yes"/>
    <s v="No"/>
    <n v="2"/>
    <n v="80.069999999999993"/>
    <n v="2099.21"/>
    <x v="0"/>
  </r>
  <r>
    <x v="372"/>
    <s v="Female"/>
    <n v="43"/>
    <s v="No"/>
    <x v="16"/>
    <x v="2"/>
    <x v="0"/>
    <x v="2"/>
    <s v="No"/>
    <s v="No"/>
    <n v="2"/>
    <n v="70.180000000000007"/>
    <n v="3344.64"/>
    <x v="0"/>
  </r>
  <r>
    <x v="373"/>
    <s v="Female"/>
    <n v="51"/>
    <s v="No"/>
    <x v="59"/>
    <x v="2"/>
    <x v="0"/>
    <x v="1"/>
    <s v="No"/>
    <s v="No"/>
    <n v="2"/>
    <n v="78.540000000000006"/>
    <n v="4827.3100000000004"/>
    <x v="0"/>
  </r>
  <r>
    <x v="374"/>
    <s v="Male"/>
    <n v="63"/>
    <s v="Yes"/>
    <x v="42"/>
    <x v="0"/>
    <x v="0"/>
    <x v="1"/>
    <s v="Yes"/>
    <s v="No"/>
    <n v="3"/>
    <n v="81.52"/>
    <n v="3899.65"/>
    <x v="0"/>
  </r>
  <r>
    <x v="375"/>
    <s v="Female"/>
    <n v="51"/>
    <s v="No"/>
    <x v="32"/>
    <x v="2"/>
    <x v="2"/>
    <x v="1"/>
    <s v="No"/>
    <s v="Yes"/>
    <n v="3"/>
    <n v="44.88"/>
    <n v="2261.85"/>
    <x v="0"/>
  </r>
  <r>
    <x v="376"/>
    <s v="Female"/>
    <n v="46"/>
    <s v="No"/>
    <x v="33"/>
    <x v="1"/>
    <x v="0"/>
    <x v="1"/>
    <s v="Yes"/>
    <s v="No"/>
    <n v="3"/>
    <n v="69.03"/>
    <n v="391.06"/>
    <x v="0"/>
  </r>
  <r>
    <x v="377"/>
    <s v="Male"/>
    <n v="21"/>
    <s v="No"/>
    <x v="24"/>
    <x v="2"/>
    <x v="0"/>
    <x v="3"/>
    <s v="No"/>
    <s v="Yes"/>
    <n v="4"/>
    <n v="90.3"/>
    <n v="5703.18"/>
    <x v="1"/>
  </r>
  <r>
    <x v="378"/>
    <s v="Female"/>
    <n v="34"/>
    <s v="No"/>
    <x v="48"/>
    <x v="1"/>
    <x v="2"/>
    <x v="3"/>
    <s v="No"/>
    <s v="No"/>
    <n v="4"/>
    <n v="50.32"/>
    <n v="694.47"/>
    <x v="0"/>
  </r>
  <r>
    <x v="379"/>
    <s v="Male"/>
    <n v="52"/>
    <s v="No"/>
    <x v="20"/>
    <x v="0"/>
    <x v="2"/>
    <x v="0"/>
    <s v="No"/>
    <s v="Yes"/>
    <n v="7"/>
    <n v="73.53"/>
    <n v="2296.15"/>
    <x v="0"/>
  </r>
  <r>
    <x v="380"/>
    <s v="Female"/>
    <n v="30"/>
    <s v="No"/>
    <x v="55"/>
    <x v="0"/>
    <x v="0"/>
    <x v="3"/>
    <s v="No"/>
    <s v="No"/>
    <n v="3"/>
    <n v="69.709999999999994"/>
    <n v="2824.51"/>
    <x v="1"/>
  </r>
  <r>
    <x v="381"/>
    <s v="Female"/>
    <n v="58"/>
    <s v="No"/>
    <x v="67"/>
    <x v="1"/>
    <x v="0"/>
    <x v="0"/>
    <s v="Yes"/>
    <s v="No"/>
    <n v="4"/>
    <n v="72.67"/>
    <n v="2837.68"/>
    <x v="0"/>
  </r>
  <r>
    <x v="382"/>
    <s v="Female"/>
    <n v="56"/>
    <s v="No"/>
    <x v="55"/>
    <x v="1"/>
    <x v="0"/>
    <x v="3"/>
    <s v="No"/>
    <s v="Yes"/>
    <n v="5"/>
    <n v="82.87"/>
    <n v="3235.59"/>
    <x v="0"/>
  </r>
  <r>
    <x v="383"/>
    <s v="Male"/>
    <n v="32"/>
    <s v="No"/>
    <x v="39"/>
    <x v="0"/>
    <x v="0"/>
    <x v="1"/>
    <s v="Yes"/>
    <s v="No"/>
    <n v="3"/>
    <n v="90.34"/>
    <n v="3391.07"/>
    <x v="1"/>
  </r>
  <r>
    <x v="384"/>
    <s v="Male"/>
    <n v="72"/>
    <s v="Yes"/>
    <x v="33"/>
    <x v="1"/>
    <x v="0"/>
    <x v="0"/>
    <s v="No"/>
    <s v="Yes"/>
    <n v="6"/>
    <n v="92.38"/>
    <n v="518.92999999999995"/>
    <x v="0"/>
  </r>
  <r>
    <x v="385"/>
    <s v="Female"/>
    <n v="46"/>
    <s v="No"/>
    <x v="27"/>
    <x v="0"/>
    <x v="2"/>
    <x v="2"/>
    <s v="No"/>
    <s v="No"/>
    <n v="8"/>
    <n v="67.62"/>
    <n v="4809.96"/>
    <x v="0"/>
  </r>
  <r>
    <x v="386"/>
    <s v="Male"/>
    <n v="46"/>
    <s v="No"/>
    <x v="68"/>
    <x v="2"/>
    <x v="1"/>
    <x v="2"/>
    <s v="No"/>
    <s v="No"/>
    <n v="4"/>
    <n v="42.37"/>
    <n v="764.78"/>
    <x v="0"/>
  </r>
  <r>
    <x v="387"/>
    <s v="Male"/>
    <n v="28"/>
    <s v="No"/>
    <x v="63"/>
    <x v="0"/>
    <x v="0"/>
    <x v="3"/>
    <s v="No"/>
    <s v="Yes"/>
    <n v="4"/>
    <n v="65.98"/>
    <n v="1892.11"/>
    <x v="0"/>
  </r>
  <r>
    <x v="388"/>
    <s v="Male"/>
    <n v="69"/>
    <s v="Yes"/>
    <x v="24"/>
    <x v="0"/>
    <x v="0"/>
    <x v="1"/>
    <s v="No"/>
    <s v="No"/>
    <n v="2"/>
    <n v="55.22"/>
    <n v="3143.38"/>
    <x v="0"/>
  </r>
  <r>
    <x v="389"/>
    <s v="Male"/>
    <n v="49"/>
    <s v="No"/>
    <x v="37"/>
    <x v="0"/>
    <x v="0"/>
    <x v="1"/>
    <s v="No"/>
    <s v="Yes"/>
    <n v="2"/>
    <n v="72.180000000000007"/>
    <n v="3577.75"/>
    <x v="1"/>
  </r>
  <r>
    <x v="390"/>
    <s v="Male"/>
    <n v="19"/>
    <s v="No"/>
    <x v="47"/>
    <x v="0"/>
    <x v="0"/>
    <x v="2"/>
    <s v="No"/>
    <s v="No"/>
    <n v="3"/>
    <n v="80"/>
    <n v="1294.67"/>
    <x v="0"/>
  </r>
  <r>
    <x v="391"/>
    <s v="Male"/>
    <n v="64"/>
    <s v="Yes"/>
    <x v="46"/>
    <x v="0"/>
    <x v="0"/>
    <x v="1"/>
    <s v="Yes"/>
    <s v="Yes"/>
    <n v="7"/>
    <n v="101.93"/>
    <n v="2321.84"/>
    <x v="1"/>
  </r>
  <r>
    <x v="392"/>
    <s v="Female"/>
    <n v="31"/>
    <s v="No"/>
    <x v="27"/>
    <x v="0"/>
    <x v="1"/>
    <x v="1"/>
    <s v="No"/>
    <s v="No"/>
    <n v="2"/>
    <n v="35.61"/>
    <n v="2400.48"/>
    <x v="0"/>
  </r>
  <r>
    <x v="393"/>
    <s v="Female"/>
    <n v="37"/>
    <s v="No"/>
    <x v="25"/>
    <x v="0"/>
    <x v="2"/>
    <x v="1"/>
    <s v="Yes"/>
    <s v="No"/>
    <n v="4"/>
    <n v="59.04"/>
    <n v="4398.68"/>
    <x v="0"/>
  </r>
  <r>
    <x v="394"/>
    <s v="Male"/>
    <n v="39"/>
    <s v="No"/>
    <x v="67"/>
    <x v="2"/>
    <x v="1"/>
    <x v="1"/>
    <s v="Yes"/>
    <s v="Yes"/>
    <n v="4"/>
    <n v="38.630000000000003"/>
    <n v="1454.79"/>
    <x v="0"/>
  </r>
  <r>
    <x v="395"/>
    <s v="Female"/>
    <n v="28"/>
    <s v="No"/>
    <x v="65"/>
    <x v="2"/>
    <x v="1"/>
    <x v="1"/>
    <s v="Yes"/>
    <s v="No"/>
    <n v="3"/>
    <n v="40.69"/>
    <n v="1867.54"/>
    <x v="0"/>
  </r>
  <r>
    <x v="396"/>
    <s v="Female"/>
    <n v="44"/>
    <s v="No"/>
    <x v="21"/>
    <x v="0"/>
    <x v="2"/>
    <x v="0"/>
    <s v="No"/>
    <s v="No"/>
    <n v="3"/>
    <n v="46.49"/>
    <n v="596.59"/>
    <x v="0"/>
  </r>
  <r>
    <x v="397"/>
    <s v="Female"/>
    <n v="20"/>
    <s v="No"/>
    <x v="22"/>
    <x v="2"/>
    <x v="2"/>
    <x v="0"/>
    <s v="No"/>
    <s v="Yes"/>
    <n v="5"/>
    <n v="58.25"/>
    <n v="1843.07"/>
    <x v="0"/>
  </r>
  <r>
    <x v="398"/>
    <s v="Female"/>
    <n v="34"/>
    <s v="No"/>
    <x v="53"/>
    <x v="0"/>
    <x v="0"/>
    <x v="2"/>
    <s v="No"/>
    <s v="No"/>
    <n v="4"/>
    <n v="70.73"/>
    <n v="3620.13"/>
    <x v="0"/>
  </r>
  <r>
    <x v="399"/>
    <s v="Male"/>
    <n v="61"/>
    <s v="Yes"/>
    <x v="42"/>
    <x v="1"/>
    <x v="2"/>
    <x v="1"/>
    <s v="No"/>
    <s v="No"/>
    <n v="5"/>
    <n v="59.33"/>
    <n v="2949.97"/>
    <x v="1"/>
  </r>
  <r>
    <x v="400"/>
    <s v="Female"/>
    <n v="73"/>
    <s v="Yes"/>
    <x v="4"/>
    <x v="1"/>
    <x v="1"/>
    <x v="1"/>
    <s v="Yes"/>
    <s v="No"/>
    <n v="6"/>
    <n v="43.93"/>
    <n v="139.24"/>
    <x v="0"/>
  </r>
  <r>
    <x v="401"/>
    <s v="Female"/>
    <n v="45"/>
    <s v="No"/>
    <x v="55"/>
    <x v="0"/>
    <x v="0"/>
    <x v="3"/>
    <s v="No"/>
    <s v="Yes"/>
    <n v="5"/>
    <n v="77.45"/>
    <n v="3428.81"/>
    <x v="0"/>
  </r>
  <r>
    <x v="402"/>
    <s v="Male"/>
    <n v="46"/>
    <s v="No"/>
    <x v="10"/>
    <x v="0"/>
    <x v="1"/>
    <x v="3"/>
    <s v="No"/>
    <s v="Yes"/>
    <n v="6"/>
    <n v="44.52"/>
    <n v="1313.3"/>
    <x v="0"/>
  </r>
  <r>
    <x v="403"/>
    <s v="Male"/>
    <n v="38"/>
    <s v="No"/>
    <x v="42"/>
    <x v="0"/>
    <x v="0"/>
    <x v="0"/>
    <s v="Yes"/>
    <s v="No"/>
    <n v="3"/>
    <n v="76.48"/>
    <n v="3920.62"/>
    <x v="0"/>
  </r>
  <r>
    <x v="404"/>
    <s v="Female"/>
    <n v="64"/>
    <s v="Yes"/>
    <x v="16"/>
    <x v="0"/>
    <x v="1"/>
    <x v="2"/>
    <s v="No"/>
    <s v="No"/>
    <n v="6"/>
    <n v="57.88"/>
    <n v="2544.71"/>
    <x v="0"/>
  </r>
  <r>
    <x v="405"/>
    <s v="Female"/>
    <n v="33"/>
    <s v="No"/>
    <x v="19"/>
    <x v="1"/>
    <x v="1"/>
    <x v="1"/>
    <s v="No"/>
    <s v="No"/>
    <n v="3"/>
    <n v="39.020000000000003"/>
    <n v="795.83"/>
    <x v="1"/>
  </r>
  <r>
    <x v="406"/>
    <s v="Female"/>
    <n v="54"/>
    <s v="No"/>
    <x v="35"/>
    <x v="0"/>
    <x v="2"/>
    <x v="2"/>
    <s v="No"/>
    <s v="Yes"/>
    <n v="5"/>
    <n v="58.99"/>
    <n v="2396.91"/>
    <x v="0"/>
  </r>
  <r>
    <x v="407"/>
    <s v="Female"/>
    <n v="37"/>
    <s v="No"/>
    <x v="15"/>
    <x v="0"/>
    <x v="2"/>
    <x v="0"/>
    <s v="No"/>
    <s v="No"/>
    <n v="5"/>
    <n v="66.069999999999993"/>
    <n v="755.81"/>
    <x v="1"/>
  </r>
  <r>
    <x v="408"/>
    <s v="Female"/>
    <n v="23"/>
    <s v="No"/>
    <x v="27"/>
    <x v="0"/>
    <x v="2"/>
    <x v="1"/>
    <s v="No"/>
    <s v="No"/>
    <n v="5"/>
    <n v="63.77"/>
    <n v="4648.99"/>
    <x v="0"/>
  </r>
  <r>
    <x v="409"/>
    <s v="Female"/>
    <n v="36"/>
    <s v="No"/>
    <x v="8"/>
    <x v="0"/>
    <x v="1"/>
    <x v="2"/>
    <s v="No"/>
    <s v="Yes"/>
    <n v="1"/>
    <n v="30.18"/>
    <n v="28.82"/>
    <x v="1"/>
  </r>
  <r>
    <x v="410"/>
    <s v="Male"/>
    <n v="74"/>
    <s v="Yes"/>
    <x v="18"/>
    <x v="0"/>
    <x v="1"/>
    <x v="3"/>
    <s v="Yes"/>
    <s v="Yes"/>
    <n v="4"/>
    <n v="40.840000000000003"/>
    <n v="2507.7800000000002"/>
    <x v="0"/>
  </r>
  <r>
    <x v="411"/>
    <s v="Female"/>
    <n v="22"/>
    <s v="No"/>
    <x v="70"/>
    <x v="0"/>
    <x v="2"/>
    <x v="1"/>
    <s v="No"/>
    <s v="No"/>
    <n v="5"/>
    <n v="75.08"/>
    <n v="1717.28"/>
    <x v="1"/>
  </r>
  <r>
    <x v="412"/>
    <s v="Female"/>
    <n v="20"/>
    <s v="No"/>
    <x v="21"/>
    <x v="2"/>
    <x v="2"/>
    <x v="1"/>
    <s v="Yes"/>
    <s v="No"/>
    <n v="1"/>
    <n v="47.69"/>
    <n v="662.63"/>
    <x v="0"/>
  </r>
  <r>
    <x v="413"/>
    <s v="Male"/>
    <n v="18"/>
    <s v="No"/>
    <x v="15"/>
    <x v="0"/>
    <x v="2"/>
    <x v="1"/>
    <s v="No"/>
    <s v="No"/>
    <n v="2"/>
    <n v="47.07"/>
    <n v="477.12"/>
    <x v="0"/>
  </r>
  <r>
    <x v="414"/>
    <s v="Male"/>
    <n v="75"/>
    <s v="Yes"/>
    <x v="42"/>
    <x v="0"/>
    <x v="1"/>
    <x v="3"/>
    <s v="No"/>
    <s v="No"/>
    <n v="1"/>
    <n v="23.56"/>
    <n v="1217.68"/>
    <x v="0"/>
  </r>
  <r>
    <x v="415"/>
    <s v="Male"/>
    <n v="55"/>
    <s v="No"/>
    <x v="47"/>
    <x v="1"/>
    <x v="2"/>
    <x v="1"/>
    <s v="No"/>
    <s v="No"/>
    <n v="3"/>
    <n v="61.31"/>
    <n v="1104.0999999999999"/>
    <x v="1"/>
  </r>
  <r>
    <x v="416"/>
    <s v="Male"/>
    <n v="32"/>
    <s v="No"/>
    <x v="70"/>
    <x v="0"/>
    <x v="1"/>
    <x v="1"/>
    <s v="No"/>
    <s v="Yes"/>
    <n v="5"/>
    <n v="36.69"/>
    <n v="836.36"/>
    <x v="0"/>
  </r>
  <r>
    <x v="417"/>
    <s v="Female"/>
    <n v="51"/>
    <s v="No"/>
    <x v="13"/>
    <x v="1"/>
    <x v="2"/>
    <x v="1"/>
    <s v="No"/>
    <s v="No"/>
    <n v="2"/>
    <n v="60.5"/>
    <n v="1166.05"/>
    <x v="0"/>
  </r>
  <r>
    <x v="418"/>
    <s v="Female"/>
    <n v="52"/>
    <s v="No"/>
    <x v="67"/>
    <x v="1"/>
    <x v="0"/>
    <x v="3"/>
    <s v="No"/>
    <s v="No"/>
    <n v="4"/>
    <n v="65.58"/>
    <n v="2252.0100000000002"/>
    <x v="0"/>
  </r>
  <r>
    <x v="419"/>
    <s v="Female"/>
    <n v="66"/>
    <s v="Yes"/>
    <x v="9"/>
    <x v="0"/>
    <x v="0"/>
    <x v="2"/>
    <s v="No"/>
    <s v="No"/>
    <n v="8"/>
    <n v="103.58"/>
    <n v="870.35"/>
    <x v="0"/>
  </r>
  <r>
    <x v="420"/>
    <s v="Female"/>
    <n v="42"/>
    <s v="No"/>
    <x v="23"/>
    <x v="0"/>
    <x v="0"/>
    <x v="2"/>
    <s v="No"/>
    <s v="Yes"/>
    <n v="4"/>
    <n v="84.58"/>
    <n v="2282.77"/>
    <x v="1"/>
  </r>
  <r>
    <x v="421"/>
    <s v="Female"/>
    <n v="41"/>
    <s v="No"/>
    <x v="30"/>
    <x v="0"/>
    <x v="0"/>
    <x v="1"/>
    <s v="No"/>
    <s v="No"/>
    <n v="7"/>
    <n v="87.92"/>
    <n v="473.98"/>
    <x v="1"/>
  </r>
  <r>
    <x v="422"/>
    <s v="Female"/>
    <n v="29"/>
    <s v="No"/>
    <x v="47"/>
    <x v="0"/>
    <x v="0"/>
    <x v="2"/>
    <s v="Yes"/>
    <s v="No"/>
    <n v="4"/>
    <n v="73.75"/>
    <n v="1338.41"/>
    <x v="1"/>
  </r>
  <r>
    <x v="423"/>
    <s v="Male"/>
    <n v="35"/>
    <s v="No"/>
    <x v="58"/>
    <x v="0"/>
    <x v="2"/>
    <x v="3"/>
    <s v="No"/>
    <s v="Yes"/>
    <n v="4"/>
    <n v="67.63"/>
    <n v="2525.2600000000002"/>
    <x v="0"/>
  </r>
  <r>
    <x v="424"/>
    <s v="Female"/>
    <n v="32"/>
    <s v="No"/>
    <x v="13"/>
    <x v="0"/>
    <x v="0"/>
    <x v="2"/>
    <s v="No"/>
    <s v="No"/>
    <n v="4"/>
    <n v="91.6"/>
    <n v="1739.52"/>
    <x v="0"/>
  </r>
  <r>
    <x v="425"/>
    <s v="Male"/>
    <n v="61"/>
    <s v="Yes"/>
    <x v="59"/>
    <x v="0"/>
    <x v="0"/>
    <x v="0"/>
    <s v="Yes"/>
    <s v="No"/>
    <n v="3"/>
    <n v="70.7"/>
    <n v="4717.8"/>
    <x v="0"/>
  </r>
  <r>
    <x v="426"/>
    <s v="Male"/>
    <n v="33"/>
    <s v="No"/>
    <x v="15"/>
    <x v="0"/>
    <x v="2"/>
    <x v="0"/>
    <s v="No"/>
    <s v="No"/>
    <n v="6"/>
    <n v="71.06"/>
    <n v="735.46"/>
    <x v="0"/>
  </r>
  <r>
    <x v="427"/>
    <s v="Female"/>
    <n v="44"/>
    <s v="No"/>
    <x v="62"/>
    <x v="1"/>
    <x v="1"/>
    <x v="2"/>
    <s v="No"/>
    <s v="No"/>
    <n v="1"/>
    <n v="35.86"/>
    <n v="1877.63"/>
    <x v="0"/>
  </r>
  <r>
    <x v="428"/>
    <s v="Male"/>
    <n v="25"/>
    <s v="No"/>
    <x v="56"/>
    <x v="1"/>
    <x v="2"/>
    <x v="1"/>
    <s v="No"/>
    <s v="No"/>
    <n v="4"/>
    <n v="63.22"/>
    <n v="2629.55"/>
    <x v="0"/>
  </r>
  <r>
    <x v="429"/>
    <s v="Female"/>
    <n v="63"/>
    <s v="Yes"/>
    <x v="37"/>
    <x v="0"/>
    <x v="1"/>
    <x v="3"/>
    <s v="No"/>
    <s v="Yes"/>
    <n v="2"/>
    <n v="33.380000000000003"/>
    <n v="1605.26"/>
    <x v="1"/>
  </r>
  <r>
    <x v="430"/>
    <s v="Male"/>
    <n v="42"/>
    <s v="No"/>
    <x v="1"/>
    <x v="0"/>
    <x v="2"/>
    <x v="2"/>
    <s v="No"/>
    <s v="No"/>
    <n v="4"/>
    <n v="56.27"/>
    <n v="708.25"/>
    <x v="0"/>
  </r>
  <r>
    <x v="431"/>
    <s v="Female"/>
    <n v="34"/>
    <s v="No"/>
    <x v="19"/>
    <x v="2"/>
    <x v="0"/>
    <x v="2"/>
    <s v="No"/>
    <s v="No"/>
    <n v="5"/>
    <n v="84.95"/>
    <n v="1911.33"/>
    <x v="0"/>
  </r>
  <r>
    <x v="432"/>
    <s v="Male"/>
    <n v="46"/>
    <s v="No"/>
    <x v="15"/>
    <x v="1"/>
    <x v="2"/>
    <x v="2"/>
    <s v="No"/>
    <s v="No"/>
    <n v="6"/>
    <n v="52.4"/>
    <n v="593.6"/>
    <x v="0"/>
  </r>
  <r>
    <x v="433"/>
    <s v="Female"/>
    <n v="70"/>
    <s v="Yes"/>
    <x v="30"/>
    <x v="2"/>
    <x v="2"/>
    <x v="3"/>
    <s v="Yes"/>
    <s v="No"/>
    <n v="5"/>
    <n v="72.39"/>
    <n v="375.39"/>
    <x v="0"/>
  </r>
  <r>
    <x v="434"/>
    <s v="Female"/>
    <n v="25"/>
    <s v="No"/>
    <x v="64"/>
    <x v="0"/>
    <x v="0"/>
    <x v="1"/>
    <s v="Yes"/>
    <s v="No"/>
    <n v="2"/>
    <n v="59.05"/>
    <n v="3516.03"/>
    <x v="0"/>
  </r>
  <r>
    <x v="435"/>
    <s v="Female"/>
    <n v="32"/>
    <s v="No"/>
    <x v="28"/>
    <x v="1"/>
    <x v="0"/>
    <x v="1"/>
    <s v="No"/>
    <s v="Yes"/>
    <n v="3"/>
    <n v="69.13"/>
    <n v="1479.13"/>
    <x v="1"/>
  </r>
  <r>
    <x v="436"/>
    <s v="Female"/>
    <n v="44"/>
    <s v="No"/>
    <x v="41"/>
    <x v="0"/>
    <x v="2"/>
    <x v="0"/>
    <s v="No"/>
    <s v="Yes"/>
    <n v="5"/>
    <n v="60.64"/>
    <n v="2482.7800000000002"/>
    <x v="0"/>
  </r>
  <r>
    <x v="437"/>
    <s v="Female"/>
    <n v="63"/>
    <s v="Yes"/>
    <x v="16"/>
    <x v="0"/>
    <x v="0"/>
    <x v="0"/>
    <s v="Yes"/>
    <s v="Yes"/>
    <n v="6"/>
    <n v="80.010000000000005"/>
    <n v="3450.67"/>
    <x v="0"/>
  </r>
  <r>
    <x v="438"/>
    <s v="Male"/>
    <n v="67"/>
    <s v="Yes"/>
    <x v="1"/>
    <x v="0"/>
    <x v="2"/>
    <x v="1"/>
    <s v="No"/>
    <s v="Yes"/>
    <n v="4"/>
    <n v="51.1"/>
    <n v="609.91"/>
    <x v="0"/>
  </r>
  <r>
    <x v="439"/>
    <s v="Male"/>
    <n v="69"/>
    <s v="Yes"/>
    <x v="0"/>
    <x v="0"/>
    <x v="0"/>
    <x v="1"/>
    <s v="Yes"/>
    <s v="No"/>
    <n v="1"/>
    <n v="76.87"/>
    <n v="5429.18"/>
    <x v="0"/>
  </r>
  <r>
    <x v="440"/>
    <s v="Male"/>
    <n v="24"/>
    <s v="No"/>
    <x v="47"/>
    <x v="0"/>
    <x v="2"/>
    <x v="3"/>
    <s v="No"/>
    <s v="No"/>
    <n v="3"/>
    <n v="67.569999999999993"/>
    <n v="1172.8699999999999"/>
    <x v="1"/>
  </r>
  <r>
    <x v="441"/>
    <s v="Female"/>
    <n v="20"/>
    <s v="No"/>
    <x v="13"/>
    <x v="0"/>
    <x v="2"/>
    <x v="2"/>
    <s v="Yes"/>
    <s v="No"/>
    <n v="6"/>
    <n v="77.84"/>
    <n v="1594.74"/>
    <x v="0"/>
  </r>
  <r>
    <x v="442"/>
    <s v="Male"/>
    <n v="46"/>
    <s v="No"/>
    <x v="29"/>
    <x v="1"/>
    <x v="0"/>
    <x v="2"/>
    <s v="Yes"/>
    <s v="Yes"/>
    <n v="4"/>
    <n v="84.85"/>
    <n v="2353.4899999999998"/>
    <x v="0"/>
  </r>
  <r>
    <x v="443"/>
    <s v="Female"/>
    <n v="61"/>
    <s v="Yes"/>
    <x v="11"/>
    <x v="2"/>
    <x v="0"/>
    <x v="3"/>
    <s v="Yes"/>
    <s v="No"/>
    <n v="4"/>
    <n v="96.25"/>
    <n v="4543.3900000000003"/>
    <x v="0"/>
  </r>
  <r>
    <x v="444"/>
    <s v="Female"/>
    <n v="70"/>
    <s v="Yes"/>
    <x v="40"/>
    <x v="0"/>
    <x v="2"/>
    <x v="2"/>
    <s v="No"/>
    <s v="No"/>
    <n v="6"/>
    <n v="65.14"/>
    <n v="3177.79"/>
    <x v="0"/>
  </r>
  <r>
    <x v="445"/>
    <s v="Male"/>
    <n v="41"/>
    <s v="No"/>
    <x v="0"/>
    <x v="0"/>
    <x v="1"/>
    <x v="3"/>
    <s v="No"/>
    <s v="Yes"/>
    <n v="6"/>
    <n v="46.46"/>
    <n v="3103.79"/>
    <x v="0"/>
  </r>
  <r>
    <x v="446"/>
    <s v="Male"/>
    <n v="75"/>
    <s v="Yes"/>
    <x v="60"/>
    <x v="0"/>
    <x v="1"/>
    <x v="2"/>
    <s v="Yes"/>
    <s v="No"/>
    <n v="2"/>
    <n v="33.08"/>
    <n v="1724.44"/>
    <x v="0"/>
  </r>
  <r>
    <x v="447"/>
    <s v="Female"/>
    <n v="20"/>
    <s v="No"/>
    <x v="7"/>
    <x v="1"/>
    <x v="2"/>
    <x v="3"/>
    <s v="No"/>
    <s v="No"/>
    <n v="5"/>
    <n v="73"/>
    <n v="2353.5"/>
    <x v="0"/>
  </r>
  <r>
    <x v="448"/>
    <s v="Male"/>
    <n v="37"/>
    <s v="No"/>
    <x v="38"/>
    <x v="0"/>
    <x v="2"/>
    <x v="2"/>
    <s v="Yes"/>
    <s v="No"/>
    <n v="5"/>
    <n v="67.099999999999994"/>
    <n v="4410.8"/>
    <x v="0"/>
  </r>
  <r>
    <x v="449"/>
    <s v="Female"/>
    <n v="63"/>
    <s v="Yes"/>
    <x v="45"/>
    <x v="2"/>
    <x v="0"/>
    <x v="2"/>
    <s v="No"/>
    <s v="No"/>
    <n v="5"/>
    <n v="95.09"/>
    <n v="2165.36"/>
    <x v="0"/>
  </r>
  <r>
    <x v="450"/>
    <s v="Female"/>
    <n v="32"/>
    <s v="No"/>
    <x v="48"/>
    <x v="0"/>
    <x v="0"/>
    <x v="2"/>
    <s v="No"/>
    <s v="No"/>
    <n v="3"/>
    <n v="75.459999999999994"/>
    <n v="1144.08"/>
    <x v="1"/>
  </r>
  <r>
    <x v="451"/>
    <s v="Female"/>
    <n v="42"/>
    <s v="No"/>
    <x v="5"/>
    <x v="0"/>
    <x v="0"/>
    <x v="0"/>
    <s v="No"/>
    <s v="Yes"/>
    <n v="5"/>
    <n v="72.510000000000005"/>
    <n v="1857.27"/>
    <x v="0"/>
  </r>
  <r>
    <x v="452"/>
    <s v="Female"/>
    <n v="47"/>
    <s v="No"/>
    <x v="59"/>
    <x v="1"/>
    <x v="2"/>
    <x v="1"/>
    <s v="No"/>
    <s v="No"/>
    <n v="8"/>
    <n v="70.290000000000006"/>
    <n v="4493.41"/>
    <x v="0"/>
  </r>
  <r>
    <x v="453"/>
    <s v="Female"/>
    <n v="31"/>
    <s v="No"/>
    <x v="42"/>
    <x v="2"/>
    <x v="0"/>
    <x v="1"/>
    <s v="Yes"/>
    <s v="No"/>
    <n v="7"/>
    <n v="98.17"/>
    <n v="5305.97"/>
    <x v="0"/>
  </r>
  <r>
    <x v="454"/>
    <s v="Male"/>
    <n v="24"/>
    <s v="No"/>
    <x v="53"/>
    <x v="0"/>
    <x v="0"/>
    <x v="1"/>
    <s v="No"/>
    <s v="No"/>
    <n v="2"/>
    <n v="67.540000000000006"/>
    <n v="3736.24"/>
    <x v="0"/>
  </r>
  <r>
    <x v="455"/>
    <s v="Male"/>
    <n v="34"/>
    <s v="No"/>
    <x v="42"/>
    <x v="0"/>
    <x v="2"/>
    <x v="1"/>
    <s v="No"/>
    <s v="No"/>
    <n v="4"/>
    <n v="59.67"/>
    <n v="2839.25"/>
    <x v="0"/>
  </r>
  <r>
    <x v="456"/>
    <s v="Female"/>
    <n v="61"/>
    <s v="Yes"/>
    <x v="37"/>
    <x v="2"/>
    <x v="2"/>
    <x v="1"/>
    <s v="No"/>
    <s v="No"/>
    <n v="5"/>
    <n v="64.73"/>
    <n v="3218.56"/>
    <x v="0"/>
  </r>
  <r>
    <x v="457"/>
    <s v="Female"/>
    <n v="37"/>
    <s v="No"/>
    <x v="12"/>
    <x v="0"/>
    <x v="0"/>
    <x v="0"/>
    <s v="Yes"/>
    <s v="No"/>
    <n v="6"/>
    <n v="99.66"/>
    <n v="384.21"/>
    <x v="1"/>
  </r>
  <r>
    <x v="458"/>
    <s v="Male"/>
    <n v="53"/>
    <s v="No"/>
    <x v="3"/>
    <x v="2"/>
    <x v="0"/>
    <x v="3"/>
    <s v="No"/>
    <s v="Yes"/>
    <n v="5"/>
    <n v="89.16"/>
    <n v="640.66999999999996"/>
    <x v="0"/>
  </r>
  <r>
    <x v="459"/>
    <s v="Male"/>
    <n v="26"/>
    <s v="No"/>
    <x v="39"/>
    <x v="0"/>
    <x v="0"/>
    <x v="3"/>
    <s v="No"/>
    <s v="No"/>
    <n v="7"/>
    <n v="95.78"/>
    <n v="3162.63"/>
    <x v="0"/>
  </r>
  <r>
    <x v="460"/>
    <s v="Female"/>
    <n v="55"/>
    <s v="No"/>
    <x v="11"/>
    <x v="1"/>
    <x v="0"/>
    <x v="1"/>
    <s v="No"/>
    <s v="Yes"/>
    <n v="6"/>
    <n v="88.11"/>
    <n v="4347.46"/>
    <x v="0"/>
  </r>
  <r>
    <x v="461"/>
    <s v="Male"/>
    <n v="65"/>
    <s v="Yes"/>
    <x v="50"/>
    <x v="1"/>
    <x v="2"/>
    <x v="3"/>
    <s v="Yes"/>
    <s v="Yes"/>
    <n v="4"/>
    <n v="53.18"/>
    <n v="3544.52"/>
    <x v="0"/>
  </r>
  <r>
    <x v="462"/>
    <s v="Female"/>
    <n v="74"/>
    <s v="Yes"/>
    <x v="56"/>
    <x v="0"/>
    <x v="0"/>
    <x v="3"/>
    <s v="No"/>
    <s v="No"/>
    <n v="8"/>
    <n v="96.7"/>
    <n v="4421.57"/>
    <x v="1"/>
  </r>
  <r>
    <x v="463"/>
    <s v="Male"/>
    <n v="39"/>
    <s v="No"/>
    <x v="50"/>
    <x v="2"/>
    <x v="2"/>
    <x v="3"/>
    <s v="No"/>
    <s v="No"/>
    <n v="4"/>
    <n v="74.23"/>
    <n v="5469.36"/>
    <x v="0"/>
  </r>
  <r>
    <x v="464"/>
    <s v="Female"/>
    <n v="71"/>
    <s v="Yes"/>
    <x v="13"/>
    <x v="0"/>
    <x v="1"/>
    <x v="2"/>
    <s v="No"/>
    <s v="No"/>
    <n v="5"/>
    <n v="48.59"/>
    <n v="885.47"/>
    <x v="1"/>
  </r>
  <r>
    <x v="465"/>
    <s v="Male"/>
    <n v="70"/>
    <s v="Yes"/>
    <x v="18"/>
    <x v="0"/>
    <x v="0"/>
    <x v="1"/>
    <s v="Yes"/>
    <s v="Yes"/>
    <n v="3"/>
    <n v="71.14"/>
    <n v="4795.17"/>
    <x v="0"/>
  </r>
  <r>
    <x v="466"/>
    <s v="Female"/>
    <n v="70"/>
    <s v="Yes"/>
    <x v="52"/>
    <x v="1"/>
    <x v="1"/>
    <x v="1"/>
    <s v="No"/>
    <s v="Yes"/>
    <n v="6"/>
    <n v="46.07"/>
    <n v="1623.48"/>
    <x v="0"/>
  </r>
  <r>
    <x v="467"/>
    <s v="Male"/>
    <n v="19"/>
    <s v="No"/>
    <x v="51"/>
    <x v="0"/>
    <x v="0"/>
    <x v="0"/>
    <s v="No"/>
    <s v="Yes"/>
    <n v="3"/>
    <n v="84.93"/>
    <n v="6046.94"/>
    <x v="0"/>
  </r>
  <r>
    <x v="468"/>
    <s v="Male"/>
    <n v="41"/>
    <s v="No"/>
    <x v="24"/>
    <x v="1"/>
    <x v="0"/>
    <x v="1"/>
    <s v="No"/>
    <s v="Yes"/>
    <n v="4"/>
    <n v="75.27"/>
    <n v="4357.01"/>
    <x v="0"/>
  </r>
  <r>
    <x v="469"/>
    <s v="Female"/>
    <n v="25"/>
    <s v="No"/>
    <x v="25"/>
    <x v="0"/>
    <x v="0"/>
    <x v="3"/>
    <s v="Yes"/>
    <s v="Yes"/>
    <n v="2"/>
    <n v="69.59"/>
    <n v="4966.0600000000004"/>
    <x v="0"/>
  </r>
  <r>
    <x v="470"/>
    <s v="Male"/>
    <n v="28"/>
    <s v="No"/>
    <x v="21"/>
    <x v="0"/>
    <x v="0"/>
    <x v="0"/>
    <s v="Yes"/>
    <s v="No"/>
    <n v="1"/>
    <n v="59.01"/>
    <n v="785.73"/>
    <x v="0"/>
  </r>
  <r>
    <x v="471"/>
    <s v="Female"/>
    <n v="30"/>
    <s v="No"/>
    <x v="37"/>
    <x v="0"/>
    <x v="0"/>
    <x v="1"/>
    <s v="No"/>
    <s v="No"/>
    <n v="4"/>
    <n v="77.05"/>
    <n v="3429.13"/>
    <x v="0"/>
  </r>
  <r>
    <x v="472"/>
    <s v="Male"/>
    <n v="34"/>
    <s v="No"/>
    <x v="31"/>
    <x v="0"/>
    <x v="0"/>
    <x v="1"/>
    <s v="No"/>
    <s v="No"/>
    <n v="4"/>
    <n v="82.31"/>
    <n v="4875.5"/>
    <x v="0"/>
  </r>
  <r>
    <x v="473"/>
    <s v="Female"/>
    <n v="25"/>
    <s v="No"/>
    <x v="71"/>
    <x v="0"/>
    <x v="2"/>
    <x v="1"/>
    <s v="No"/>
    <s v="No"/>
    <n v="2"/>
    <n v="48.92"/>
    <n v="1523.72"/>
    <x v="0"/>
  </r>
  <r>
    <x v="474"/>
    <s v="Male"/>
    <n v="38"/>
    <s v="No"/>
    <x v="46"/>
    <x v="1"/>
    <x v="1"/>
    <x v="3"/>
    <s v="Yes"/>
    <s v="Yes"/>
    <n v="6"/>
    <n v="49.17"/>
    <n v="1141.71"/>
    <x v="0"/>
  </r>
  <r>
    <x v="475"/>
    <s v="Female"/>
    <n v="35"/>
    <s v="No"/>
    <x v="66"/>
    <x v="2"/>
    <x v="2"/>
    <x v="3"/>
    <s v="No"/>
    <s v="No"/>
    <n v="4"/>
    <n v="50.93"/>
    <n v="2349.37"/>
    <x v="1"/>
  </r>
  <r>
    <x v="476"/>
    <s v="Male"/>
    <n v="47"/>
    <s v="No"/>
    <x v="51"/>
    <x v="2"/>
    <x v="0"/>
    <x v="1"/>
    <s v="No"/>
    <s v="Yes"/>
    <n v="3"/>
    <n v="71.099999999999994"/>
    <n v="4398.29"/>
    <x v="0"/>
  </r>
  <r>
    <x v="477"/>
    <s v="Female"/>
    <n v="35"/>
    <s v="No"/>
    <x v="62"/>
    <x v="0"/>
    <x v="2"/>
    <x v="1"/>
    <s v="No"/>
    <s v="No"/>
    <n v="4"/>
    <n v="73.930000000000007"/>
    <n v="3898.04"/>
    <x v="1"/>
  </r>
  <r>
    <x v="478"/>
    <s v="Male"/>
    <n v="63"/>
    <s v="Yes"/>
    <x v="69"/>
    <x v="0"/>
    <x v="2"/>
    <x v="1"/>
    <s v="No"/>
    <s v="No"/>
    <n v="7"/>
    <n v="70.06"/>
    <n v="719.45"/>
    <x v="1"/>
  </r>
  <r>
    <x v="479"/>
    <s v="Female"/>
    <n v="64"/>
    <s v="Yes"/>
    <x v="55"/>
    <x v="0"/>
    <x v="1"/>
    <x v="1"/>
    <s v="No"/>
    <s v="No"/>
    <n v="2"/>
    <n v="35.54"/>
    <n v="1499.3"/>
    <x v="1"/>
  </r>
  <r>
    <x v="480"/>
    <s v="Female"/>
    <n v="48"/>
    <s v="No"/>
    <x v="59"/>
    <x v="0"/>
    <x v="1"/>
    <x v="2"/>
    <s v="No"/>
    <s v="Yes"/>
    <n v="2"/>
    <n v="27.39"/>
    <n v="1877.22"/>
    <x v="0"/>
  </r>
  <r>
    <x v="481"/>
    <s v="Female"/>
    <n v="55"/>
    <s v="No"/>
    <x v="19"/>
    <x v="0"/>
    <x v="1"/>
    <x v="1"/>
    <s v="No"/>
    <s v="No"/>
    <n v="2"/>
    <n v="33.36"/>
    <n v="646.41999999999996"/>
    <x v="1"/>
  </r>
  <r>
    <x v="482"/>
    <s v="Male"/>
    <n v="49"/>
    <s v="No"/>
    <x v="36"/>
    <x v="0"/>
    <x v="0"/>
    <x v="3"/>
    <s v="Yes"/>
    <s v="Yes"/>
    <n v="6"/>
    <n v="85.11"/>
    <n v="5561.3"/>
    <x v="0"/>
  </r>
  <r>
    <x v="483"/>
    <s v="Female"/>
    <n v="28"/>
    <s v="No"/>
    <x v="41"/>
    <x v="0"/>
    <x v="2"/>
    <x v="2"/>
    <s v="Yes"/>
    <s v="Yes"/>
    <n v="3"/>
    <n v="62.7"/>
    <n v="2640.13"/>
    <x v="0"/>
  </r>
  <r>
    <x v="484"/>
    <s v="Male"/>
    <n v="62"/>
    <s v="Yes"/>
    <x v="70"/>
    <x v="2"/>
    <x v="0"/>
    <x v="1"/>
    <s v="No"/>
    <s v="Yes"/>
    <n v="5"/>
    <n v="90.37"/>
    <n v="2070.88"/>
    <x v="1"/>
  </r>
  <r>
    <x v="485"/>
    <s v="Female"/>
    <n v="42"/>
    <s v="No"/>
    <x v="39"/>
    <x v="0"/>
    <x v="1"/>
    <x v="0"/>
    <s v="No"/>
    <s v="No"/>
    <n v="1"/>
    <n v="37.11"/>
    <n v="1345.79"/>
    <x v="0"/>
  </r>
  <r>
    <x v="486"/>
    <s v="Male"/>
    <n v="50"/>
    <s v="No"/>
    <x v="64"/>
    <x v="0"/>
    <x v="0"/>
    <x v="2"/>
    <s v="Yes"/>
    <s v="No"/>
    <n v="4"/>
    <n v="79.56"/>
    <n v="4156.84"/>
    <x v="0"/>
  </r>
  <r>
    <x v="487"/>
    <s v="Female"/>
    <n v="55"/>
    <s v="No"/>
    <x v="20"/>
    <x v="0"/>
    <x v="0"/>
    <x v="2"/>
    <s v="Yes"/>
    <s v="Yes"/>
    <n v="1"/>
    <n v="81.28"/>
    <n v="2419.3000000000002"/>
    <x v="0"/>
  </r>
  <r>
    <x v="488"/>
    <s v="Male"/>
    <n v="58"/>
    <s v="No"/>
    <x v="44"/>
    <x v="0"/>
    <x v="0"/>
    <x v="0"/>
    <s v="No"/>
    <s v="No"/>
    <n v="4"/>
    <n v="84.63"/>
    <n v="4959.93"/>
    <x v="1"/>
  </r>
  <r>
    <x v="489"/>
    <s v="Male"/>
    <n v="25"/>
    <s v="No"/>
    <x v="37"/>
    <x v="2"/>
    <x v="2"/>
    <x v="2"/>
    <s v="No"/>
    <s v="No"/>
    <n v="3"/>
    <n v="44.99"/>
    <n v="2035.62"/>
    <x v="0"/>
  </r>
  <r>
    <x v="490"/>
    <s v="Female"/>
    <n v="28"/>
    <s v="No"/>
    <x v="39"/>
    <x v="0"/>
    <x v="0"/>
    <x v="2"/>
    <s v="No"/>
    <s v="No"/>
    <n v="2"/>
    <n v="81.8"/>
    <n v="2667.79"/>
    <x v="0"/>
  </r>
  <r>
    <x v="491"/>
    <s v="Male"/>
    <n v="39"/>
    <s v="No"/>
    <x v="13"/>
    <x v="0"/>
    <x v="0"/>
    <x v="0"/>
    <s v="No"/>
    <s v="No"/>
    <n v="4"/>
    <n v="78.959999999999994"/>
    <n v="1609.94"/>
    <x v="0"/>
  </r>
  <r>
    <x v="492"/>
    <s v="Male"/>
    <n v="68"/>
    <s v="Yes"/>
    <x v="9"/>
    <x v="0"/>
    <x v="1"/>
    <x v="2"/>
    <s v="No"/>
    <s v="No"/>
    <n v="2"/>
    <n v="40.97"/>
    <n v="349.46"/>
    <x v="0"/>
  </r>
  <r>
    <x v="493"/>
    <s v="Female"/>
    <n v="41"/>
    <s v="No"/>
    <x v="29"/>
    <x v="0"/>
    <x v="1"/>
    <x v="0"/>
    <s v="No"/>
    <s v="No"/>
    <n v="2"/>
    <n v="25.63"/>
    <n v="711.84"/>
    <x v="0"/>
  </r>
  <r>
    <x v="494"/>
    <s v="Male"/>
    <n v="58"/>
    <s v="No"/>
    <x v="57"/>
    <x v="0"/>
    <x v="0"/>
    <x v="3"/>
    <s v="Yes"/>
    <s v="No"/>
    <n v="3"/>
    <n v="74.5"/>
    <n v="5694.47"/>
    <x v="0"/>
  </r>
  <r>
    <x v="495"/>
    <s v="Male"/>
    <n v="34"/>
    <s v="No"/>
    <x v="20"/>
    <x v="2"/>
    <x v="0"/>
    <x v="2"/>
    <s v="No"/>
    <s v="No"/>
    <n v="5"/>
    <n v="88.25"/>
    <n v="2513.94"/>
    <x v="1"/>
  </r>
  <r>
    <x v="496"/>
    <s v="Male"/>
    <n v="29"/>
    <s v="No"/>
    <x v="3"/>
    <x v="2"/>
    <x v="1"/>
    <x v="2"/>
    <s v="No"/>
    <s v="No"/>
    <n v="3"/>
    <n v="38.71"/>
    <n v="256.13"/>
    <x v="0"/>
  </r>
  <r>
    <x v="497"/>
    <s v="Female"/>
    <n v="74"/>
    <s v="Yes"/>
    <x v="51"/>
    <x v="1"/>
    <x v="1"/>
    <x v="0"/>
    <s v="Yes"/>
    <s v="Yes"/>
    <n v="2"/>
    <n v="31.95"/>
    <n v="1981.12"/>
    <x v="0"/>
  </r>
  <r>
    <x v="498"/>
    <s v="Male"/>
    <n v="63"/>
    <s v="Yes"/>
    <x v="61"/>
    <x v="0"/>
    <x v="2"/>
    <x v="1"/>
    <s v="No"/>
    <s v="Yes"/>
    <n v="1"/>
    <n v="29.79"/>
    <n v="2057.7399999999998"/>
    <x v="0"/>
  </r>
  <r>
    <x v="499"/>
    <s v="Female"/>
    <n v="49"/>
    <s v="No"/>
    <x v="58"/>
    <x v="2"/>
    <x v="2"/>
    <x v="3"/>
    <s v="No"/>
    <s v="Yes"/>
    <n v="4"/>
    <n v="53.82"/>
    <n v="2015.88"/>
    <x v="0"/>
  </r>
  <r>
    <x v="500"/>
    <s v="Male"/>
    <n v="32"/>
    <s v="No"/>
    <x v="26"/>
    <x v="0"/>
    <x v="0"/>
    <x v="3"/>
    <s v="No"/>
    <s v="No"/>
    <n v="2"/>
    <n v="64.16"/>
    <n v="1638.2"/>
    <x v="0"/>
  </r>
  <r>
    <x v="501"/>
    <s v="Male"/>
    <n v="33"/>
    <s v="No"/>
    <x v="67"/>
    <x v="0"/>
    <x v="1"/>
    <x v="3"/>
    <s v="No"/>
    <s v="Yes"/>
    <n v="2"/>
    <n v="20"/>
    <n v="790.64"/>
    <x v="0"/>
  </r>
  <r>
    <x v="502"/>
    <s v="Male"/>
    <n v="71"/>
    <s v="Yes"/>
    <x v="8"/>
    <x v="1"/>
    <x v="2"/>
    <x v="2"/>
    <s v="No"/>
    <s v="No"/>
    <n v="2"/>
    <n v="46.03"/>
    <n v="46.58"/>
    <x v="1"/>
  </r>
  <r>
    <x v="503"/>
    <s v="Female"/>
    <n v="39"/>
    <s v="No"/>
    <x v="48"/>
    <x v="0"/>
    <x v="2"/>
    <x v="2"/>
    <s v="No"/>
    <s v="No"/>
    <n v="6"/>
    <n v="80.010000000000005"/>
    <n v="1129.05"/>
    <x v="0"/>
  </r>
  <r>
    <x v="504"/>
    <s v="Male"/>
    <n v="45"/>
    <s v="No"/>
    <x v="67"/>
    <x v="0"/>
    <x v="0"/>
    <x v="0"/>
    <s v="No"/>
    <s v="No"/>
    <n v="4"/>
    <n v="87.1"/>
    <n v="3056.08"/>
    <x v="0"/>
  </r>
  <r>
    <x v="505"/>
    <s v="Male"/>
    <n v="37"/>
    <s v="No"/>
    <x v="21"/>
    <x v="1"/>
    <x v="1"/>
    <x v="1"/>
    <s v="Yes"/>
    <s v="No"/>
    <n v="3"/>
    <n v="31.15"/>
    <n v="381.12"/>
    <x v="0"/>
  </r>
  <r>
    <x v="506"/>
    <s v="Female"/>
    <n v="50"/>
    <s v="No"/>
    <x v="9"/>
    <x v="0"/>
    <x v="2"/>
    <x v="0"/>
    <s v="No"/>
    <s v="No"/>
    <n v="1"/>
    <n v="42.88"/>
    <n v="332.48"/>
    <x v="1"/>
  </r>
  <r>
    <x v="507"/>
    <s v="Male"/>
    <n v="27"/>
    <s v="No"/>
    <x v="30"/>
    <x v="1"/>
    <x v="0"/>
    <x v="3"/>
    <s v="No"/>
    <s v="No"/>
    <n v="4"/>
    <n v="74.900000000000006"/>
    <n v="367.28"/>
    <x v="0"/>
  </r>
  <r>
    <x v="508"/>
    <s v="Female"/>
    <n v="57"/>
    <s v="No"/>
    <x v="34"/>
    <x v="0"/>
    <x v="2"/>
    <x v="3"/>
    <s v="Yes"/>
    <s v="No"/>
    <n v="2"/>
    <n v="56.29"/>
    <n v="3537.81"/>
    <x v="1"/>
  </r>
  <r>
    <x v="509"/>
    <s v="Female"/>
    <n v="49"/>
    <s v="No"/>
    <x v="8"/>
    <x v="2"/>
    <x v="2"/>
    <x v="3"/>
    <s v="Yes"/>
    <s v="Yes"/>
    <n v="6"/>
    <n v="69.83"/>
    <n v="66.38"/>
    <x v="0"/>
  </r>
  <r>
    <x v="510"/>
    <s v="Male"/>
    <n v="67"/>
    <s v="Yes"/>
    <x v="58"/>
    <x v="2"/>
    <x v="2"/>
    <x v="0"/>
    <s v="No"/>
    <s v="No"/>
    <n v="4"/>
    <n v="54.02"/>
    <n v="2014.84"/>
    <x v="0"/>
  </r>
  <r>
    <x v="511"/>
    <s v="Female"/>
    <n v="50"/>
    <s v="No"/>
    <x v="39"/>
    <x v="2"/>
    <x v="2"/>
    <x v="1"/>
    <s v="No"/>
    <s v="No"/>
    <n v="2"/>
    <n v="46.82"/>
    <n v="1636.4"/>
    <x v="0"/>
  </r>
  <r>
    <x v="512"/>
    <s v="Male"/>
    <n v="19"/>
    <s v="No"/>
    <x v="36"/>
    <x v="0"/>
    <x v="2"/>
    <x v="1"/>
    <s v="Yes"/>
    <s v="No"/>
    <n v="5"/>
    <n v="70.569999999999993"/>
    <n v="5029.9799999999996"/>
    <x v="0"/>
  </r>
  <r>
    <x v="513"/>
    <s v="Female"/>
    <n v="50"/>
    <s v="No"/>
    <x v="18"/>
    <x v="0"/>
    <x v="1"/>
    <x v="0"/>
    <s v="Yes"/>
    <s v="No"/>
    <n v="7"/>
    <n v="63.67"/>
    <n v="4188.72"/>
    <x v="0"/>
  </r>
  <r>
    <x v="514"/>
    <s v="Female"/>
    <n v="50"/>
    <s v="No"/>
    <x v="45"/>
    <x v="0"/>
    <x v="0"/>
    <x v="1"/>
    <s v="No"/>
    <s v="No"/>
    <n v="3"/>
    <n v="68.72"/>
    <n v="1699.15"/>
    <x v="1"/>
  </r>
  <r>
    <x v="515"/>
    <s v="Male"/>
    <n v="58"/>
    <s v="No"/>
    <x v="14"/>
    <x v="0"/>
    <x v="0"/>
    <x v="0"/>
    <s v="Yes"/>
    <s v="Yes"/>
    <n v="6"/>
    <n v="86.18"/>
    <n v="756.06"/>
    <x v="1"/>
  </r>
  <r>
    <x v="516"/>
    <s v="Female"/>
    <n v="30"/>
    <s v="No"/>
    <x v="22"/>
    <x v="0"/>
    <x v="0"/>
    <x v="1"/>
    <s v="No"/>
    <s v="No"/>
    <n v="4"/>
    <n v="79.900000000000006"/>
    <n v="2552.7600000000002"/>
    <x v="0"/>
  </r>
  <r>
    <x v="517"/>
    <s v="Female"/>
    <n v="47"/>
    <s v="No"/>
    <x v="16"/>
    <x v="1"/>
    <x v="2"/>
    <x v="3"/>
    <s v="No"/>
    <s v="Yes"/>
    <n v="2"/>
    <n v="49.68"/>
    <n v="2287.44"/>
    <x v="1"/>
  </r>
  <r>
    <x v="518"/>
    <s v="Female"/>
    <n v="50"/>
    <s v="No"/>
    <x v="12"/>
    <x v="0"/>
    <x v="2"/>
    <x v="1"/>
    <s v="No"/>
    <s v="Yes"/>
    <n v="3"/>
    <n v="62.91"/>
    <n v="236.51"/>
    <x v="1"/>
  </r>
  <r>
    <x v="519"/>
    <s v="Female"/>
    <n v="30"/>
    <s v="No"/>
    <x v="20"/>
    <x v="2"/>
    <x v="1"/>
    <x v="2"/>
    <s v="No"/>
    <s v="No"/>
    <n v="1"/>
    <n v="27.93"/>
    <n v="836.89"/>
    <x v="0"/>
  </r>
  <r>
    <x v="520"/>
    <s v="Female"/>
    <n v="69"/>
    <s v="Yes"/>
    <x v="50"/>
    <x v="0"/>
    <x v="2"/>
    <x v="3"/>
    <s v="Yes"/>
    <s v="No"/>
    <n v="5"/>
    <n v="76.36"/>
    <n v="5295.54"/>
    <x v="0"/>
  </r>
  <r>
    <x v="521"/>
    <s v="Male"/>
    <n v="43"/>
    <s v="No"/>
    <x v="4"/>
    <x v="0"/>
    <x v="2"/>
    <x v="3"/>
    <s v="No"/>
    <s v="Yes"/>
    <n v="3"/>
    <n v="63.41"/>
    <n v="189.96"/>
    <x v="0"/>
  </r>
  <r>
    <x v="522"/>
    <s v="Female"/>
    <n v="39"/>
    <s v="No"/>
    <x v="54"/>
    <x v="0"/>
    <x v="1"/>
    <x v="3"/>
    <s v="Yes"/>
    <s v="No"/>
    <n v="6"/>
    <n v="44.2"/>
    <n v="663.32"/>
    <x v="1"/>
  </r>
  <r>
    <x v="523"/>
    <s v="Male"/>
    <n v="56"/>
    <s v="No"/>
    <x v="34"/>
    <x v="2"/>
    <x v="0"/>
    <x v="1"/>
    <s v="No"/>
    <s v="No"/>
    <n v="1"/>
    <n v="67.47"/>
    <n v="3911.55"/>
    <x v="0"/>
  </r>
  <r>
    <x v="524"/>
    <s v="Female"/>
    <n v="19"/>
    <s v="No"/>
    <x v="56"/>
    <x v="1"/>
    <x v="1"/>
    <x v="0"/>
    <s v="No"/>
    <s v="No"/>
    <n v="2"/>
    <n v="26.16"/>
    <n v="1270.1400000000001"/>
    <x v="0"/>
  </r>
  <r>
    <x v="525"/>
    <s v="Male"/>
    <n v="55"/>
    <s v="No"/>
    <x v="22"/>
    <x v="2"/>
    <x v="0"/>
    <x v="2"/>
    <s v="Yes"/>
    <s v="No"/>
    <n v="2"/>
    <n v="68.260000000000005"/>
    <n v="2220.33"/>
    <x v="0"/>
  </r>
  <r>
    <x v="526"/>
    <s v="Male"/>
    <n v="56"/>
    <s v="No"/>
    <x v="56"/>
    <x v="2"/>
    <x v="2"/>
    <x v="2"/>
    <s v="No"/>
    <s v="No"/>
    <n v="4"/>
    <n v="65.09"/>
    <n v="2792.26"/>
    <x v="0"/>
  </r>
  <r>
    <x v="527"/>
    <s v="Female"/>
    <n v="43"/>
    <s v="No"/>
    <x v="31"/>
    <x v="0"/>
    <x v="2"/>
    <x v="2"/>
    <s v="No"/>
    <s v="Yes"/>
    <n v="5"/>
    <n v="64.72"/>
    <n v="3976.21"/>
    <x v="0"/>
  </r>
  <r>
    <x v="528"/>
    <s v="Female"/>
    <n v="63"/>
    <s v="Yes"/>
    <x v="17"/>
    <x v="0"/>
    <x v="2"/>
    <x v="3"/>
    <s v="No"/>
    <s v="No"/>
    <n v="2"/>
    <n v="65.790000000000006"/>
    <n v="1110.25"/>
    <x v="1"/>
  </r>
  <r>
    <x v="529"/>
    <s v="Female"/>
    <n v="75"/>
    <s v="Yes"/>
    <x v="36"/>
    <x v="0"/>
    <x v="0"/>
    <x v="1"/>
    <s v="No"/>
    <s v="Yes"/>
    <n v="5"/>
    <n v="74.45"/>
    <n v="5109.8599999999997"/>
    <x v="0"/>
  </r>
  <r>
    <x v="530"/>
    <s v="Male"/>
    <n v="67"/>
    <s v="Yes"/>
    <x v="6"/>
    <x v="1"/>
    <x v="0"/>
    <x v="1"/>
    <s v="No"/>
    <s v="No"/>
    <n v="7"/>
    <n v="90.77"/>
    <n v="3760.66"/>
    <x v="1"/>
  </r>
  <r>
    <x v="531"/>
    <s v="Female"/>
    <n v="32"/>
    <s v="No"/>
    <x v="47"/>
    <x v="0"/>
    <x v="2"/>
    <x v="3"/>
    <s v="No"/>
    <s v="No"/>
    <n v="4"/>
    <n v="55.46"/>
    <n v="910.03"/>
    <x v="0"/>
  </r>
  <r>
    <x v="532"/>
    <s v="Male"/>
    <n v="51"/>
    <s v="No"/>
    <x v="22"/>
    <x v="0"/>
    <x v="1"/>
    <x v="0"/>
    <s v="No"/>
    <s v="No"/>
    <n v="5"/>
    <n v="42.79"/>
    <n v="1343.71"/>
    <x v="0"/>
  </r>
  <r>
    <x v="533"/>
    <s v="Male"/>
    <n v="59"/>
    <s v="No"/>
    <x v="17"/>
    <x v="2"/>
    <x v="0"/>
    <x v="1"/>
    <s v="No"/>
    <s v="Yes"/>
    <n v="4"/>
    <n v="79.290000000000006"/>
    <n v="1199.98"/>
    <x v="1"/>
  </r>
  <r>
    <x v="534"/>
    <s v="Male"/>
    <n v="72"/>
    <s v="Yes"/>
    <x v="34"/>
    <x v="2"/>
    <x v="1"/>
    <x v="2"/>
    <s v="No"/>
    <s v="Yes"/>
    <n v="3"/>
    <n v="32.26"/>
    <n v="1888.98"/>
    <x v="0"/>
  </r>
  <r>
    <x v="535"/>
    <s v="Female"/>
    <n v="61"/>
    <s v="Yes"/>
    <x v="36"/>
    <x v="1"/>
    <x v="0"/>
    <x v="0"/>
    <s v="Yes"/>
    <s v="No"/>
    <n v="8"/>
    <n v="101.71"/>
    <n v="7219.48"/>
    <x v="0"/>
  </r>
  <r>
    <x v="536"/>
    <s v="Female"/>
    <n v="66"/>
    <s v="Yes"/>
    <x v="36"/>
    <x v="1"/>
    <x v="2"/>
    <x v="1"/>
    <s v="No"/>
    <s v="No"/>
    <n v="4"/>
    <n v="71.260000000000005"/>
    <n v="5019.04"/>
    <x v="0"/>
  </r>
  <r>
    <x v="537"/>
    <s v="Male"/>
    <n v="57"/>
    <s v="No"/>
    <x v="21"/>
    <x v="1"/>
    <x v="2"/>
    <x v="2"/>
    <s v="No"/>
    <s v="No"/>
    <n v="4"/>
    <n v="42.65"/>
    <n v="527.89"/>
    <x v="0"/>
  </r>
  <r>
    <x v="538"/>
    <s v="Male"/>
    <n v="28"/>
    <s v="No"/>
    <x v="64"/>
    <x v="0"/>
    <x v="2"/>
    <x v="2"/>
    <s v="No"/>
    <s v="Yes"/>
    <n v="4"/>
    <n v="68.75"/>
    <n v="3988.98"/>
    <x v="0"/>
  </r>
  <r>
    <x v="539"/>
    <s v="Female"/>
    <n v="20"/>
    <s v="No"/>
    <x v="71"/>
    <x v="0"/>
    <x v="1"/>
    <x v="0"/>
    <s v="No"/>
    <s v="No"/>
    <n v="5"/>
    <n v="62.62"/>
    <n v="1965.76"/>
    <x v="1"/>
  </r>
  <r>
    <x v="540"/>
    <s v="Male"/>
    <n v="23"/>
    <s v="No"/>
    <x v="22"/>
    <x v="1"/>
    <x v="2"/>
    <x v="2"/>
    <s v="No"/>
    <s v="Yes"/>
    <n v="6"/>
    <n v="68.33"/>
    <n v="2155.89"/>
    <x v="0"/>
  </r>
  <r>
    <x v="541"/>
    <s v="Female"/>
    <n v="26"/>
    <s v="No"/>
    <x v="49"/>
    <x v="1"/>
    <x v="2"/>
    <x v="2"/>
    <s v="No"/>
    <s v="Yes"/>
    <n v="4"/>
    <n v="54.73"/>
    <n v="2090.66"/>
    <x v="0"/>
  </r>
  <r>
    <x v="542"/>
    <s v="Male"/>
    <n v="23"/>
    <s v="No"/>
    <x v="51"/>
    <x v="0"/>
    <x v="0"/>
    <x v="0"/>
    <s v="No"/>
    <s v="No"/>
    <n v="6"/>
    <n v="82.99"/>
    <n v="5547.94"/>
    <x v="0"/>
  </r>
  <r>
    <x v="543"/>
    <s v="Female"/>
    <n v="26"/>
    <s v="No"/>
    <x v="9"/>
    <x v="2"/>
    <x v="0"/>
    <x v="1"/>
    <s v="Yes"/>
    <s v="No"/>
    <n v="2"/>
    <n v="68.849999999999994"/>
    <n v="565.57000000000005"/>
    <x v="1"/>
  </r>
  <r>
    <x v="544"/>
    <s v="Male"/>
    <n v="56"/>
    <s v="No"/>
    <x v="60"/>
    <x v="0"/>
    <x v="0"/>
    <x v="1"/>
    <s v="Yes"/>
    <s v="Yes"/>
    <n v="5"/>
    <n v="86.01"/>
    <n v="4575.32"/>
    <x v="0"/>
  </r>
  <r>
    <x v="545"/>
    <s v="Female"/>
    <n v="48"/>
    <s v="No"/>
    <x v="5"/>
    <x v="0"/>
    <x v="2"/>
    <x v="3"/>
    <s v="No"/>
    <s v="Yes"/>
    <n v="3"/>
    <n v="52.01"/>
    <n v="1501.74"/>
    <x v="0"/>
  </r>
  <r>
    <x v="546"/>
    <s v="Male"/>
    <n v="49"/>
    <s v="No"/>
    <x v="53"/>
    <x v="1"/>
    <x v="0"/>
    <x v="0"/>
    <s v="No"/>
    <s v="No"/>
    <n v="5"/>
    <n v="82.44"/>
    <n v="4335.68"/>
    <x v="0"/>
  </r>
  <r>
    <x v="547"/>
    <s v="Female"/>
    <n v="58"/>
    <s v="No"/>
    <x v="49"/>
    <x v="0"/>
    <x v="0"/>
    <x v="2"/>
    <s v="No"/>
    <s v="Yes"/>
    <n v="1"/>
    <n v="60.31"/>
    <n v="2257.4499999999998"/>
    <x v="0"/>
  </r>
  <r>
    <x v="548"/>
    <s v="Female"/>
    <n v="67"/>
    <s v="Yes"/>
    <x v="61"/>
    <x v="0"/>
    <x v="0"/>
    <x v="2"/>
    <s v="Yes"/>
    <s v="No"/>
    <n v="4"/>
    <n v="75.8"/>
    <n v="4782.29"/>
    <x v="0"/>
  </r>
  <r>
    <x v="549"/>
    <s v="Male"/>
    <n v="29"/>
    <s v="No"/>
    <x v="47"/>
    <x v="0"/>
    <x v="0"/>
    <x v="2"/>
    <s v="Yes"/>
    <s v="No"/>
    <n v="4"/>
    <n v="76.11"/>
    <n v="1346.02"/>
    <x v="0"/>
  </r>
  <r>
    <x v="550"/>
    <s v="Male"/>
    <n v="25"/>
    <s v="No"/>
    <x v="20"/>
    <x v="1"/>
    <x v="0"/>
    <x v="2"/>
    <s v="Yes"/>
    <s v="Yes"/>
    <n v="4"/>
    <n v="78.75"/>
    <n v="2415.5300000000002"/>
    <x v="0"/>
  </r>
  <r>
    <x v="551"/>
    <s v="Female"/>
    <n v="25"/>
    <s v="No"/>
    <x v="53"/>
    <x v="0"/>
    <x v="1"/>
    <x v="2"/>
    <s v="No"/>
    <s v="Yes"/>
    <n v="1"/>
    <n v="20"/>
    <n v="1101.07"/>
    <x v="0"/>
  </r>
  <r>
    <x v="552"/>
    <s v="Male"/>
    <n v="67"/>
    <s v="Yes"/>
    <x v="21"/>
    <x v="1"/>
    <x v="2"/>
    <x v="1"/>
    <s v="No"/>
    <s v="No"/>
    <n v="5"/>
    <n v="60.69"/>
    <n v="762.76"/>
    <x v="0"/>
  </r>
  <r>
    <x v="553"/>
    <s v="Female"/>
    <n v="45"/>
    <s v="No"/>
    <x v="19"/>
    <x v="1"/>
    <x v="2"/>
    <x v="1"/>
    <s v="Yes"/>
    <s v="No"/>
    <n v="1"/>
    <n v="45.5"/>
    <n v="929.03"/>
    <x v="0"/>
  </r>
  <r>
    <x v="554"/>
    <s v="Male"/>
    <n v="37"/>
    <s v="No"/>
    <x v="13"/>
    <x v="0"/>
    <x v="2"/>
    <x v="3"/>
    <s v="No"/>
    <s v="No"/>
    <n v="5"/>
    <n v="64.290000000000006"/>
    <n v="1201.32"/>
    <x v="1"/>
  </r>
  <r>
    <x v="555"/>
    <s v="Female"/>
    <n v="64"/>
    <s v="Yes"/>
    <x v="53"/>
    <x v="2"/>
    <x v="0"/>
    <x v="0"/>
    <s v="No"/>
    <s v="No"/>
    <n v="4"/>
    <n v="88.79"/>
    <n v="4471.3999999999996"/>
    <x v="0"/>
  </r>
  <r>
    <x v="556"/>
    <s v="Female"/>
    <n v="24"/>
    <s v="No"/>
    <x v="13"/>
    <x v="0"/>
    <x v="1"/>
    <x v="0"/>
    <s v="Yes"/>
    <s v="No"/>
    <n v="6"/>
    <n v="48.29"/>
    <n v="945.56"/>
    <x v="0"/>
  </r>
  <r>
    <x v="557"/>
    <s v="Female"/>
    <n v="28"/>
    <s v="No"/>
    <x v="44"/>
    <x v="2"/>
    <x v="0"/>
    <x v="3"/>
    <s v="No"/>
    <s v="No"/>
    <n v="2"/>
    <n v="62.48"/>
    <n v="3464.12"/>
    <x v="0"/>
  </r>
  <r>
    <x v="558"/>
    <s v="Female"/>
    <n v="37"/>
    <s v="No"/>
    <x v="26"/>
    <x v="0"/>
    <x v="0"/>
    <x v="2"/>
    <s v="No"/>
    <s v="No"/>
    <n v="5"/>
    <n v="83.92"/>
    <n v="2039.67"/>
    <x v="1"/>
  </r>
  <r>
    <x v="559"/>
    <s v="Female"/>
    <n v="33"/>
    <s v="No"/>
    <x v="71"/>
    <x v="2"/>
    <x v="2"/>
    <x v="0"/>
    <s v="Yes"/>
    <s v="Yes"/>
    <n v="4"/>
    <n v="54.04"/>
    <n v="1613.42"/>
    <x v="0"/>
  </r>
  <r>
    <x v="560"/>
    <s v="Female"/>
    <n v="21"/>
    <s v="No"/>
    <x v="60"/>
    <x v="0"/>
    <x v="0"/>
    <x v="2"/>
    <s v="Yes"/>
    <s v="No"/>
    <n v="7"/>
    <n v="85.86"/>
    <n v="4686.66"/>
    <x v="0"/>
  </r>
  <r>
    <x v="561"/>
    <s v="Male"/>
    <n v="23"/>
    <s v="No"/>
    <x v="45"/>
    <x v="0"/>
    <x v="2"/>
    <x v="1"/>
    <s v="No"/>
    <s v="No"/>
    <n v="5"/>
    <n v="60.93"/>
    <n v="1462.37"/>
    <x v="1"/>
  </r>
  <r>
    <x v="562"/>
    <s v="Male"/>
    <n v="75"/>
    <s v="Yes"/>
    <x v="10"/>
    <x v="0"/>
    <x v="0"/>
    <x v="3"/>
    <s v="No"/>
    <s v="No"/>
    <n v="4"/>
    <n v="75.36"/>
    <n v="2541.0100000000002"/>
    <x v="0"/>
  </r>
  <r>
    <x v="563"/>
    <s v="Male"/>
    <n v="39"/>
    <s v="No"/>
    <x v="38"/>
    <x v="0"/>
    <x v="2"/>
    <x v="1"/>
    <s v="No"/>
    <s v="No"/>
    <n v="4"/>
    <n v="51.54"/>
    <n v="3351.17"/>
    <x v="0"/>
  </r>
  <r>
    <x v="564"/>
    <s v="Female"/>
    <n v="43"/>
    <s v="No"/>
    <x v="69"/>
    <x v="1"/>
    <x v="2"/>
    <x v="2"/>
    <s v="No"/>
    <s v="No"/>
    <n v="3"/>
    <n v="51.6"/>
    <n v="526.01"/>
    <x v="0"/>
  </r>
  <r>
    <x v="565"/>
    <s v="Female"/>
    <n v="20"/>
    <s v="No"/>
    <x v="50"/>
    <x v="0"/>
    <x v="0"/>
    <x v="1"/>
    <s v="Yes"/>
    <s v="No"/>
    <n v="1"/>
    <n v="70.19"/>
    <n v="4876.1400000000003"/>
    <x v="0"/>
  </r>
  <r>
    <x v="566"/>
    <s v="Female"/>
    <n v="58"/>
    <s v="No"/>
    <x v="62"/>
    <x v="1"/>
    <x v="2"/>
    <x v="3"/>
    <s v="No"/>
    <s v="Yes"/>
    <n v="3"/>
    <n v="55.28"/>
    <n v="3097.29"/>
    <x v="0"/>
  </r>
  <r>
    <x v="567"/>
    <s v="Female"/>
    <n v="59"/>
    <s v="No"/>
    <x v="40"/>
    <x v="0"/>
    <x v="0"/>
    <x v="1"/>
    <s v="No"/>
    <s v="Yes"/>
    <n v="6"/>
    <n v="80.05"/>
    <n v="3855.81"/>
    <x v="0"/>
  </r>
  <r>
    <x v="568"/>
    <s v="Male"/>
    <n v="31"/>
    <s v="No"/>
    <x v="28"/>
    <x v="0"/>
    <x v="2"/>
    <x v="1"/>
    <s v="No"/>
    <s v="No"/>
    <n v="4"/>
    <n v="52.98"/>
    <n v="1110.1500000000001"/>
    <x v="0"/>
  </r>
  <r>
    <x v="569"/>
    <s v="Male"/>
    <n v="28"/>
    <s v="No"/>
    <x v="10"/>
    <x v="1"/>
    <x v="0"/>
    <x v="0"/>
    <s v="No"/>
    <s v="Yes"/>
    <n v="7"/>
    <n v="91.86"/>
    <n v="3071.32"/>
    <x v="0"/>
  </r>
  <r>
    <x v="570"/>
    <s v="Female"/>
    <n v="35"/>
    <s v="No"/>
    <x v="54"/>
    <x v="0"/>
    <x v="2"/>
    <x v="0"/>
    <s v="No"/>
    <s v="Yes"/>
    <n v="7"/>
    <n v="64.09"/>
    <n v="921.67"/>
    <x v="0"/>
  </r>
  <r>
    <x v="571"/>
    <s v="Male"/>
    <n v="71"/>
    <s v="Yes"/>
    <x v="32"/>
    <x v="1"/>
    <x v="2"/>
    <x v="1"/>
    <s v="No"/>
    <s v="No"/>
    <n v="5"/>
    <n v="56.72"/>
    <n v="2653.55"/>
    <x v="1"/>
  </r>
  <r>
    <x v="572"/>
    <s v="Male"/>
    <n v="29"/>
    <s v="No"/>
    <x v="23"/>
    <x v="1"/>
    <x v="0"/>
    <x v="1"/>
    <s v="No"/>
    <s v="No"/>
    <n v="5"/>
    <n v="79"/>
    <n v="2388.02"/>
    <x v="0"/>
  </r>
  <r>
    <x v="573"/>
    <s v="Female"/>
    <n v="40"/>
    <s v="No"/>
    <x v="53"/>
    <x v="2"/>
    <x v="1"/>
    <x v="3"/>
    <s v="No"/>
    <s v="No"/>
    <n v="3"/>
    <n v="30.2"/>
    <n v="1666.27"/>
    <x v="0"/>
  </r>
  <r>
    <x v="574"/>
    <s v="Male"/>
    <n v="29"/>
    <s v="No"/>
    <x v="70"/>
    <x v="0"/>
    <x v="1"/>
    <x v="3"/>
    <s v="Yes"/>
    <s v="Yes"/>
    <n v="3"/>
    <n v="37.71"/>
    <n v="939.04"/>
    <x v="0"/>
  </r>
  <r>
    <x v="575"/>
    <s v="Female"/>
    <n v="30"/>
    <s v="No"/>
    <x v="46"/>
    <x v="1"/>
    <x v="2"/>
    <x v="1"/>
    <s v="No"/>
    <s v="Yes"/>
    <n v="6"/>
    <n v="64.849999999999994"/>
    <n v="1327.18"/>
    <x v="0"/>
  </r>
  <r>
    <x v="576"/>
    <s v="Male"/>
    <n v="42"/>
    <s v="No"/>
    <x v="20"/>
    <x v="2"/>
    <x v="2"/>
    <x v="3"/>
    <s v="No"/>
    <s v="Yes"/>
    <n v="2"/>
    <n v="60.83"/>
    <n v="1795.32"/>
    <x v="0"/>
  </r>
  <r>
    <x v="577"/>
    <s v="Female"/>
    <n v="62"/>
    <s v="Yes"/>
    <x v="18"/>
    <x v="1"/>
    <x v="0"/>
    <x v="1"/>
    <s v="No"/>
    <s v="No"/>
    <n v="6"/>
    <n v="78.87"/>
    <n v="4639.8100000000004"/>
    <x v="0"/>
  </r>
  <r>
    <x v="578"/>
    <s v="Female"/>
    <n v="68"/>
    <s v="Yes"/>
    <x v="12"/>
    <x v="0"/>
    <x v="2"/>
    <x v="3"/>
    <s v="No"/>
    <s v="Yes"/>
    <n v="3"/>
    <n v="63.06"/>
    <n v="246.63"/>
    <x v="0"/>
  </r>
  <r>
    <x v="579"/>
    <s v="Female"/>
    <n v="75"/>
    <s v="Yes"/>
    <x v="24"/>
    <x v="1"/>
    <x v="0"/>
    <x v="1"/>
    <s v="Yes"/>
    <s v="No"/>
    <n v="8"/>
    <n v="96.66"/>
    <n v="5767.26"/>
    <x v="0"/>
  </r>
  <r>
    <x v="580"/>
    <s v="Female"/>
    <n v="36"/>
    <s v="No"/>
    <x v="9"/>
    <x v="1"/>
    <x v="0"/>
    <x v="3"/>
    <s v="Yes"/>
    <s v="Yes"/>
    <n v="7"/>
    <n v="101.44"/>
    <n v="860.71"/>
    <x v="0"/>
  </r>
  <r>
    <x v="581"/>
    <s v="Male"/>
    <n v="72"/>
    <s v="Yes"/>
    <x v="1"/>
    <x v="1"/>
    <x v="1"/>
    <x v="1"/>
    <s v="Yes"/>
    <s v="No"/>
    <n v="2"/>
    <n v="42.49"/>
    <n v="492.17"/>
    <x v="0"/>
  </r>
  <r>
    <x v="582"/>
    <s v="Female"/>
    <n v="63"/>
    <s v="Yes"/>
    <x v="71"/>
    <x v="0"/>
    <x v="2"/>
    <x v="2"/>
    <s v="No"/>
    <s v="No"/>
    <n v="4"/>
    <n v="56.01"/>
    <n v="1770.6"/>
    <x v="1"/>
  </r>
  <r>
    <x v="583"/>
    <s v="Female"/>
    <n v="53"/>
    <s v="No"/>
    <x v="22"/>
    <x v="0"/>
    <x v="0"/>
    <x v="1"/>
    <s v="No"/>
    <s v="Yes"/>
    <n v="3"/>
    <n v="65.14"/>
    <n v="2095.9299999999998"/>
    <x v="0"/>
  </r>
  <r>
    <x v="584"/>
    <s v="Female"/>
    <n v="62"/>
    <s v="Yes"/>
    <x v="65"/>
    <x v="2"/>
    <x v="0"/>
    <x v="1"/>
    <s v="Yes"/>
    <s v="No"/>
    <n v="3"/>
    <n v="73.97"/>
    <n v="3539.84"/>
    <x v="0"/>
  </r>
  <r>
    <x v="585"/>
    <s v="Male"/>
    <n v="25"/>
    <s v="No"/>
    <x v="44"/>
    <x v="0"/>
    <x v="2"/>
    <x v="1"/>
    <s v="Yes"/>
    <s v="No"/>
    <n v="3"/>
    <n v="41.16"/>
    <n v="2514"/>
    <x v="0"/>
  </r>
  <r>
    <x v="586"/>
    <s v="Female"/>
    <n v="46"/>
    <s v="No"/>
    <x v="29"/>
    <x v="1"/>
    <x v="0"/>
    <x v="2"/>
    <s v="No"/>
    <s v="No"/>
    <n v="7"/>
    <n v="95.62"/>
    <n v="2584.63"/>
    <x v="0"/>
  </r>
  <r>
    <x v="587"/>
    <s v="Male"/>
    <n v="72"/>
    <s v="Yes"/>
    <x v="68"/>
    <x v="0"/>
    <x v="0"/>
    <x v="3"/>
    <s v="Yes"/>
    <s v="No"/>
    <n v="2"/>
    <n v="72.06"/>
    <n v="1306.5899999999999"/>
    <x v="0"/>
  </r>
  <r>
    <x v="588"/>
    <s v="Female"/>
    <n v="70"/>
    <s v="Yes"/>
    <x v="52"/>
    <x v="0"/>
    <x v="0"/>
    <x v="3"/>
    <s v="No"/>
    <s v="No"/>
    <n v="1"/>
    <n v="62.81"/>
    <n v="2291.96"/>
    <x v="1"/>
  </r>
  <r>
    <x v="589"/>
    <s v="Male"/>
    <n v="72"/>
    <s v="Yes"/>
    <x v="32"/>
    <x v="0"/>
    <x v="2"/>
    <x v="2"/>
    <s v="No"/>
    <s v="No"/>
    <n v="6"/>
    <n v="63.85"/>
    <n v="3131.05"/>
    <x v="1"/>
  </r>
  <r>
    <x v="590"/>
    <s v="Male"/>
    <n v="49"/>
    <s v="No"/>
    <x v="9"/>
    <x v="0"/>
    <x v="2"/>
    <x v="2"/>
    <s v="Yes"/>
    <s v="No"/>
    <n v="5"/>
    <n v="55.85"/>
    <n v="422.26"/>
    <x v="1"/>
  </r>
  <r>
    <x v="591"/>
    <s v="Female"/>
    <n v="68"/>
    <s v="Yes"/>
    <x v="41"/>
    <x v="2"/>
    <x v="0"/>
    <x v="3"/>
    <s v="Yes"/>
    <s v="No"/>
    <n v="4"/>
    <n v="78.78"/>
    <n v="3154.25"/>
    <x v="0"/>
  </r>
  <r>
    <x v="592"/>
    <s v="Male"/>
    <n v="61"/>
    <s v="Yes"/>
    <x v="33"/>
    <x v="2"/>
    <x v="2"/>
    <x v="1"/>
    <s v="Yes"/>
    <s v="Yes"/>
    <n v="6"/>
    <n v="60.06"/>
    <n v="340.22"/>
    <x v="1"/>
  </r>
  <r>
    <x v="593"/>
    <s v="Female"/>
    <n v="35"/>
    <s v="No"/>
    <x v="25"/>
    <x v="1"/>
    <x v="0"/>
    <x v="2"/>
    <s v="No"/>
    <s v="No"/>
    <n v="1"/>
    <n v="66.739999999999995"/>
    <n v="4822.6499999999996"/>
    <x v="0"/>
  </r>
  <r>
    <x v="594"/>
    <s v="Female"/>
    <n v="23"/>
    <s v="No"/>
    <x v="35"/>
    <x v="0"/>
    <x v="2"/>
    <x v="1"/>
    <s v="Yes"/>
    <s v="No"/>
    <n v="5"/>
    <n v="65.47"/>
    <n v="2687.45"/>
    <x v="1"/>
  </r>
  <r>
    <x v="595"/>
    <s v="Female"/>
    <n v="35"/>
    <s v="No"/>
    <x v="59"/>
    <x v="1"/>
    <x v="1"/>
    <x v="3"/>
    <s v="No"/>
    <s v="No"/>
    <n v="2"/>
    <n v="37.549999999999997"/>
    <n v="2283.77"/>
    <x v="0"/>
  </r>
  <r>
    <x v="596"/>
    <s v="Male"/>
    <n v="36"/>
    <s v="No"/>
    <x v="63"/>
    <x v="1"/>
    <x v="2"/>
    <x v="3"/>
    <s v="No"/>
    <s v="No"/>
    <n v="6"/>
    <n v="70.12"/>
    <n v="2095.6799999999998"/>
    <x v="0"/>
  </r>
  <r>
    <x v="597"/>
    <s v="Male"/>
    <n v="39"/>
    <s v="No"/>
    <x v="23"/>
    <x v="1"/>
    <x v="1"/>
    <x v="3"/>
    <s v="Yes"/>
    <s v="No"/>
    <n v="3"/>
    <n v="34.909999999999997"/>
    <n v="1040.43"/>
    <x v="0"/>
  </r>
  <r>
    <x v="598"/>
    <s v="Female"/>
    <n v="54"/>
    <s v="No"/>
    <x v="15"/>
    <x v="0"/>
    <x v="1"/>
    <x v="3"/>
    <s v="Yes"/>
    <s v="No"/>
    <n v="2"/>
    <n v="36.11"/>
    <n v="426.74"/>
    <x v="0"/>
  </r>
  <r>
    <x v="599"/>
    <s v="Female"/>
    <n v="49"/>
    <s v="No"/>
    <x v="61"/>
    <x v="1"/>
    <x v="2"/>
    <x v="3"/>
    <s v="No"/>
    <s v="No"/>
    <n v="6"/>
    <n v="67.95"/>
    <n v="4654.21"/>
    <x v="0"/>
  </r>
  <r>
    <x v="600"/>
    <s v="Male"/>
    <n v="73"/>
    <s v="Yes"/>
    <x v="13"/>
    <x v="1"/>
    <x v="2"/>
    <x v="2"/>
    <s v="No"/>
    <s v="No"/>
    <n v="2"/>
    <n v="51.89"/>
    <n v="940.4"/>
    <x v="0"/>
  </r>
  <r>
    <x v="601"/>
    <s v="Female"/>
    <n v="58"/>
    <s v="No"/>
    <x v="14"/>
    <x v="2"/>
    <x v="1"/>
    <x v="1"/>
    <s v="No"/>
    <s v="No"/>
    <n v="3"/>
    <n v="29.81"/>
    <n v="259.08999999999997"/>
    <x v="0"/>
  </r>
  <r>
    <x v="602"/>
    <s v="Female"/>
    <n v="20"/>
    <s v="No"/>
    <x v="5"/>
    <x v="0"/>
    <x v="0"/>
    <x v="1"/>
    <s v="Yes"/>
    <s v="Yes"/>
    <n v="2"/>
    <n v="62.26"/>
    <n v="1780.74"/>
    <x v="0"/>
  </r>
  <r>
    <x v="603"/>
    <s v="Female"/>
    <n v="45"/>
    <s v="No"/>
    <x v="22"/>
    <x v="1"/>
    <x v="0"/>
    <x v="3"/>
    <s v="Yes"/>
    <s v="Yes"/>
    <n v="5"/>
    <n v="84.81"/>
    <n v="3063.17"/>
    <x v="0"/>
  </r>
  <r>
    <x v="604"/>
    <s v="Male"/>
    <n v="27"/>
    <s v="No"/>
    <x v="35"/>
    <x v="1"/>
    <x v="1"/>
    <x v="2"/>
    <s v="Yes"/>
    <s v="No"/>
    <n v="2"/>
    <n v="36.4"/>
    <n v="1637.64"/>
    <x v="0"/>
  </r>
  <r>
    <x v="605"/>
    <s v="Male"/>
    <n v="68"/>
    <s v="Yes"/>
    <x v="27"/>
    <x v="0"/>
    <x v="2"/>
    <x v="1"/>
    <s v="No"/>
    <s v="No"/>
    <n v="4"/>
    <n v="54.65"/>
    <n v="3605.39"/>
    <x v="0"/>
  </r>
  <r>
    <x v="606"/>
    <s v="Male"/>
    <n v="52"/>
    <s v="No"/>
    <x v="48"/>
    <x v="0"/>
    <x v="0"/>
    <x v="1"/>
    <s v="No"/>
    <s v="Yes"/>
    <n v="5"/>
    <n v="91.22"/>
    <n v="1307.8900000000001"/>
    <x v="0"/>
  </r>
  <r>
    <x v="607"/>
    <s v="Female"/>
    <n v="46"/>
    <s v="No"/>
    <x v="42"/>
    <x v="0"/>
    <x v="0"/>
    <x v="1"/>
    <s v="No"/>
    <s v="Yes"/>
    <n v="2"/>
    <n v="86.49"/>
    <n v="4659.62"/>
    <x v="0"/>
  </r>
  <r>
    <x v="608"/>
    <s v="Female"/>
    <n v="71"/>
    <s v="Yes"/>
    <x v="21"/>
    <x v="0"/>
    <x v="2"/>
    <x v="1"/>
    <s v="No"/>
    <s v="No"/>
    <n v="5"/>
    <n v="75.27"/>
    <n v="932.36"/>
    <x v="1"/>
  </r>
  <r>
    <x v="609"/>
    <s v="Female"/>
    <n v="32"/>
    <s v="No"/>
    <x v="65"/>
    <x v="0"/>
    <x v="2"/>
    <x v="2"/>
    <s v="Yes"/>
    <s v="No"/>
    <n v="2"/>
    <n v="49.13"/>
    <n v="2469.69"/>
    <x v="0"/>
  </r>
  <r>
    <x v="610"/>
    <s v="Male"/>
    <n v="50"/>
    <s v="No"/>
    <x v="0"/>
    <x v="1"/>
    <x v="2"/>
    <x v="3"/>
    <s v="No"/>
    <s v="No"/>
    <n v="5"/>
    <n v="59.97"/>
    <n v="4512.21"/>
    <x v="0"/>
  </r>
  <r>
    <x v="611"/>
    <s v="Female"/>
    <n v="24"/>
    <s v="No"/>
    <x v="64"/>
    <x v="1"/>
    <x v="2"/>
    <x v="3"/>
    <s v="No"/>
    <s v="No"/>
    <n v="3"/>
    <n v="60.51"/>
    <n v="3499.86"/>
    <x v="0"/>
  </r>
  <r>
    <x v="612"/>
    <s v="Female"/>
    <n v="29"/>
    <s v="No"/>
    <x v="42"/>
    <x v="1"/>
    <x v="2"/>
    <x v="3"/>
    <s v="No"/>
    <s v="No"/>
    <n v="4"/>
    <n v="63.75"/>
    <n v="3125.19"/>
    <x v="0"/>
  </r>
  <r>
    <x v="613"/>
    <s v="Female"/>
    <n v="66"/>
    <s v="Yes"/>
    <x v="67"/>
    <x v="2"/>
    <x v="2"/>
    <x v="2"/>
    <s v="No"/>
    <s v="Yes"/>
    <n v="8"/>
    <n v="67.209999999999994"/>
    <n v="2400.23"/>
    <x v="1"/>
  </r>
  <r>
    <x v="614"/>
    <s v="Female"/>
    <n v="47"/>
    <s v="No"/>
    <x v="47"/>
    <x v="0"/>
    <x v="2"/>
    <x v="1"/>
    <s v="No"/>
    <s v="No"/>
    <n v="2"/>
    <n v="49.3"/>
    <n v="783.51"/>
    <x v="1"/>
  </r>
  <r>
    <x v="615"/>
    <s v="Male"/>
    <n v="38"/>
    <s v="No"/>
    <x v="43"/>
    <x v="0"/>
    <x v="2"/>
    <x v="0"/>
    <s v="No"/>
    <s v="No"/>
    <n v="3"/>
    <n v="59.63"/>
    <n v="3561.6"/>
    <x v="1"/>
  </r>
  <r>
    <x v="616"/>
    <s v="Male"/>
    <n v="48"/>
    <s v="No"/>
    <x v="63"/>
    <x v="1"/>
    <x v="2"/>
    <x v="0"/>
    <s v="No"/>
    <s v="No"/>
    <n v="7"/>
    <n v="64.73"/>
    <n v="1882.71"/>
    <x v="0"/>
  </r>
  <r>
    <x v="617"/>
    <s v="Female"/>
    <n v="75"/>
    <s v="Yes"/>
    <x v="7"/>
    <x v="0"/>
    <x v="0"/>
    <x v="1"/>
    <s v="Yes"/>
    <s v="No"/>
    <n v="6"/>
    <n v="81.790000000000006"/>
    <n v="2572.31"/>
    <x v="1"/>
  </r>
  <r>
    <x v="618"/>
    <s v="Male"/>
    <n v="41"/>
    <s v="No"/>
    <x v="34"/>
    <x v="0"/>
    <x v="0"/>
    <x v="0"/>
    <s v="No"/>
    <s v="Yes"/>
    <n v="2"/>
    <n v="66.84"/>
    <n v="3835.65"/>
    <x v="1"/>
  </r>
  <r>
    <x v="619"/>
    <s v="Male"/>
    <n v="37"/>
    <s v="No"/>
    <x v="60"/>
    <x v="0"/>
    <x v="1"/>
    <x v="1"/>
    <s v="Yes"/>
    <s v="No"/>
    <n v="2"/>
    <n v="30.21"/>
    <n v="1531.03"/>
    <x v="0"/>
  </r>
  <r>
    <x v="620"/>
    <s v="Female"/>
    <n v="54"/>
    <s v="No"/>
    <x v="69"/>
    <x v="0"/>
    <x v="0"/>
    <x v="1"/>
    <s v="No"/>
    <s v="Yes"/>
    <n v="2"/>
    <n v="60.02"/>
    <n v="646.14"/>
    <x v="1"/>
  </r>
  <r>
    <x v="621"/>
    <s v="Female"/>
    <n v="21"/>
    <s v="No"/>
    <x v="37"/>
    <x v="2"/>
    <x v="0"/>
    <x v="1"/>
    <s v="Yes"/>
    <s v="No"/>
    <n v="4"/>
    <n v="83.85"/>
    <n v="4147.78"/>
    <x v="0"/>
  </r>
  <r>
    <x v="622"/>
    <s v="Male"/>
    <n v="45"/>
    <s v="No"/>
    <x v="45"/>
    <x v="0"/>
    <x v="2"/>
    <x v="2"/>
    <s v="No"/>
    <s v="No"/>
    <n v="4"/>
    <n v="53.86"/>
    <n v="1217.8"/>
    <x v="1"/>
  </r>
  <r>
    <x v="623"/>
    <s v="Female"/>
    <n v="61"/>
    <s v="Yes"/>
    <x v="19"/>
    <x v="0"/>
    <x v="1"/>
    <x v="1"/>
    <s v="No"/>
    <s v="No"/>
    <n v="3"/>
    <n v="38.42"/>
    <n v="864.41"/>
    <x v="0"/>
  </r>
  <r>
    <x v="624"/>
    <s v="Male"/>
    <n v="37"/>
    <s v="No"/>
    <x v="21"/>
    <x v="0"/>
    <x v="0"/>
    <x v="2"/>
    <s v="No"/>
    <s v="No"/>
    <n v="4"/>
    <n v="79.67"/>
    <n v="1065.06"/>
    <x v="1"/>
  </r>
  <r>
    <x v="625"/>
    <s v="Female"/>
    <n v="41"/>
    <s v="No"/>
    <x v="7"/>
    <x v="1"/>
    <x v="0"/>
    <x v="1"/>
    <s v="Yes"/>
    <s v="Yes"/>
    <n v="8"/>
    <n v="87.92"/>
    <n v="3018.09"/>
    <x v="0"/>
  </r>
  <r>
    <x v="626"/>
    <s v="Male"/>
    <n v="67"/>
    <s v="Yes"/>
    <x v="70"/>
    <x v="0"/>
    <x v="0"/>
    <x v="2"/>
    <s v="Yes"/>
    <s v="No"/>
    <n v="3"/>
    <n v="62.64"/>
    <n v="1546.65"/>
    <x v="0"/>
  </r>
  <r>
    <x v="627"/>
    <s v="Female"/>
    <n v="66"/>
    <s v="Yes"/>
    <x v="15"/>
    <x v="1"/>
    <x v="2"/>
    <x v="2"/>
    <s v="No"/>
    <s v="No"/>
    <n v="1"/>
    <n v="47.62"/>
    <n v="545.35"/>
    <x v="0"/>
  </r>
  <r>
    <x v="628"/>
    <s v="Male"/>
    <n v="68"/>
    <s v="Yes"/>
    <x v="47"/>
    <x v="0"/>
    <x v="0"/>
    <x v="2"/>
    <s v="No"/>
    <s v="Yes"/>
    <n v="8"/>
    <n v="91.95"/>
    <n v="1480.85"/>
    <x v="1"/>
  </r>
  <r>
    <x v="629"/>
    <s v="Male"/>
    <n v="49"/>
    <s v="No"/>
    <x v="27"/>
    <x v="0"/>
    <x v="0"/>
    <x v="2"/>
    <s v="No"/>
    <s v="No"/>
    <n v="1"/>
    <n v="70.19"/>
    <n v="4820.57"/>
    <x v="0"/>
  </r>
  <r>
    <x v="630"/>
    <s v="Male"/>
    <n v="58"/>
    <s v="No"/>
    <x v="37"/>
    <x v="0"/>
    <x v="0"/>
    <x v="1"/>
    <s v="No"/>
    <s v="No"/>
    <n v="4"/>
    <n v="84.69"/>
    <n v="4202.9399999999996"/>
    <x v="0"/>
  </r>
  <r>
    <x v="631"/>
    <s v="Female"/>
    <n v="53"/>
    <s v="No"/>
    <x v="26"/>
    <x v="0"/>
    <x v="1"/>
    <x v="1"/>
    <s v="No"/>
    <s v="Yes"/>
    <n v="1"/>
    <n v="20"/>
    <n v="461.56"/>
    <x v="0"/>
  </r>
  <r>
    <x v="632"/>
    <s v="Male"/>
    <n v="75"/>
    <s v="Yes"/>
    <x v="19"/>
    <x v="0"/>
    <x v="0"/>
    <x v="0"/>
    <s v="No"/>
    <s v="No"/>
    <n v="8"/>
    <n v="93.38"/>
    <n v="1842.83"/>
    <x v="0"/>
  </r>
  <r>
    <x v="633"/>
    <s v="Male"/>
    <n v="70"/>
    <s v="Yes"/>
    <x v="1"/>
    <x v="0"/>
    <x v="0"/>
    <x v="1"/>
    <s v="No"/>
    <s v="No"/>
    <n v="5"/>
    <n v="90.29"/>
    <n v="1039.3800000000001"/>
    <x v="1"/>
  </r>
  <r>
    <x v="634"/>
    <s v="Female"/>
    <n v="51"/>
    <s v="No"/>
    <x v="67"/>
    <x v="2"/>
    <x v="2"/>
    <x v="1"/>
    <s v="No"/>
    <s v="No"/>
    <n v="3"/>
    <n v="65.06"/>
    <n v="2328.16"/>
    <x v="0"/>
  </r>
  <r>
    <x v="635"/>
    <s v="Female"/>
    <n v="53"/>
    <s v="No"/>
    <x v="55"/>
    <x v="0"/>
    <x v="1"/>
    <x v="2"/>
    <s v="No"/>
    <s v="No"/>
    <n v="2"/>
    <n v="20.170000000000002"/>
    <n v="804.13"/>
    <x v="0"/>
  </r>
  <r>
    <x v="636"/>
    <s v="Male"/>
    <n v="19"/>
    <s v="No"/>
    <x v="47"/>
    <x v="1"/>
    <x v="2"/>
    <x v="3"/>
    <s v="Yes"/>
    <s v="Yes"/>
    <n v="4"/>
    <n v="67.06"/>
    <n v="1162.7"/>
    <x v="0"/>
  </r>
  <r>
    <x v="637"/>
    <s v="Male"/>
    <n v="32"/>
    <s v="No"/>
    <x v="11"/>
    <x v="0"/>
    <x v="1"/>
    <x v="3"/>
    <s v="Yes"/>
    <s v="Yes"/>
    <n v="4"/>
    <n v="33.93"/>
    <n v="1574.96"/>
    <x v="0"/>
  </r>
  <r>
    <x v="638"/>
    <s v="Female"/>
    <n v="51"/>
    <s v="No"/>
    <x v="23"/>
    <x v="0"/>
    <x v="1"/>
    <x v="2"/>
    <s v="No"/>
    <s v="No"/>
    <n v="2"/>
    <n v="37.94"/>
    <n v="1004.21"/>
    <x v="0"/>
  </r>
  <r>
    <x v="639"/>
    <s v="Female"/>
    <n v="53"/>
    <s v="No"/>
    <x v="41"/>
    <x v="0"/>
    <x v="0"/>
    <x v="3"/>
    <s v="Yes"/>
    <s v="No"/>
    <n v="3"/>
    <n v="71.16"/>
    <n v="3107"/>
    <x v="0"/>
  </r>
  <r>
    <x v="640"/>
    <s v="Female"/>
    <n v="23"/>
    <s v="No"/>
    <x v="37"/>
    <x v="2"/>
    <x v="2"/>
    <x v="3"/>
    <s v="No"/>
    <s v="No"/>
    <n v="7"/>
    <n v="76.23"/>
    <n v="3694.61"/>
    <x v="0"/>
  </r>
  <r>
    <x v="641"/>
    <s v="Female"/>
    <n v="56"/>
    <s v="No"/>
    <x v="68"/>
    <x v="0"/>
    <x v="0"/>
    <x v="2"/>
    <s v="No"/>
    <s v="Yes"/>
    <n v="5"/>
    <n v="80.47"/>
    <n v="1389.61"/>
    <x v="0"/>
  </r>
  <r>
    <x v="642"/>
    <s v="Female"/>
    <n v="59"/>
    <s v="No"/>
    <x v="57"/>
    <x v="0"/>
    <x v="2"/>
    <x v="1"/>
    <s v="No"/>
    <s v="No"/>
    <n v="5"/>
    <n v="52.93"/>
    <n v="3674.42"/>
    <x v="0"/>
  </r>
  <r>
    <x v="643"/>
    <s v="Male"/>
    <n v="68"/>
    <s v="Yes"/>
    <x v="21"/>
    <x v="0"/>
    <x v="0"/>
    <x v="0"/>
    <s v="No"/>
    <s v="Yes"/>
    <n v="4"/>
    <n v="74.930000000000007"/>
    <n v="1011.62"/>
    <x v="1"/>
  </r>
  <r>
    <x v="644"/>
    <s v="Female"/>
    <n v="68"/>
    <s v="Yes"/>
    <x v="21"/>
    <x v="0"/>
    <x v="0"/>
    <x v="2"/>
    <s v="Yes"/>
    <s v="Yes"/>
    <n v="5"/>
    <n v="86.78"/>
    <n v="1180.6500000000001"/>
    <x v="1"/>
  </r>
  <r>
    <x v="645"/>
    <s v="Male"/>
    <n v="75"/>
    <s v="Yes"/>
    <x v="71"/>
    <x v="0"/>
    <x v="1"/>
    <x v="2"/>
    <s v="Yes"/>
    <s v="No"/>
    <n v="1"/>
    <n v="26.04"/>
    <n v="765.45"/>
    <x v="0"/>
  </r>
  <r>
    <x v="646"/>
    <s v="Male"/>
    <n v="71"/>
    <s v="Yes"/>
    <x v="2"/>
    <x v="1"/>
    <x v="0"/>
    <x v="2"/>
    <s v="No"/>
    <s v="No"/>
    <n v="4"/>
    <n v="71.489999999999995"/>
    <n v="152.97"/>
    <x v="1"/>
  </r>
  <r>
    <x v="647"/>
    <s v="Male"/>
    <n v="29"/>
    <s v="No"/>
    <x v="17"/>
    <x v="0"/>
    <x v="1"/>
    <x v="0"/>
    <s v="Yes"/>
    <s v="Yes"/>
    <n v="1"/>
    <n v="20.100000000000001"/>
    <n v="336.28"/>
    <x v="0"/>
  </r>
  <r>
    <x v="648"/>
    <s v="Female"/>
    <n v="20"/>
    <s v="No"/>
    <x v="14"/>
    <x v="0"/>
    <x v="0"/>
    <x v="2"/>
    <s v="No"/>
    <s v="Yes"/>
    <n v="4"/>
    <n v="73.33"/>
    <n v="697.65"/>
    <x v="1"/>
  </r>
  <r>
    <x v="649"/>
    <s v="Male"/>
    <n v="62"/>
    <s v="Yes"/>
    <x v="52"/>
    <x v="1"/>
    <x v="0"/>
    <x v="1"/>
    <s v="No"/>
    <s v="No"/>
    <n v="1"/>
    <n v="61.27"/>
    <n v="2195.59"/>
    <x v="0"/>
  </r>
  <r>
    <x v="650"/>
    <s v="Male"/>
    <n v="35"/>
    <s v="No"/>
    <x v="62"/>
    <x v="0"/>
    <x v="1"/>
    <x v="1"/>
    <s v="No"/>
    <s v="No"/>
    <n v="4"/>
    <n v="45.02"/>
    <n v="2292.36"/>
    <x v="0"/>
  </r>
  <r>
    <x v="651"/>
    <s v="Female"/>
    <n v="57"/>
    <s v="No"/>
    <x v="64"/>
    <x v="0"/>
    <x v="2"/>
    <x v="0"/>
    <s v="No"/>
    <s v="No"/>
    <n v="6"/>
    <n v="64.23"/>
    <n v="3484.87"/>
    <x v="0"/>
  </r>
  <r>
    <x v="652"/>
    <s v="Male"/>
    <n v="38"/>
    <s v="No"/>
    <x v="56"/>
    <x v="0"/>
    <x v="2"/>
    <x v="0"/>
    <s v="No"/>
    <s v="Yes"/>
    <n v="3"/>
    <n v="52.91"/>
    <n v="2215.1"/>
    <x v="0"/>
  </r>
  <r>
    <x v="653"/>
    <s v="Male"/>
    <n v="32"/>
    <s v="No"/>
    <x v="22"/>
    <x v="1"/>
    <x v="0"/>
    <x v="1"/>
    <s v="No"/>
    <s v="No"/>
    <n v="3"/>
    <n v="73.739999999999995"/>
    <n v="2343.12"/>
    <x v="1"/>
  </r>
  <r>
    <x v="654"/>
    <s v="Female"/>
    <n v="50"/>
    <s v="No"/>
    <x v="14"/>
    <x v="0"/>
    <x v="2"/>
    <x v="0"/>
    <s v="Yes"/>
    <s v="No"/>
    <n v="2"/>
    <n v="54.78"/>
    <n v="464.88"/>
    <x v="0"/>
  </r>
  <r>
    <x v="655"/>
    <s v="Male"/>
    <n v="52"/>
    <s v="No"/>
    <x v="9"/>
    <x v="0"/>
    <x v="2"/>
    <x v="1"/>
    <s v="No"/>
    <s v="No"/>
    <n v="3"/>
    <n v="59.46"/>
    <n v="491.85"/>
    <x v="1"/>
  </r>
  <r>
    <x v="656"/>
    <s v="Male"/>
    <n v="43"/>
    <s v="No"/>
    <x v="3"/>
    <x v="0"/>
    <x v="2"/>
    <x v="0"/>
    <s v="No"/>
    <s v="Yes"/>
    <n v="8"/>
    <n v="71.31"/>
    <n v="461.65"/>
    <x v="0"/>
  </r>
  <r>
    <x v="657"/>
    <s v="Male"/>
    <n v="25"/>
    <s v="No"/>
    <x v="58"/>
    <x v="1"/>
    <x v="2"/>
    <x v="2"/>
    <s v="No"/>
    <s v="No"/>
    <n v="6"/>
    <n v="65.150000000000006"/>
    <n v="2189.0100000000002"/>
    <x v="0"/>
  </r>
  <r>
    <x v="658"/>
    <s v="Female"/>
    <n v="53"/>
    <s v="No"/>
    <x v="68"/>
    <x v="0"/>
    <x v="1"/>
    <x v="3"/>
    <s v="Yes"/>
    <s v="No"/>
    <n v="1"/>
    <n v="33.5"/>
    <n v="645.85"/>
    <x v="0"/>
  </r>
  <r>
    <x v="659"/>
    <s v="Female"/>
    <n v="65"/>
    <s v="Yes"/>
    <x v="4"/>
    <x v="1"/>
    <x v="2"/>
    <x v="1"/>
    <s v="Yes"/>
    <s v="Yes"/>
    <n v="3"/>
    <n v="50.13"/>
    <n v="140.37"/>
    <x v="0"/>
  </r>
  <r>
    <x v="660"/>
    <s v="Female"/>
    <n v="47"/>
    <s v="No"/>
    <x v="23"/>
    <x v="2"/>
    <x v="1"/>
    <x v="0"/>
    <s v="No"/>
    <s v="No"/>
    <n v="2"/>
    <n v="29.17"/>
    <n v="821.66"/>
    <x v="0"/>
  </r>
  <r>
    <x v="661"/>
    <s v="Male"/>
    <n v="40"/>
    <s v="No"/>
    <x v="0"/>
    <x v="1"/>
    <x v="2"/>
    <x v="3"/>
    <s v="No"/>
    <s v="No"/>
    <n v="6"/>
    <n v="71.48"/>
    <n v="5117.74"/>
    <x v="0"/>
  </r>
  <r>
    <x v="662"/>
    <s v="Male"/>
    <n v="59"/>
    <s v="No"/>
    <x v="35"/>
    <x v="0"/>
    <x v="2"/>
    <x v="3"/>
    <s v="No"/>
    <s v="No"/>
    <n v="4"/>
    <n v="54.98"/>
    <n v="2596.62"/>
    <x v="0"/>
  </r>
  <r>
    <x v="663"/>
    <s v="Female"/>
    <n v="61"/>
    <s v="Yes"/>
    <x v="19"/>
    <x v="0"/>
    <x v="0"/>
    <x v="0"/>
    <s v="No"/>
    <s v="Yes"/>
    <n v="4"/>
    <n v="80.73"/>
    <n v="1803.78"/>
    <x v="0"/>
  </r>
  <r>
    <x v="664"/>
    <s v="Male"/>
    <n v="31"/>
    <s v="No"/>
    <x v="23"/>
    <x v="0"/>
    <x v="0"/>
    <x v="3"/>
    <s v="No"/>
    <s v="Yes"/>
    <n v="3"/>
    <n v="63.94"/>
    <n v="1773.33"/>
    <x v="1"/>
  </r>
  <r>
    <x v="665"/>
    <s v="Male"/>
    <n v="31"/>
    <s v="No"/>
    <x v="62"/>
    <x v="0"/>
    <x v="1"/>
    <x v="2"/>
    <s v="Yes"/>
    <s v="Yes"/>
    <n v="3"/>
    <n v="41.09"/>
    <n v="2375.84"/>
    <x v="0"/>
  </r>
  <r>
    <x v="666"/>
    <s v="Female"/>
    <n v="19"/>
    <s v="No"/>
    <x v="62"/>
    <x v="0"/>
    <x v="0"/>
    <x v="1"/>
    <s v="No"/>
    <s v="No"/>
    <n v="3"/>
    <n v="73.59"/>
    <n v="3930.79"/>
    <x v="0"/>
  </r>
  <r>
    <x v="667"/>
    <s v="Female"/>
    <n v="72"/>
    <s v="Yes"/>
    <x v="61"/>
    <x v="1"/>
    <x v="0"/>
    <x v="0"/>
    <s v="No"/>
    <s v="Yes"/>
    <n v="1"/>
    <n v="69.849999999999994"/>
    <n v="4663.6899999999996"/>
    <x v="0"/>
  </r>
  <r>
    <x v="668"/>
    <s v="Male"/>
    <n v="54"/>
    <s v="No"/>
    <x v="19"/>
    <x v="0"/>
    <x v="0"/>
    <x v="0"/>
    <s v="No"/>
    <s v="No"/>
    <n v="5"/>
    <n v="90.84"/>
    <n v="1834.27"/>
    <x v="1"/>
  </r>
  <r>
    <x v="669"/>
    <s v="Male"/>
    <n v="22"/>
    <s v="No"/>
    <x v="21"/>
    <x v="0"/>
    <x v="0"/>
    <x v="3"/>
    <s v="No"/>
    <s v="No"/>
    <n v="6"/>
    <n v="84.66"/>
    <n v="1124.6400000000001"/>
    <x v="1"/>
  </r>
  <r>
    <x v="670"/>
    <s v="Male"/>
    <n v="55"/>
    <s v="No"/>
    <x v="44"/>
    <x v="1"/>
    <x v="1"/>
    <x v="1"/>
    <s v="No"/>
    <s v="No"/>
    <n v="3"/>
    <n v="26.26"/>
    <n v="1505.97"/>
    <x v="0"/>
  </r>
  <r>
    <x v="671"/>
    <s v="Female"/>
    <n v="62"/>
    <s v="Yes"/>
    <x v="65"/>
    <x v="1"/>
    <x v="1"/>
    <x v="1"/>
    <s v="No"/>
    <s v="Yes"/>
    <n v="5"/>
    <n v="42.47"/>
    <n v="2116.6"/>
    <x v="0"/>
  </r>
  <r>
    <x v="672"/>
    <s v="Female"/>
    <n v="58"/>
    <s v="No"/>
    <x v="62"/>
    <x v="0"/>
    <x v="2"/>
    <x v="1"/>
    <s v="Yes"/>
    <s v="No"/>
    <n v="4"/>
    <n v="67.5"/>
    <n v="3751.52"/>
    <x v="0"/>
  </r>
  <r>
    <x v="673"/>
    <s v="Female"/>
    <n v="71"/>
    <s v="Yes"/>
    <x v="69"/>
    <x v="2"/>
    <x v="0"/>
    <x v="2"/>
    <s v="No"/>
    <s v="No"/>
    <n v="2"/>
    <n v="72.19"/>
    <n v="684.18"/>
    <x v="0"/>
  </r>
  <r>
    <x v="674"/>
    <s v="Female"/>
    <n v="64"/>
    <s v="Yes"/>
    <x v="53"/>
    <x v="0"/>
    <x v="2"/>
    <x v="3"/>
    <s v="No"/>
    <s v="Yes"/>
    <n v="7"/>
    <n v="63.55"/>
    <n v="3261.05"/>
    <x v="0"/>
  </r>
  <r>
    <x v="675"/>
    <s v="Male"/>
    <n v="31"/>
    <s v="No"/>
    <x v="35"/>
    <x v="1"/>
    <x v="2"/>
    <x v="3"/>
    <s v="No"/>
    <s v="No"/>
    <n v="8"/>
    <n v="73.64"/>
    <n v="3362.63"/>
    <x v="0"/>
  </r>
  <r>
    <x v="676"/>
    <s v="Female"/>
    <n v="73"/>
    <s v="Yes"/>
    <x v="37"/>
    <x v="1"/>
    <x v="1"/>
    <x v="2"/>
    <s v="No"/>
    <s v="No"/>
    <n v="5"/>
    <n v="48.41"/>
    <n v="2152.89"/>
    <x v="1"/>
  </r>
  <r>
    <x v="677"/>
    <s v="Female"/>
    <n v="56"/>
    <s v="No"/>
    <x v="53"/>
    <x v="1"/>
    <x v="2"/>
    <x v="1"/>
    <s v="Yes"/>
    <s v="No"/>
    <n v="4"/>
    <n v="58.12"/>
    <n v="3003.59"/>
    <x v="0"/>
  </r>
  <r>
    <x v="678"/>
    <s v="Female"/>
    <n v="42"/>
    <s v="No"/>
    <x v="16"/>
    <x v="1"/>
    <x v="0"/>
    <x v="2"/>
    <s v="Yes"/>
    <s v="No"/>
    <n v="7"/>
    <n v="89.93"/>
    <n v="4246.97"/>
    <x v="0"/>
  </r>
  <r>
    <x v="679"/>
    <s v="Female"/>
    <n v="37"/>
    <s v="No"/>
    <x v="21"/>
    <x v="0"/>
    <x v="2"/>
    <x v="3"/>
    <s v="No"/>
    <s v="Yes"/>
    <n v="3"/>
    <n v="50"/>
    <n v="695.52"/>
    <x v="0"/>
  </r>
  <r>
    <x v="680"/>
    <s v="Female"/>
    <n v="19"/>
    <s v="No"/>
    <x v="67"/>
    <x v="0"/>
    <x v="1"/>
    <x v="1"/>
    <s v="No"/>
    <s v="No"/>
    <n v="1"/>
    <n v="24.57"/>
    <n v="847.32"/>
    <x v="0"/>
  </r>
  <r>
    <x v="681"/>
    <s v="Male"/>
    <n v="56"/>
    <s v="No"/>
    <x v="70"/>
    <x v="1"/>
    <x v="2"/>
    <x v="2"/>
    <s v="No"/>
    <s v="No"/>
    <n v="4"/>
    <n v="60.56"/>
    <n v="1457.29"/>
    <x v="0"/>
  </r>
  <r>
    <x v="682"/>
    <s v="Male"/>
    <n v="23"/>
    <s v="No"/>
    <x v="2"/>
    <x v="0"/>
    <x v="2"/>
    <x v="2"/>
    <s v="No"/>
    <s v="Yes"/>
    <n v="4"/>
    <n v="62.45"/>
    <n v="116.54"/>
    <x v="0"/>
  </r>
  <r>
    <x v="683"/>
    <s v="Female"/>
    <n v="34"/>
    <s v="No"/>
    <x v="54"/>
    <x v="2"/>
    <x v="0"/>
    <x v="2"/>
    <s v="No"/>
    <s v="No"/>
    <n v="5"/>
    <n v="81.790000000000006"/>
    <n v="1122.92"/>
    <x v="0"/>
  </r>
  <r>
    <x v="684"/>
    <s v="Male"/>
    <n v="42"/>
    <s v="No"/>
    <x v="69"/>
    <x v="0"/>
    <x v="2"/>
    <x v="1"/>
    <s v="Yes"/>
    <s v="Yes"/>
    <n v="7"/>
    <n v="67.540000000000006"/>
    <n v="640.32000000000005"/>
    <x v="0"/>
  </r>
  <r>
    <x v="685"/>
    <s v="Female"/>
    <n v="74"/>
    <s v="Yes"/>
    <x v="39"/>
    <x v="0"/>
    <x v="2"/>
    <x v="2"/>
    <s v="No"/>
    <s v="No"/>
    <n v="5"/>
    <n v="68.290000000000006"/>
    <n v="2447.3000000000002"/>
    <x v="0"/>
  </r>
  <r>
    <x v="686"/>
    <s v="Female"/>
    <n v="45"/>
    <s v="No"/>
    <x v="26"/>
    <x v="0"/>
    <x v="0"/>
    <x v="2"/>
    <s v="No"/>
    <s v="No"/>
    <n v="5"/>
    <n v="80.03"/>
    <n v="2083.29"/>
    <x v="0"/>
  </r>
  <r>
    <x v="687"/>
    <s v="Male"/>
    <n v="19"/>
    <s v="No"/>
    <x v="4"/>
    <x v="0"/>
    <x v="2"/>
    <x v="0"/>
    <s v="No"/>
    <s v="No"/>
    <n v="6"/>
    <n v="69.03"/>
    <n v="198.72"/>
    <x v="0"/>
  </r>
  <r>
    <x v="688"/>
    <s v="Male"/>
    <n v="52"/>
    <s v="No"/>
    <x v="47"/>
    <x v="1"/>
    <x v="0"/>
    <x v="1"/>
    <s v="Yes"/>
    <s v="Yes"/>
    <n v="3"/>
    <n v="78.73"/>
    <n v="1384"/>
    <x v="0"/>
  </r>
  <r>
    <x v="689"/>
    <s v="Female"/>
    <n v="54"/>
    <s v="No"/>
    <x v="1"/>
    <x v="1"/>
    <x v="0"/>
    <x v="1"/>
    <s v="No"/>
    <s v="No"/>
    <n v="6"/>
    <n v="78.150000000000006"/>
    <n v="929.82"/>
    <x v="0"/>
  </r>
  <r>
    <x v="690"/>
    <s v="Female"/>
    <n v="22"/>
    <s v="No"/>
    <x v="62"/>
    <x v="1"/>
    <x v="0"/>
    <x v="2"/>
    <s v="Yes"/>
    <s v="Yes"/>
    <n v="2"/>
    <n v="71.98"/>
    <n v="3752.33"/>
    <x v="0"/>
  </r>
  <r>
    <x v="691"/>
    <s v="Female"/>
    <n v="18"/>
    <s v="No"/>
    <x v="70"/>
    <x v="2"/>
    <x v="0"/>
    <x v="3"/>
    <s v="No"/>
    <s v="No"/>
    <n v="3"/>
    <n v="56.12"/>
    <n v="1351.92"/>
    <x v="0"/>
  </r>
  <r>
    <x v="692"/>
    <s v="Male"/>
    <n v="57"/>
    <s v="No"/>
    <x v="63"/>
    <x v="2"/>
    <x v="2"/>
    <x v="0"/>
    <s v="No"/>
    <s v="No"/>
    <n v="7"/>
    <n v="70.28"/>
    <n v="1998.87"/>
    <x v="0"/>
  </r>
  <r>
    <x v="693"/>
    <s v="Female"/>
    <n v="29"/>
    <s v="No"/>
    <x v="66"/>
    <x v="2"/>
    <x v="0"/>
    <x v="1"/>
    <s v="Yes"/>
    <s v="No"/>
    <n v="2"/>
    <n v="75.06"/>
    <n v="3088.15"/>
    <x v="0"/>
  </r>
  <r>
    <x v="694"/>
    <s v="Female"/>
    <n v="73"/>
    <s v="Yes"/>
    <x v="26"/>
    <x v="0"/>
    <x v="0"/>
    <x v="1"/>
    <s v="No"/>
    <s v="Yes"/>
    <n v="5"/>
    <n v="85.36"/>
    <n v="2221.6999999999998"/>
    <x v="1"/>
  </r>
  <r>
    <x v="695"/>
    <s v="Female"/>
    <n v="53"/>
    <s v="No"/>
    <x v="34"/>
    <x v="1"/>
    <x v="1"/>
    <x v="3"/>
    <s v="No"/>
    <s v="No"/>
    <n v="4"/>
    <n v="46.6"/>
    <n v="2929.1"/>
    <x v="0"/>
  </r>
  <r>
    <x v="696"/>
    <s v="Male"/>
    <n v="62"/>
    <s v="Yes"/>
    <x v="61"/>
    <x v="0"/>
    <x v="2"/>
    <x v="0"/>
    <s v="Yes"/>
    <s v="No"/>
    <n v="5"/>
    <n v="65.45"/>
    <n v="4458.67"/>
    <x v="0"/>
  </r>
  <r>
    <x v="697"/>
    <s v="Female"/>
    <n v="40"/>
    <s v="No"/>
    <x v="23"/>
    <x v="0"/>
    <x v="2"/>
    <x v="2"/>
    <s v="Yes"/>
    <s v="No"/>
    <n v="5"/>
    <n v="59.2"/>
    <n v="1626.34"/>
    <x v="0"/>
  </r>
  <r>
    <x v="698"/>
    <s v="Female"/>
    <n v="64"/>
    <s v="Yes"/>
    <x v="17"/>
    <x v="1"/>
    <x v="0"/>
    <x v="3"/>
    <s v="No"/>
    <s v="No"/>
    <n v="4"/>
    <n v="68.23"/>
    <n v="1033.96"/>
    <x v="0"/>
  </r>
  <r>
    <x v="699"/>
    <s v="Male"/>
    <n v="48"/>
    <s v="No"/>
    <x v="37"/>
    <x v="0"/>
    <x v="2"/>
    <x v="2"/>
    <s v="No"/>
    <s v="No"/>
    <n v="4"/>
    <n v="59.79"/>
    <n v="2963.19"/>
    <x v="0"/>
  </r>
  <r>
    <x v="700"/>
    <s v="Female"/>
    <n v="28"/>
    <s v="No"/>
    <x v="43"/>
    <x v="0"/>
    <x v="0"/>
    <x v="1"/>
    <s v="No"/>
    <s v="No"/>
    <n v="3"/>
    <n v="78.349999999999994"/>
    <n v="4420.16"/>
    <x v="0"/>
  </r>
  <r>
    <x v="701"/>
    <s v="Female"/>
    <n v="27"/>
    <s v="No"/>
    <x v="5"/>
    <x v="0"/>
    <x v="1"/>
    <x v="1"/>
    <s v="No"/>
    <s v="No"/>
    <n v="4"/>
    <n v="28.7"/>
    <n v="805.66"/>
    <x v="0"/>
  </r>
  <r>
    <x v="702"/>
    <s v="Male"/>
    <n v="20"/>
    <s v="No"/>
    <x v="53"/>
    <x v="0"/>
    <x v="0"/>
    <x v="0"/>
    <s v="No"/>
    <s v="Yes"/>
    <n v="3"/>
    <n v="77.83"/>
    <n v="4334.51"/>
    <x v="0"/>
  </r>
  <r>
    <x v="703"/>
    <s v="Female"/>
    <n v="71"/>
    <s v="Yes"/>
    <x v="55"/>
    <x v="2"/>
    <x v="2"/>
    <x v="1"/>
    <s v="No"/>
    <s v="No"/>
    <n v="3"/>
    <n v="55.61"/>
    <n v="2435.83"/>
    <x v="0"/>
  </r>
  <r>
    <x v="704"/>
    <s v="Male"/>
    <n v="31"/>
    <s v="No"/>
    <x v="24"/>
    <x v="0"/>
    <x v="0"/>
    <x v="1"/>
    <s v="No"/>
    <s v="Yes"/>
    <n v="4"/>
    <n v="76.45"/>
    <n v="4431.0200000000004"/>
    <x v="0"/>
  </r>
  <r>
    <x v="705"/>
    <s v="Male"/>
    <n v="33"/>
    <s v="No"/>
    <x v="37"/>
    <x v="0"/>
    <x v="2"/>
    <x v="2"/>
    <s v="Yes"/>
    <s v="No"/>
    <n v="6"/>
    <n v="70.08"/>
    <n v="3524.6"/>
    <x v="0"/>
  </r>
  <r>
    <x v="706"/>
    <s v="Female"/>
    <n v="27"/>
    <s v="No"/>
    <x v="22"/>
    <x v="0"/>
    <x v="2"/>
    <x v="0"/>
    <s v="No"/>
    <s v="No"/>
    <n v="8"/>
    <n v="73.069999999999993"/>
    <n v="2548.04"/>
    <x v="1"/>
  </r>
  <r>
    <x v="707"/>
    <s v="Female"/>
    <n v="46"/>
    <s v="No"/>
    <x v="67"/>
    <x v="0"/>
    <x v="2"/>
    <x v="1"/>
    <s v="No"/>
    <s v="No"/>
    <n v="5"/>
    <n v="60.62"/>
    <n v="2270.12"/>
    <x v="0"/>
  </r>
  <r>
    <x v="708"/>
    <s v="Female"/>
    <n v="27"/>
    <s v="No"/>
    <x v="33"/>
    <x v="2"/>
    <x v="0"/>
    <x v="1"/>
    <s v="Yes"/>
    <s v="Yes"/>
    <n v="5"/>
    <n v="74.099999999999994"/>
    <n v="458.68"/>
    <x v="1"/>
  </r>
  <r>
    <x v="709"/>
    <s v="Female"/>
    <n v="29"/>
    <s v="No"/>
    <x v="3"/>
    <x v="0"/>
    <x v="2"/>
    <x v="1"/>
    <s v="Yes"/>
    <s v="No"/>
    <n v="3"/>
    <n v="57.83"/>
    <n v="375.32"/>
    <x v="1"/>
  </r>
  <r>
    <x v="710"/>
    <s v="Male"/>
    <n v="47"/>
    <s v="No"/>
    <x v="26"/>
    <x v="0"/>
    <x v="1"/>
    <x v="2"/>
    <s v="Yes"/>
    <s v="Yes"/>
    <n v="5"/>
    <n v="35.86"/>
    <n v="880.8"/>
    <x v="0"/>
  </r>
  <r>
    <x v="711"/>
    <s v="Female"/>
    <n v="58"/>
    <s v="No"/>
    <x v="7"/>
    <x v="1"/>
    <x v="1"/>
    <x v="1"/>
    <s v="No"/>
    <s v="No"/>
    <n v="2"/>
    <n v="28.21"/>
    <n v="987.71"/>
    <x v="0"/>
  </r>
  <r>
    <x v="712"/>
    <s v="Male"/>
    <n v="18"/>
    <s v="No"/>
    <x v="60"/>
    <x v="2"/>
    <x v="0"/>
    <x v="1"/>
    <s v="No"/>
    <s v="Yes"/>
    <n v="3"/>
    <n v="78.19"/>
    <n v="4067.25"/>
    <x v="0"/>
  </r>
  <r>
    <x v="713"/>
    <s v="Female"/>
    <n v="22"/>
    <s v="No"/>
    <x v="43"/>
    <x v="1"/>
    <x v="0"/>
    <x v="3"/>
    <s v="No"/>
    <s v="No"/>
    <n v="3"/>
    <n v="73.83"/>
    <n v="4223.49"/>
    <x v="0"/>
  </r>
  <r>
    <x v="714"/>
    <s v="Female"/>
    <n v="37"/>
    <s v="No"/>
    <x v="3"/>
    <x v="2"/>
    <x v="1"/>
    <x v="1"/>
    <s v="Yes"/>
    <s v="Yes"/>
    <n v="2"/>
    <n v="44.96"/>
    <n v="309.95"/>
    <x v="0"/>
  </r>
  <r>
    <x v="715"/>
    <s v="Female"/>
    <n v="25"/>
    <s v="No"/>
    <x v="44"/>
    <x v="0"/>
    <x v="2"/>
    <x v="1"/>
    <s v="Yes"/>
    <s v="Yes"/>
    <n v="6"/>
    <n v="71.150000000000006"/>
    <n v="3962.14"/>
    <x v="1"/>
  </r>
  <r>
    <x v="716"/>
    <s v="Male"/>
    <n v="60"/>
    <s v="Yes"/>
    <x v="1"/>
    <x v="0"/>
    <x v="2"/>
    <x v="1"/>
    <s v="No"/>
    <s v="Yes"/>
    <n v="4"/>
    <n v="64.260000000000005"/>
    <n v="778.81"/>
    <x v="0"/>
  </r>
  <r>
    <x v="717"/>
    <s v="Female"/>
    <n v="29"/>
    <s v="No"/>
    <x v="17"/>
    <x v="0"/>
    <x v="1"/>
    <x v="1"/>
    <s v="No"/>
    <s v="No"/>
    <n v="2"/>
    <n v="38.979999999999997"/>
    <n v="673.2"/>
    <x v="1"/>
  </r>
  <r>
    <x v="718"/>
    <s v="Female"/>
    <n v="18"/>
    <s v="No"/>
    <x v="66"/>
    <x v="2"/>
    <x v="1"/>
    <x v="1"/>
    <s v="Yes"/>
    <s v="No"/>
    <n v="7"/>
    <n v="51.31"/>
    <n v="2120.14"/>
    <x v="0"/>
  </r>
  <r>
    <x v="719"/>
    <s v="Female"/>
    <n v="74"/>
    <s v="Yes"/>
    <x v="3"/>
    <x v="0"/>
    <x v="2"/>
    <x v="1"/>
    <s v="No"/>
    <s v="No"/>
    <n v="2"/>
    <n v="47.28"/>
    <n v="341.81"/>
    <x v="1"/>
  </r>
  <r>
    <x v="720"/>
    <s v="Female"/>
    <n v="71"/>
    <s v="Yes"/>
    <x v="42"/>
    <x v="0"/>
    <x v="0"/>
    <x v="2"/>
    <s v="No"/>
    <s v="Yes"/>
    <n v="7"/>
    <n v="82.5"/>
    <n v="4381.18"/>
    <x v="0"/>
  </r>
  <r>
    <x v="721"/>
    <s v="Male"/>
    <n v="37"/>
    <s v="No"/>
    <x v="10"/>
    <x v="0"/>
    <x v="0"/>
    <x v="1"/>
    <s v="Yes"/>
    <s v="No"/>
    <n v="8"/>
    <n v="84.82"/>
    <n v="2750.94"/>
    <x v="1"/>
  </r>
  <r>
    <x v="722"/>
    <s v="Female"/>
    <n v="45"/>
    <s v="No"/>
    <x v="9"/>
    <x v="0"/>
    <x v="2"/>
    <x v="2"/>
    <s v="No"/>
    <s v="No"/>
    <n v="7"/>
    <n v="79.03"/>
    <n v="591.52"/>
    <x v="0"/>
  </r>
  <r>
    <x v="723"/>
    <s v="Male"/>
    <n v="74"/>
    <s v="Yes"/>
    <x v="50"/>
    <x v="0"/>
    <x v="0"/>
    <x v="2"/>
    <s v="Yes"/>
    <s v="No"/>
    <n v="6"/>
    <n v="82.64"/>
    <n v="6018.98"/>
    <x v="0"/>
  </r>
  <r>
    <x v="724"/>
    <s v="Male"/>
    <n v="60"/>
    <s v="Yes"/>
    <x v="56"/>
    <x v="2"/>
    <x v="0"/>
    <x v="3"/>
    <s v="No"/>
    <s v="No"/>
    <n v="4"/>
    <n v="85.26"/>
    <n v="4115.07"/>
    <x v="0"/>
  </r>
  <r>
    <x v="725"/>
    <s v="Male"/>
    <n v="54"/>
    <s v="No"/>
    <x v="24"/>
    <x v="0"/>
    <x v="0"/>
    <x v="1"/>
    <s v="No"/>
    <s v="Yes"/>
    <n v="4"/>
    <n v="68.7"/>
    <n v="3950.87"/>
    <x v="0"/>
  </r>
  <r>
    <x v="726"/>
    <s v="Male"/>
    <n v="64"/>
    <s v="Yes"/>
    <x v="12"/>
    <x v="1"/>
    <x v="0"/>
    <x v="1"/>
    <s v="No"/>
    <s v="No"/>
    <n v="4"/>
    <n v="77.72"/>
    <n v="317.83"/>
    <x v="0"/>
  </r>
  <r>
    <x v="727"/>
    <s v="Male"/>
    <n v="54"/>
    <s v="No"/>
    <x v="51"/>
    <x v="1"/>
    <x v="2"/>
    <x v="3"/>
    <s v="No"/>
    <s v="No"/>
    <n v="1"/>
    <n v="55.87"/>
    <n v="4018.44"/>
    <x v="0"/>
  </r>
  <r>
    <x v="728"/>
    <s v="Male"/>
    <n v="29"/>
    <s v="No"/>
    <x v="63"/>
    <x v="0"/>
    <x v="2"/>
    <x v="3"/>
    <s v="No"/>
    <s v="Yes"/>
    <n v="2"/>
    <n v="52.86"/>
    <n v="1606.03"/>
    <x v="0"/>
  </r>
  <r>
    <x v="729"/>
    <s v="Female"/>
    <n v="54"/>
    <s v="No"/>
    <x v="63"/>
    <x v="0"/>
    <x v="2"/>
    <x v="3"/>
    <s v="No"/>
    <s v="No"/>
    <n v="2"/>
    <n v="53.05"/>
    <n v="1584.8"/>
    <x v="0"/>
  </r>
  <r>
    <x v="730"/>
    <s v="Male"/>
    <n v="66"/>
    <s v="Yes"/>
    <x v="23"/>
    <x v="0"/>
    <x v="0"/>
    <x v="1"/>
    <s v="Yes"/>
    <s v="No"/>
    <n v="4"/>
    <n v="74.900000000000006"/>
    <n v="2255.29"/>
    <x v="0"/>
  </r>
  <r>
    <x v="731"/>
    <s v="Male"/>
    <n v="66"/>
    <s v="Yes"/>
    <x v="35"/>
    <x v="0"/>
    <x v="1"/>
    <x v="2"/>
    <s v="No"/>
    <s v="Yes"/>
    <n v="8"/>
    <n v="50.68"/>
    <n v="2112.39"/>
    <x v="0"/>
  </r>
  <r>
    <x v="732"/>
    <s v="Male"/>
    <n v="73"/>
    <s v="Yes"/>
    <x v="12"/>
    <x v="1"/>
    <x v="0"/>
    <x v="1"/>
    <s v="Yes"/>
    <s v="No"/>
    <n v="3"/>
    <n v="74.69"/>
    <n v="311.8"/>
    <x v="1"/>
  </r>
  <r>
    <x v="733"/>
    <s v="Female"/>
    <n v="61"/>
    <s v="Yes"/>
    <x v="14"/>
    <x v="0"/>
    <x v="2"/>
    <x v="0"/>
    <s v="No"/>
    <s v="No"/>
    <n v="4"/>
    <n v="51.12"/>
    <n v="453.22"/>
    <x v="1"/>
  </r>
  <r>
    <x v="734"/>
    <s v="Female"/>
    <n v="73"/>
    <s v="Yes"/>
    <x v="30"/>
    <x v="0"/>
    <x v="1"/>
    <x v="0"/>
    <s v="Yes"/>
    <s v="No"/>
    <n v="2"/>
    <n v="32.25"/>
    <n v="157.65"/>
    <x v="1"/>
  </r>
  <r>
    <x v="735"/>
    <s v="Male"/>
    <n v="45"/>
    <s v="No"/>
    <x v="64"/>
    <x v="0"/>
    <x v="0"/>
    <x v="1"/>
    <s v="No"/>
    <s v="No"/>
    <n v="4"/>
    <n v="85.87"/>
    <n v="4824.63"/>
    <x v="0"/>
  </r>
  <r>
    <x v="736"/>
    <s v="Female"/>
    <n v="64"/>
    <s v="Yes"/>
    <x v="32"/>
    <x v="2"/>
    <x v="2"/>
    <x v="0"/>
    <s v="Yes"/>
    <s v="No"/>
    <n v="6"/>
    <n v="58.13"/>
    <n v="2689.68"/>
    <x v="0"/>
  </r>
  <r>
    <x v="737"/>
    <s v="Male"/>
    <n v="32"/>
    <s v="No"/>
    <x v="48"/>
    <x v="2"/>
    <x v="1"/>
    <x v="3"/>
    <s v="No"/>
    <s v="No"/>
    <n v="7"/>
    <n v="57.5"/>
    <n v="836.63"/>
    <x v="0"/>
  </r>
  <r>
    <x v="738"/>
    <s v="Male"/>
    <n v="23"/>
    <s v="No"/>
    <x v="10"/>
    <x v="2"/>
    <x v="0"/>
    <x v="2"/>
    <s v="No"/>
    <s v="No"/>
    <n v="3"/>
    <n v="81.97"/>
    <n v="2482.96"/>
    <x v="0"/>
  </r>
  <r>
    <x v="739"/>
    <s v="Female"/>
    <n v="61"/>
    <s v="Yes"/>
    <x v="23"/>
    <x v="1"/>
    <x v="2"/>
    <x v="2"/>
    <s v="No"/>
    <s v="Yes"/>
    <n v="5"/>
    <n v="61.18"/>
    <n v="1614.01"/>
    <x v="0"/>
  </r>
  <r>
    <x v="740"/>
    <s v="Male"/>
    <n v="37"/>
    <s v="No"/>
    <x v="46"/>
    <x v="0"/>
    <x v="2"/>
    <x v="0"/>
    <s v="No"/>
    <s v="No"/>
    <n v="4"/>
    <n v="59.23"/>
    <n v="1269.1500000000001"/>
    <x v="0"/>
  </r>
  <r>
    <x v="741"/>
    <s v="Female"/>
    <n v="67"/>
    <s v="Yes"/>
    <x v="47"/>
    <x v="1"/>
    <x v="0"/>
    <x v="3"/>
    <s v="No"/>
    <s v="No"/>
    <n v="3"/>
    <n v="71.64"/>
    <n v="1276.78"/>
    <x v="1"/>
  </r>
  <r>
    <x v="742"/>
    <s v="Female"/>
    <n v="31"/>
    <s v="No"/>
    <x v="24"/>
    <x v="0"/>
    <x v="1"/>
    <x v="1"/>
    <s v="No"/>
    <s v="No"/>
    <n v="2"/>
    <n v="30.83"/>
    <n v="1731.98"/>
    <x v="0"/>
  </r>
  <r>
    <x v="743"/>
    <s v="Male"/>
    <n v="19"/>
    <s v="No"/>
    <x v="57"/>
    <x v="1"/>
    <x v="1"/>
    <x v="0"/>
    <s v="Yes"/>
    <s v="No"/>
    <n v="1"/>
    <n v="34.729999999999997"/>
    <n v="2478.2199999999998"/>
    <x v="0"/>
  </r>
  <r>
    <x v="744"/>
    <s v="Male"/>
    <n v="26"/>
    <s v="No"/>
    <x v="44"/>
    <x v="1"/>
    <x v="2"/>
    <x v="1"/>
    <s v="No"/>
    <s v="No"/>
    <n v="5"/>
    <n v="68.069999999999993"/>
    <n v="4034.36"/>
    <x v="0"/>
  </r>
  <r>
    <x v="745"/>
    <s v="Female"/>
    <n v="54"/>
    <s v="No"/>
    <x v="29"/>
    <x v="0"/>
    <x v="0"/>
    <x v="0"/>
    <s v="No"/>
    <s v="Yes"/>
    <n v="2"/>
    <n v="73.75"/>
    <n v="1838.03"/>
    <x v="0"/>
  </r>
  <r>
    <x v="746"/>
    <s v="Male"/>
    <n v="37"/>
    <s v="No"/>
    <x v="26"/>
    <x v="1"/>
    <x v="0"/>
    <x v="1"/>
    <s v="No"/>
    <s v="Yes"/>
    <n v="4"/>
    <n v="83.26"/>
    <n v="2222.7800000000002"/>
    <x v="0"/>
  </r>
  <r>
    <x v="747"/>
    <s v="Male"/>
    <n v="43"/>
    <s v="No"/>
    <x v="69"/>
    <x v="2"/>
    <x v="2"/>
    <x v="0"/>
    <s v="Yes"/>
    <s v="Yes"/>
    <n v="2"/>
    <n v="52.4"/>
    <n v="554.73"/>
    <x v="0"/>
  </r>
  <r>
    <x v="748"/>
    <s v="Male"/>
    <n v="46"/>
    <s v="No"/>
    <x v="56"/>
    <x v="0"/>
    <x v="0"/>
    <x v="3"/>
    <s v="No"/>
    <s v="No"/>
    <n v="4"/>
    <n v="70.41"/>
    <n v="3042.31"/>
    <x v="0"/>
  </r>
  <r>
    <x v="749"/>
    <s v="Female"/>
    <n v="18"/>
    <s v="No"/>
    <x v="15"/>
    <x v="2"/>
    <x v="2"/>
    <x v="2"/>
    <s v="No"/>
    <s v="No"/>
    <n v="1"/>
    <n v="54.45"/>
    <n v="645.87"/>
    <x v="0"/>
  </r>
  <r>
    <x v="750"/>
    <s v="Female"/>
    <n v="72"/>
    <s v="Yes"/>
    <x v="53"/>
    <x v="0"/>
    <x v="2"/>
    <x v="0"/>
    <s v="No"/>
    <s v="No"/>
    <n v="5"/>
    <n v="56.75"/>
    <n v="3089.16"/>
    <x v="0"/>
  </r>
  <r>
    <x v="751"/>
    <s v="Male"/>
    <n v="52"/>
    <s v="No"/>
    <x v="50"/>
    <x v="1"/>
    <x v="2"/>
    <x v="2"/>
    <s v="No"/>
    <s v="No"/>
    <n v="4"/>
    <n v="58.3"/>
    <n v="4053.94"/>
    <x v="0"/>
  </r>
  <r>
    <x v="752"/>
    <s v="Female"/>
    <n v="23"/>
    <s v="No"/>
    <x v="27"/>
    <x v="0"/>
    <x v="2"/>
    <x v="3"/>
    <s v="Yes"/>
    <s v="No"/>
    <n v="2"/>
    <n v="56.97"/>
    <n v="3986.17"/>
    <x v="0"/>
  </r>
  <r>
    <x v="753"/>
    <s v="Female"/>
    <n v="54"/>
    <s v="No"/>
    <x v="23"/>
    <x v="0"/>
    <x v="0"/>
    <x v="0"/>
    <s v="No"/>
    <s v="No"/>
    <n v="1"/>
    <n v="57.19"/>
    <n v="1643.91"/>
    <x v="0"/>
  </r>
  <r>
    <x v="754"/>
    <s v="Female"/>
    <n v="70"/>
    <s v="Yes"/>
    <x v="61"/>
    <x v="2"/>
    <x v="0"/>
    <x v="3"/>
    <s v="No"/>
    <s v="No"/>
    <n v="6"/>
    <n v="91.37"/>
    <n v="6039.96"/>
    <x v="0"/>
  </r>
  <r>
    <x v="755"/>
    <s v="Female"/>
    <n v="22"/>
    <s v="No"/>
    <x v="65"/>
    <x v="2"/>
    <x v="0"/>
    <x v="1"/>
    <s v="No"/>
    <s v="No"/>
    <n v="4"/>
    <n v="70.66"/>
    <n v="3579.61"/>
    <x v="0"/>
  </r>
  <r>
    <x v="756"/>
    <s v="Female"/>
    <n v="50"/>
    <s v="No"/>
    <x v="37"/>
    <x v="1"/>
    <x v="2"/>
    <x v="2"/>
    <s v="Yes"/>
    <s v="No"/>
    <n v="6"/>
    <n v="71.16"/>
    <n v="3220.54"/>
    <x v="0"/>
  </r>
  <r>
    <x v="757"/>
    <s v="Male"/>
    <n v="66"/>
    <s v="Yes"/>
    <x v="40"/>
    <x v="0"/>
    <x v="2"/>
    <x v="3"/>
    <s v="Yes"/>
    <s v="No"/>
    <n v="4"/>
    <n v="67.42"/>
    <n v="3774.52"/>
    <x v="0"/>
  </r>
  <r>
    <x v="758"/>
    <s v="Male"/>
    <n v="68"/>
    <s v="Yes"/>
    <x v="62"/>
    <x v="2"/>
    <x v="2"/>
    <x v="2"/>
    <s v="No"/>
    <s v="No"/>
    <n v="5"/>
    <n v="57.84"/>
    <n v="3302.21"/>
    <x v="1"/>
  </r>
  <r>
    <x v="759"/>
    <s v="Male"/>
    <n v="31"/>
    <s v="No"/>
    <x v="34"/>
    <x v="0"/>
    <x v="2"/>
    <x v="3"/>
    <s v="Yes"/>
    <s v="No"/>
    <n v="5"/>
    <n v="56.93"/>
    <n v="3550.1"/>
    <x v="0"/>
  </r>
  <r>
    <x v="760"/>
    <s v="Female"/>
    <n v="29"/>
    <s v="No"/>
    <x v="44"/>
    <x v="2"/>
    <x v="1"/>
    <x v="2"/>
    <s v="No"/>
    <s v="Yes"/>
    <n v="5"/>
    <n v="45.53"/>
    <n v="2398.52"/>
    <x v="0"/>
  </r>
  <r>
    <x v="761"/>
    <s v="Female"/>
    <n v="59"/>
    <s v="No"/>
    <x v="37"/>
    <x v="0"/>
    <x v="0"/>
    <x v="2"/>
    <s v="No"/>
    <s v="Yes"/>
    <n v="3"/>
    <n v="68.709999999999994"/>
    <n v="3276.07"/>
    <x v="0"/>
  </r>
  <r>
    <x v="762"/>
    <s v="Male"/>
    <n v="37"/>
    <s v="No"/>
    <x v="71"/>
    <x v="0"/>
    <x v="0"/>
    <x v="0"/>
    <s v="No"/>
    <s v="No"/>
    <n v="3"/>
    <n v="59.76"/>
    <n v="1913.76"/>
    <x v="0"/>
  </r>
  <r>
    <x v="763"/>
    <s v="Female"/>
    <n v="70"/>
    <s v="Yes"/>
    <x v="16"/>
    <x v="1"/>
    <x v="0"/>
    <x v="1"/>
    <s v="Yes"/>
    <s v="No"/>
    <n v="4"/>
    <n v="78.819999999999993"/>
    <n v="3831.14"/>
    <x v="1"/>
  </r>
  <r>
    <x v="764"/>
    <s v="Male"/>
    <n v="67"/>
    <s v="Yes"/>
    <x v="29"/>
    <x v="0"/>
    <x v="2"/>
    <x v="0"/>
    <s v="No"/>
    <s v="Yes"/>
    <n v="6"/>
    <n v="69.349999999999994"/>
    <n v="1931.81"/>
    <x v="1"/>
  </r>
  <r>
    <x v="765"/>
    <s v="Male"/>
    <n v="41"/>
    <s v="No"/>
    <x v="30"/>
    <x v="0"/>
    <x v="0"/>
    <x v="0"/>
    <s v="No"/>
    <s v="Yes"/>
    <n v="3"/>
    <n v="72.7"/>
    <n v="387.69"/>
    <x v="1"/>
  </r>
  <r>
    <x v="766"/>
    <s v="Male"/>
    <n v="60"/>
    <s v="Yes"/>
    <x v="40"/>
    <x v="0"/>
    <x v="1"/>
    <x v="1"/>
    <s v="No"/>
    <s v="Yes"/>
    <n v="2"/>
    <n v="33.79"/>
    <n v="1730.67"/>
    <x v="0"/>
  </r>
  <r>
    <x v="767"/>
    <s v="Female"/>
    <n v="51"/>
    <s v="No"/>
    <x v="62"/>
    <x v="0"/>
    <x v="2"/>
    <x v="2"/>
    <s v="No"/>
    <s v="No"/>
    <n v="2"/>
    <n v="58.34"/>
    <n v="3350.22"/>
    <x v="0"/>
  </r>
  <r>
    <x v="768"/>
    <s v="Female"/>
    <n v="42"/>
    <s v="No"/>
    <x v="7"/>
    <x v="0"/>
    <x v="1"/>
    <x v="3"/>
    <s v="No"/>
    <s v="Yes"/>
    <n v="3"/>
    <n v="34.49"/>
    <n v="1047.25"/>
    <x v="0"/>
  </r>
  <r>
    <x v="769"/>
    <s v="Male"/>
    <n v="67"/>
    <s v="Yes"/>
    <x v="32"/>
    <x v="0"/>
    <x v="1"/>
    <x v="2"/>
    <s v="No"/>
    <s v="Yes"/>
    <n v="1"/>
    <n v="27.41"/>
    <n v="1337.93"/>
    <x v="0"/>
  </r>
  <r>
    <x v="770"/>
    <s v="Male"/>
    <n v="46"/>
    <s v="No"/>
    <x v="52"/>
    <x v="0"/>
    <x v="0"/>
    <x v="2"/>
    <s v="No"/>
    <s v="Yes"/>
    <n v="2"/>
    <n v="70.86"/>
    <n v="2526.33"/>
    <x v="0"/>
  </r>
  <r>
    <x v="771"/>
    <s v="Male"/>
    <n v="74"/>
    <s v="Yes"/>
    <x v="5"/>
    <x v="0"/>
    <x v="2"/>
    <x v="3"/>
    <s v="No"/>
    <s v="Yes"/>
    <n v="7"/>
    <n v="68.8"/>
    <n v="1971.45"/>
    <x v="0"/>
  </r>
  <r>
    <x v="772"/>
    <s v="Male"/>
    <n v="56"/>
    <s v="No"/>
    <x v="48"/>
    <x v="1"/>
    <x v="2"/>
    <x v="2"/>
    <s v="No"/>
    <s v="No"/>
    <n v="2"/>
    <n v="48.8"/>
    <n v="782.13"/>
    <x v="0"/>
  </r>
  <r>
    <x v="773"/>
    <s v="Female"/>
    <n v="48"/>
    <s v="No"/>
    <x v="31"/>
    <x v="0"/>
    <x v="0"/>
    <x v="0"/>
    <s v="No"/>
    <s v="Yes"/>
    <n v="6"/>
    <n v="98.96"/>
    <n v="5800.9"/>
    <x v="0"/>
  </r>
  <r>
    <x v="774"/>
    <s v="Female"/>
    <n v="73"/>
    <s v="Yes"/>
    <x v="19"/>
    <x v="2"/>
    <x v="0"/>
    <x v="2"/>
    <s v="No"/>
    <s v="No"/>
    <n v="3"/>
    <n v="75.88"/>
    <n v="1559.65"/>
    <x v="0"/>
  </r>
  <r>
    <x v="775"/>
    <s v="Male"/>
    <n v="64"/>
    <s v="Yes"/>
    <x v="16"/>
    <x v="2"/>
    <x v="2"/>
    <x v="0"/>
    <s v="Yes"/>
    <s v="No"/>
    <n v="6"/>
    <n v="64.92"/>
    <n v="3217.52"/>
    <x v="0"/>
  </r>
  <r>
    <x v="776"/>
    <s v="Male"/>
    <n v="60"/>
    <s v="Yes"/>
    <x v="25"/>
    <x v="0"/>
    <x v="0"/>
    <x v="0"/>
    <s v="No"/>
    <s v="No"/>
    <n v="4"/>
    <n v="88.69"/>
    <n v="6184.3"/>
    <x v="0"/>
  </r>
  <r>
    <x v="777"/>
    <s v="Female"/>
    <n v="67"/>
    <s v="Yes"/>
    <x v="33"/>
    <x v="1"/>
    <x v="2"/>
    <x v="0"/>
    <s v="No"/>
    <s v="Yes"/>
    <n v="1"/>
    <n v="54.6"/>
    <n v="327.45"/>
    <x v="0"/>
  </r>
  <r>
    <x v="778"/>
    <s v="Female"/>
    <n v="40"/>
    <s v="No"/>
    <x v="52"/>
    <x v="2"/>
    <x v="2"/>
    <x v="3"/>
    <s v="Yes"/>
    <s v="Yes"/>
    <n v="2"/>
    <n v="55.37"/>
    <n v="2104.21"/>
    <x v="0"/>
  </r>
  <r>
    <x v="779"/>
    <s v="Male"/>
    <n v="61"/>
    <s v="Yes"/>
    <x v="38"/>
    <x v="2"/>
    <x v="0"/>
    <x v="3"/>
    <s v="No"/>
    <s v="Yes"/>
    <n v="4"/>
    <n v="74.73"/>
    <n v="4778.7"/>
    <x v="0"/>
  </r>
  <r>
    <x v="780"/>
    <s v="Male"/>
    <n v="55"/>
    <s v="No"/>
    <x v="38"/>
    <x v="1"/>
    <x v="2"/>
    <x v="0"/>
    <s v="Yes"/>
    <s v="Yes"/>
    <n v="1"/>
    <n v="66.13"/>
    <n v="4398.24"/>
    <x v="0"/>
  </r>
  <r>
    <x v="781"/>
    <s v="Male"/>
    <n v="37"/>
    <s v="No"/>
    <x v="16"/>
    <x v="0"/>
    <x v="0"/>
    <x v="1"/>
    <s v="No"/>
    <s v="No"/>
    <n v="2"/>
    <n v="60.04"/>
    <n v="2702.9"/>
    <x v="0"/>
  </r>
  <r>
    <x v="782"/>
    <s v="Female"/>
    <n v="40"/>
    <s v="No"/>
    <x v="21"/>
    <x v="1"/>
    <x v="2"/>
    <x v="2"/>
    <s v="No"/>
    <s v="Yes"/>
    <n v="1"/>
    <n v="34.53"/>
    <n v="425.38"/>
    <x v="1"/>
  </r>
  <r>
    <x v="783"/>
    <s v="Female"/>
    <n v="62"/>
    <s v="Yes"/>
    <x v="4"/>
    <x v="1"/>
    <x v="0"/>
    <x v="3"/>
    <s v="No"/>
    <s v="Yes"/>
    <n v="5"/>
    <n v="85.68"/>
    <n v="244.09"/>
    <x v="0"/>
  </r>
  <r>
    <x v="784"/>
    <s v="Female"/>
    <n v="69"/>
    <s v="Yes"/>
    <x v="33"/>
    <x v="1"/>
    <x v="1"/>
    <x v="0"/>
    <s v="No"/>
    <s v="No"/>
    <n v="2"/>
    <n v="30.5"/>
    <n v="168.96"/>
    <x v="1"/>
  </r>
  <r>
    <x v="785"/>
    <s v="Male"/>
    <n v="33"/>
    <s v="No"/>
    <x v="9"/>
    <x v="0"/>
    <x v="0"/>
    <x v="3"/>
    <s v="No"/>
    <s v="No"/>
    <n v="3"/>
    <n v="57.66"/>
    <n v="465.37"/>
    <x v="0"/>
  </r>
  <r>
    <x v="786"/>
    <s v="Male"/>
    <n v="67"/>
    <s v="Yes"/>
    <x v="35"/>
    <x v="2"/>
    <x v="0"/>
    <x v="2"/>
    <s v="No"/>
    <s v="Yes"/>
    <n v="5"/>
    <n v="82.01"/>
    <n v="3856.19"/>
    <x v="0"/>
  </r>
  <r>
    <x v="787"/>
    <s v="Female"/>
    <n v="59"/>
    <s v="No"/>
    <x v="7"/>
    <x v="2"/>
    <x v="0"/>
    <x v="2"/>
    <s v="No"/>
    <s v="Yes"/>
    <n v="5"/>
    <n v="83.55"/>
    <n v="2851.15"/>
    <x v="0"/>
  </r>
  <r>
    <x v="788"/>
    <s v="Female"/>
    <n v="72"/>
    <s v="Yes"/>
    <x v="32"/>
    <x v="0"/>
    <x v="0"/>
    <x v="0"/>
    <s v="No"/>
    <s v="Yes"/>
    <n v="5"/>
    <n v="81.819999999999993"/>
    <n v="4413.67"/>
    <x v="1"/>
  </r>
  <r>
    <x v="789"/>
    <s v="Male"/>
    <n v="25"/>
    <s v="No"/>
    <x v="15"/>
    <x v="0"/>
    <x v="0"/>
    <x v="1"/>
    <s v="No"/>
    <s v="No"/>
    <n v="2"/>
    <n v="73.12"/>
    <n v="857.02"/>
    <x v="1"/>
  </r>
  <r>
    <x v="790"/>
    <s v="Female"/>
    <n v="67"/>
    <s v="Yes"/>
    <x v="23"/>
    <x v="0"/>
    <x v="2"/>
    <x v="0"/>
    <s v="No"/>
    <s v="No"/>
    <n v="4"/>
    <n v="55.71"/>
    <n v="1557.85"/>
    <x v="0"/>
  </r>
  <r>
    <x v="791"/>
    <s v="Female"/>
    <n v="38"/>
    <s v="No"/>
    <x v="0"/>
    <x v="2"/>
    <x v="2"/>
    <x v="0"/>
    <s v="Yes"/>
    <s v="No"/>
    <n v="3"/>
    <n v="54.03"/>
    <n v="3773.96"/>
    <x v="0"/>
  </r>
  <r>
    <x v="792"/>
    <s v="Male"/>
    <n v="18"/>
    <s v="No"/>
    <x v="41"/>
    <x v="1"/>
    <x v="0"/>
    <x v="2"/>
    <s v="No"/>
    <s v="No"/>
    <n v="2"/>
    <n v="80.16"/>
    <n v="3354.06"/>
    <x v="0"/>
  </r>
  <r>
    <x v="793"/>
    <s v="Female"/>
    <n v="72"/>
    <s v="Yes"/>
    <x v="17"/>
    <x v="1"/>
    <x v="0"/>
    <x v="0"/>
    <s v="Yes"/>
    <s v="No"/>
    <n v="1"/>
    <n v="73.709999999999994"/>
    <n v="1105.94"/>
    <x v="0"/>
  </r>
  <r>
    <x v="794"/>
    <s v="Male"/>
    <n v="25"/>
    <s v="No"/>
    <x v="27"/>
    <x v="0"/>
    <x v="2"/>
    <x v="2"/>
    <s v="No"/>
    <s v="Yes"/>
    <n v="6"/>
    <n v="65.540000000000006"/>
    <n v="4533.51"/>
    <x v="0"/>
  </r>
  <r>
    <x v="795"/>
    <s v="Male"/>
    <n v="46"/>
    <s v="No"/>
    <x v="11"/>
    <x v="1"/>
    <x v="2"/>
    <x v="0"/>
    <s v="No"/>
    <s v="No"/>
    <n v="2"/>
    <n v="54.84"/>
    <n v="2617.19"/>
    <x v="0"/>
  </r>
  <r>
    <x v="796"/>
    <s v="Male"/>
    <n v="49"/>
    <s v="No"/>
    <x v="64"/>
    <x v="0"/>
    <x v="0"/>
    <x v="2"/>
    <s v="No"/>
    <s v="No"/>
    <n v="3"/>
    <n v="81.12"/>
    <n v="4646.47"/>
    <x v="0"/>
  </r>
  <r>
    <x v="797"/>
    <s v="Male"/>
    <n v="55"/>
    <s v="No"/>
    <x v="59"/>
    <x v="0"/>
    <x v="1"/>
    <x v="1"/>
    <s v="No"/>
    <s v="No"/>
    <n v="1"/>
    <n v="22.44"/>
    <n v="1451.14"/>
    <x v="0"/>
  </r>
  <r>
    <x v="798"/>
    <s v="Male"/>
    <n v="22"/>
    <s v="No"/>
    <x v="24"/>
    <x v="1"/>
    <x v="0"/>
    <x v="2"/>
    <s v="No"/>
    <s v="No"/>
    <n v="4"/>
    <n v="81.31"/>
    <n v="4651.76"/>
    <x v="0"/>
  </r>
  <r>
    <x v="799"/>
    <s v="Male"/>
    <n v="64"/>
    <s v="Yes"/>
    <x v="38"/>
    <x v="2"/>
    <x v="2"/>
    <x v="2"/>
    <s v="No"/>
    <s v="No"/>
    <n v="5"/>
    <n v="64.09"/>
    <n v="4042.09"/>
    <x v="0"/>
  </r>
  <r>
    <x v="800"/>
    <s v="Male"/>
    <n v="39"/>
    <s v="No"/>
    <x v="15"/>
    <x v="2"/>
    <x v="0"/>
    <x v="2"/>
    <s v="No"/>
    <s v="No"/>
    <n v="7"/>
    <n v="95.6"/>
    <n v="1029.06"/>
    <x v="0"/>
  </r>
  <r>
    <x v="801"/>
    <s v="Female"/>
    <n v="64"/>
    <s v="Yes"/>
    <x v="68"/>
    <x v="2"/>
    <x v="0"/>
    <x v="1"/>
    <s v="No"/>
    <s v="Yes"/>
    <n v="3"/>
    <n v="68.39"/>
    <n v="1170.8699999999999"/>
    <x v="0"/>
  </r>
  <r>
    <x v="802"/>
    <s v="Male"/>
    <n v="51"/>
    <s v="No"/>
    <x v="13"/>
    <x v="0"/>
    <x v="1"/>
    <x v="1"/>
    <s v="Yes"/>
    <s v="No"/>
    <n v="2"/>
    <n v="32.76"/>
    <n v="639.88"/>
    <x v="0"/>
  </r>
  <r>
    <x v="803"/>
    <s v="Male"/>
    <n v="18"/>
    <s v="No"/>
    <x v="60"/>
    <x v="0"/>
    <x v="0"/>
    <x v="3"/>
    <s v="Yes"/>
    <s v="Yes"/>
    <n v="4"/>
    <n v="73.72"/>
    <n v="3928.97"/>
    <x v="0"/>
  </r>
  <r>
    <x v="804"/>
    <s v="Female"/>
    <n v="72"/>
    <s v="Yes"/>
    <x v="29"/>
    <x v="1"/>
    <x v="2"/>
    <x v="1"/>
    <s v="No"/>
    <s v="No"/>
    <n v="3"/>
    <n v="57.32"/>
    <n v="1583.08"/>
    <x v="0"/>
  </r>
  <r>
    <x v="805"/>
    <s v="Female"/>
    <n v="72"/>
    <s v="Yes"/>
    <x v="33"/>
    <x v="2"/>
    <x v="0"/>
    <x v="1"/>
    <s v="No"/>
    <s v="Yes"/>
    <n v="2"/>
    <n v="65.22"/>
    <n v="372.49"/>
    <x v="1"/>
  </r>
  <r>
    <x v="806"/>
    <s v="Female"/>
    <n v="43"/>
    <s v="No"/>
    <x v="12"/>
    <x v="0"/>
    <x v="2"/>
    <x v="1"/>
    <s v="Yes"/>
    <s v="No"/>
    <n v="2"/>
    <n v="47.18"/>
    <n v="191.74"/>
    <x v="0"/>
  </r>
  <r>
    <x v="807"/>
    <s v="Male"/>
    <n v="60"/>
    <s v="Yes"/>
    <x v="63"/>
    <x v="0"/>
    <x v="1"/>
    <x v="0"/>
    <s v="No"/>
    <s v="No"/>
    <n v="2"/>
    <n v="33.86"/>
    <n v="993.18"/>
    <x v="0"/>
  </r>
  <r>
    <x v="808"/>
    <s v="Female"/>
    <n v="27"/>
    <s v="No"/>
    <x v="24"/>
    <x v="0"/>
    <x v="0"/>
    <x v="3"/>
    <s v="Yes"/>
    <s v="No"/>
    <n v="4"/>
    <n v="72.42"/>
    <n v="4066.14"/>
    <x v="0"/>
  </r>
  <r>
    <x v="809"/>
    <s v="Male"/>
    <n v="47"/>
    <s v="No"/>
    <x v="47"/>
    <x v="1"/>
    <x v="1"/>
    <x v="1"/>
    <s v="Yes"/>
    <s v="No"/>
    <n v="6"/>
    <n v="37.69"/>
    <n v="634.57000000000005"/>
    <x v="0"/>
  </r>
  <r>
    <x v="810"/>
    <s v="Male"/>
    <n v="67"/>
    <s v="Yes"/>
    <x v="66"/>
    <x v="0"/>
    <x v="2"/>
    <x v="1"/>
    <s v="No"/>
    <s v="No"/>
    <n v="3"/>
    <n v="62.27"/>
    <n v="2752.81"/>
    <x v="1"/>
  </r>
  <r>
    <x v="811"/>
    <s v="Male"/>
    <n v="35"/>
    <s v="No"/>
    <x v="36"/>
    <x v="0"/>
    <x v="2"/>
    <x v="0"/>
    <s v="No"/>
    <s v="No"/>
    <n v="1"/>
    <n v="42.5"/>
    <n v="2723.56"/>
    <x v="0"/>
  </r>
  <r>
    <x v="812"/>
    <s v="Male"/>
    <n v="34"/>
    <s v="No"/>
    <x v="22"/>
    <x v="0"/>
    <x v="2"/>
    <x v="3"/>
    <s v="No"/>
    <s v="Yes"/>
    <n v="3"/>
    <n v="45.2"/>
    <n v="1441.85"/>
    <x v="1"/>
  </r>
  <r>
    <x v="813"/>
    <s v="Female"/>
    <n v="43"/>
    <s v="No"/>
    <x v="9"/>
    <x v="0"/>
    <x v="1"/>
    <x v="1"/>
    <s v="No"/>
    <s v="No"/>
    <n v="3"/>
    <n v="29.24"/>
    <n v="238.23"/>
    <x v="1"/>
  </r>
  <r>
    <x v="814"/>
    <s v="Female"/>
    <n v="25"/>
    <s v="No"/>
    <x v="21"/>
    <x v="2"/>
    <x v="0"/>
    <x v="0"/>
    <s v="No"/>
    <s v="Yes"/>
    <n v="3"/>
    <n v="74.3"/>
    <n v="923.26"/>
    <x v="0"/>
  </r>
  <r>
    <x v="815"/>
    <s v="Male"/>
    <n v="64"/>
    <s v="Yes"/>
    <x v="9"/>
    <x v="0"/>
    <x v="0"/>
    <x v="2"/>
    <s v="No"/>
    <s v="Yes"/>
    <n v="3"/>
    <n v="86.04"/>
    <n v="708.31"/>
    <x v="1"/>
  </r>
  <r>
    <x v="816"/>
    <s v="Male"/>
    <n v="57"/>
    <s v="No"/>
    <x v="61"/>
    <x v="1"/>
    <x v="1"/>
    <x v="2"/>
    <s v="Yes"/>
    <s v="Yes"/>
    <n v="7"/>
    <n v="52.02"/>
    <n v="3564.95"/>
    <x v="0"/>
  </r>
  <r>
    <x v="817"/>
    <s v="Male"/>
    <n v="66"/>
    <s v="Yes"/>
    <x v="66"/>
    <x v="1"/>
    <x v="2"/>
    <x v="2"/>
    <s v="No"/>
    <s v="No"/>
    <n v="1"/>
    <n v="51.08"/>
    <n v="2064.08"/>
    <x v="0"/>
  </r>
  <r>
    <x v="818"/>
    <s v="Female"/>
    <n v="29"/>
    <s v="No"/>
    <x v="49"/>
    <x v="2"/>
    <x v="0"/>
    <x v="2"/>
    <s v="Yes"/>
    <s v="No"/>
    <n v="2"/>
    <n v="68.31"/>
    <n v="2637.5"/>
    <x v="0"/>
  </r>
  <r>
    <x v="819"/>
    <s v="Male"/>
    <n v="44"/>
    <s v="No"/>
    <x v="24"/>
    <x v="0"/>
    <x v="2"/>
    <x v="0"/>
    <s v="No"/>
    <s v="Yes"/>
    <n v="5"/>
    <n v="64.3"/>
    <n v="3760.27"/>
    <x v="0"/>
  </r>
  <r>
    <x v="820"/>
    <s v="Male"/>
    <n v="25"/>
    <s v="No"/>
    <x v="35"/>
    <x v="2"/>
    <x v="2"/>
    <x v="3"/>
    <s v="Yes"/>
    <s v="No"/>
    <n v="4"/>
    <n v="57.55"/>
    <n v="2585.9"/>
    <x v="0"/>
  </r>
  <r>
    <x v="821"/>
    <s v="Female"/>
    <n v="42"/>
    <s v="No"/>
    <x v="14"/>
    <x v="1"/>
    <x v="0"/>
    <x v="0"/>
    <s v="No"/>
    <s v="No"/>
    <n v="5"/>
    <n v="86.99"/>
    <n v="762.17"/>
    <x v="0"/>
  </r>
  <r>
    <x v="822"/>
    <s v="Female"/>
    <n v="63"/>
    <s v="Yes"/>
    <x v="67"/>
    <x v="2"/>
    <x v="0"/>
    <x v="3"/>
    <s v="Yes"/>
    <s v="No"/>
    <n v="2"/>
    <n v="63.07"/>
    <n v="2303.19"/>
    <x v="0"/>
  </r>
  <r>
    <x v="823"/>
    <s v="Male"/>
    <n v="21"/>
    <s v="No"/>
    <x v="58"/>
    <x v="2"/>
    <x v="2"/>
    <x v="1"/>
    <s v="No"/>
    <s v="No"/>
    <n v="4"/>
    <n v="59.53"/>
    <n v="1975.75"/>
    <x v="0"/>
  </r>
  <r>
    <x v="824"/>
    <s v="Female"/>
    <n v="50"/>
    <s v="No"/>
    <x v="23"/>
    <x v="0"/>
    <x v="0"/>
    <x v="3"/>
    <s v="No"/>
    <s v="Yes"/>
    <n v="6"/>
    <n v="88.08"/>
    <n v="2317.25"/>
    <x v="0"/>
  </r>
  <r>
    <x v="825"/>
    <s v="Female"/>
    <n v="18"/>
    <s v="No"/>
    <x v="55"/>
    <x v="0"/>
    <x v="2"/>
    <x v="3"/>
    <s v="No"/>
    <s v="No"/>
    <n v="4"/>
    <n v="61.77"/>
    <n v="2623.34"/>
    <x v="0"/>
  </r>
  <r>
    <x v="826"/>
    <s v="Male"/>
    <n v="36"/>
    <s v="No"/>
    <x v="66"/>
    <x v="0"/>
    <x v="1"/>
    <x v="1"/>
    <s v="Yes"/>
    <s v="Yes"/>
    <n v="3"/>
    <n v="27.58"/>
    <n v="1132.03"/>
    <x v="0"/>
  </r>
  <r>
    <x v="827"/>
    <s v="Female"/>
    <n v="48"/>
    <s v="No"/>
    <x v="55"/>
    <x v="0"/>
    <x v="0"/>
    <x v="2"/>
    <s v="Yes"/>
    <s v="No"/>
    <n v="4"/>
    <n v="75.67"/>
    <n v="2997.41"/>
    <x v="1"/>
  </r>
  <r>
    <x v="828"/>
    <s v="Male"/>
    <n v="33"/>
    <s v="No"/>
    <x v="36"/>
    <x v="0"/>
    <x v="0"/>
    <x v="1"/>
    <s v="Yes"/>
    <s v="No"/>
    <n v="5"/>
    <n v="87.21"/>
    <n v="5594.16"/>
    <x v="1"/>
  </r>
  <r>
    <x v="829"/>
    <s v="Female"/>
    <n v="31"/>
    <s v="No"/>
    <x v="60"/>
    <x v="0"/>
    <x v="0"/>
    <x v="1"/>
    <s v="No"/>
    <s v="No"/>
    <n v="3"/>
    <n v="76.58"/>
    <n v="3985.16"/>
    <x v="0"/>
  </r>
  <r>
    <x v="830"/>
    <s v="Male"/>
    <n v="70"/>
    <s v="Yes"/>
    <x v="50"/>
    <x v="0"/>
    <x v="2"/>
    <x v="1"/>
    <s v="No"/>
    <s v="Yes"/>
    <n v="4"/>
    <n v="71.14"/>
    <n v="4761.18"/>
    <x v="1"/>
  </r>
  <r>
    <x v="831"/>
    <s v="Male"/>
    <n v="65"/>
    <s v="Yes"/>
    <x v="11"/>
    <x v="0"/>
    <x v="2"/>
    <x v="0"/>
    <s v="Yes"/>
    <s v="Yes"/>
    <n v="5"/>
    <n v="59.29"/>
    <n v="2747.5"/>
    <x v="0"/>
  </r>
  <r>
    <x v="832"/>
    <s v="Male"/>
    <n v="22"/>
    <s v="No"/>
    <x v="46"/>
    <x v="0"/>
    <x v="0"/>
    <x v="1"/>
    <s v="Yes"/>
    <s v="Yes"/>
    <n v="4"/>
    <n v="65.09"/>
    <n v="1355.08"/>
    <x v="0"/>
  </r>
  <r>
    <x v="833"/>
    <s v="Female"/>
    <n v="58"/>
    <s v="No"/>
    <x v="5"/>
    <x v="0"/>
    <x v="2"/>
    <x v="2"/>
    <s v="No"/>
    <s v="No"/>
    <n v="1"/>
    <n v="43.74"/>
    <n v="1237.55"/>
    <x v="0"/>
  </r>
  <r>
    <x v="834"/>
    <s v="Male"/>
    <n v="43"/>
    <s v="No"/>
    <x v="51"/>
    <x v="0"/>
    <x v="0"/>
    <x v="0"/>
    <s v="Yes"/>
    <s v="Yes"/>
    <n v="3"/>
    <n v="56.37"/>
    <n v="3512.51"/>
    <x v="0"/>
  </r>
  <r>
    <x v="835"/>
    <s v="Female"/>
    <n v="45"/>
    <s v="No"/>
    <x v="21"/>
    <x v="0"/>
    <x v="0"/>
    <x v="0"/>
    <s v="Yes"/>
    <s v="No"/>
    <n v="5"/>
    <n v="87.92"/>
    <n v="1188.21"/>
    <x v="0"/>
  </r>
  <r>
    <x v="836"/>
    <s v="Male"/>
    <n v="19"/>
    <s v="No"/>
    <x v="56"/>
    <x v="0"/>
    <x v="0"/>
    <x v="0"/>
    <s v="Yes"/>
    <s v="Yes"/>
    <n v="2"/>
    <n v="70.98"/>
    <n v="3134.2"/>
    <x v="0"/>
  </r>
  <r>
    <x v="837"/>
    <s v="Male"/>
    <n v="67"/>
    <s v="Yes"/>
    <x v="69"/>
    <x v="0"/>
    <x v="0"/>
    <x v="3"/>
    <s v="Yes"/>
    <s v="No"/>
    <n v="7"/>
    <n v="93.79"/>
    <n v="964.21"/>
    <x v="1"/>
  </r>
  <r>
    <x v="838"/>
    <s v="Female"/>
    <n v="23"/>
    <s v="No"/>
    <x v="14"/>
    <x v="2"/>
    <x v="0"/>
    <x v="2"/>
    <s v="Yes"/>
    <s v="Yes"/>
    <n v="4"/>
    <n v="82.9"/>
    <n v="692.7"/>
    <x v="0"/>
  </r>
  <r>
    <x v="839"/>
    <s v="Male"/>
    <n v="26"/>
    <s v="No"/>
    <x v="62"/>
    <x v="0"/>
    <x v="0"/>
    <x v="3"/>
    <s v="Yes"/>
    <s v="Yes"/>
    <n v="3"/>
    <n v="82.28"/>
    <n v="4742.2"/>
    <x v="0"/>
  </r>
  <r>
    <x v="840"/>
    <s v="Male"/>
    <n v="50"/>
    <s v="No"/>
    <x v="5"/>
    <x v="0"/>
    <x v="1"/>
    <x v="3"/>
    <s v="No"/>
    <s v="No"/>
    <n v="5"/>
    <n v="26.86"/>
    <n v="756.24"/>
    <x v="0"/>
  </r>
  <r>
    <x v="841"/>
    <s v="Female"/>
    <n v="58"/>
    <s v="No"/>
    <x v="22"/>
    <x v="0"/>
    <x v="2"/>
    <x v="2"/>
    <s v="No"/>
    <s v="No"/>
    <n v="4"/>
    <n v="44.71"/>
    <n v="1432.61"/>
    <x v="0"/>
  </r>
  <r>
    <x v="842"/>
    <s v="Male"/>
    <n v="42"/>
    <s v="No"/>
    <x v="8"/>
    <x v="2"/>
    <x v="0"/>
    <x v="2"/>
    <s v="No"/>
    <s v="No"/>
    <n v="4"/>
    <n v="73.709999999999994"/>
    <n v="70.39"/>
    <x v="1"/>
  </r>
  <r>
    <x v="843"/>
    <s v="Male"/>
    <n v="65"/>
    <s v="Yes"/>
    <x v="10"/>
    <x v="2"/>
    <x v="0"/>
    <x v="3"/>
    <s v="No"/>
    <s v="Yes"/>
    <n v="3"/>
    <n v="72.87"/>
    <n v="2385.56"/>
    <x v="0"/>
  </r>
  <r>
    <x v="844"/>
    <s v="Male"/>
    <n v="30"/>
    <s v="No"/>
    <x v="57"/>
    <x v="2"/>
    <x v="0"/>
    <x v="1"/>
    <s v="Yes"/>
    <s v="No"/>
    <n v="1"/>
    <n v="68.400000000000006"/>
    <n v="5183.96"/>
    <x v="0"/>
  </r>
  <r>
    <x v="845"/>
    <s v="Male"/>
    <n v="26"/>
    <s v="No"/>
    <x v="51"/>
    <x v="1"/>
    <x v="0"/>
    <x v="3"/>
    <s v="No"/>
    <s v="No"/>
    <n v="6"/>
    <n v="87.87"/>
    <n v="5836.27"/>
    <x v="0"/>
  </r>
  <r>
    <x v="846"/>
    <s v="Female"/>
    <n v="70"/>
    <s v="Yes"/>
    <x v="28"/>
    <x v="0"/>
    <x v="2"/>
    <x v="0"/>
    <s v="No"/>
    <s v="Yes"/>
    <n v="5"/>
    <n v="64.23"/>
    <n v="1281.6500000000001"/>
    <x v="1"/>
  </r>
  <r>
    <x v="847"/>
    <s v="Female"/>
    <n v="30"/>
    <s v="No"/>
    <x v="39"/>
    <x v="0"/>
    <x v="0"/>
    <x v="3"/>
    <s v="No"/>
    <s v="No"/>
    <n v="4"/>
    <n v="68.06"/>
    <n v="2282.17"/>
    <x v="0"/>
  </r>
  <r>
    <x v="848"/>
    <s v="Male"/>
    <n v="48"/>
    <s v="No"/>
    <x v="47"/>
    <x v="0"/>
    <x v="0"/>
    <x v="2"/>
    <s v="Yes"/>
    <s v="No"/>
    <n v="6"/>
    <n v="81.44"/>
    <n v="1358.56"/>
    <x v="1"/>
  </r>
  <r>
    <x v="849"/>
    <s v="Female"/>
    <n v="58"/>
    <s v="No"/>
    <x v="68"/>
    <x v="2"/>
    <x v="0"/>
    <x v="3"/>
    <s v="No"/>
    <s v="Yes"/>
    <n v="4"/>
    <n v="76.739999999999995"/>
    <n v="1334.03"/>
    <x v="0"/>
  </r>
  <r>
    <x v="850"/>
    <s v="Male"/>
    <n v="28"/>
    <s v="No"/>
    <x v="56"/>
    <x v="1"/>
    <x v="0"/>
    <x v="2"/>
    <s v="Yes"/>
    <s v="No"/>
    <n v="2"/>
    <n v="69.95"/>
    <n v="3072.49"/>
    <x v="0"/>
  </r>
  <r>
    <x v="851"/>
    <s v="Female"/>
    <n v="21"/>
    <s v="No"/>
    <x v="53"/>
    <x v="1"/>
    <x v="0"/>
    <x v="1"/>
    <s v="No"/>
    <s v="No"/>
    <n v="2"/>
    <n v="67.5"/>
    <n v="3303.09"/>
    <x v="0"/>
  </r>
  <r>
    <x v="852"/>
    <s v="Male"/>
    <n v="51"/>
    <s v="No"/>
    <x v="27"/>
    <x v="0"/>
    <x v="2"/>
    <x v="1"/>
    <s v="No"/>
    <s v="Yes"/>
    <n v="5"/>
    <n v="64.78"/>
    <n v="4081.58"/>
    <x v="0"/>
  </r>
  <r>
    <x v="853"/>
    <s v="Male"/>
    <n v="55"/>
    <s v="No"/>
    <x v="61"/>
    <x v="2"/>
    <x v="0"/>
    <x v="1"/>
    <s v="No"/>
    <s v="No"/>
    <n v="4"/>
    <n v="71.010000000000005"/>
    <n v="4749.09"/>
    <x v="0"/>
  </r>
  <r>
    <x v="854"/>
    <s v="Male"/>
    <n v="63"/>
    <s v="Yes"/>
    <x v="8"/>
    <x v="0"/>
    <x v="2"/>
    <x v="2"/>
    <s v="No"/>
    <s v="Yes"/>
    <n v="2"/>
    <n v="47.62"/>
    <n v="49.01"/>
    <x v="0"/>
  </r>
  <r>
    <x v="855"/>
    <s v="Male"/>
    <n v="21"/>
    <s v="No"/>
    <x v="43"/>
    <x v="0"/>
    <x v="2"/>
    <x v="2"/>
    <s v="No"/>
    <s v="No"/>
    <n v="2"/>
    <n v="54.52"/>
    <n v="3076.27"/>
    <x v="0"/>
  </r>
  <r>
    <x v="856"/>
    <s v="Male"/>
    <n v="55"/>
    <s v="No"/>
    <x v="29"/>
    <x v="0"/>
    <x v="1"/>
    <x v="3"/>
    <s v="No"/>
    <s v="No"/>
    <n v="1"/>
    <n v="30.43"/>
    <n v="839.98"/>
    <x v="0"/>
  </r>
  <r>
    <x v="857"/>
    <s v="Male"/>
    <n v="36"/>
    <s v="No"/>
    <x v="28"/>
    <x v="1"/>
    <x v="1"/>
    <x v="3"/>
    <s v="Yes"/>
    <s v="Yes"/>
    <n v="2"/>
    <n v="30.39"/>
    <n v="585.04999999999995"/>
    <x v="0"/>
  </r>
  <r>
    <x v="858"/>
    <s v="Female"/>
    <n v="23"/>
    <s v="No"/>
    <x v="69"/>
    <x v="0"/>
    <x v="2"/>
    <x v="3"/>
    <s v="No"/>
    <s v="Yes"/>
    <n v="4"/>
    <n v="56.55"/>
    <n v="556.07000000000005"/>
    <x v="1"/>
  </r>
  <r>
    <x v="859"/>
    <s v="Male"/>
    <n v="51"/>
    <s v="No"/>
    <x v="24"/>
    <x v="2"/>
    <x v="0"/>
    <x v="2"/>
    <s v="Yes"/>
    <s v="Yes"/>
    <n v="2"/>
    <n v="67.67"/>
    <n v="4140.33"/>
    <x v="0"/>
  </r>
  <r>
    <x v="860"/>
    <s v="Female"/>
    <n v="35"/>
    <s v="No"/>
    <x v="41"/>
    <x v="0"/>
    <x v="2"/>
    <x v="2"/>
    <s v="No"/>
    <s v="No"/>
    <n v="3"/>
    <n v="52.65"/>
    <n v="2242.77"/>
    <x v="1"/>
  </r>
  <r>
    <x v="861"/>
    <s v="Male"/>
    <n v="30"/>
    <s v="No"/>
    <x v="30"/>
    <x v="1"/>
    <x v="2"/>
    <x v="3"/>
    <s v="Yes"/>
    <s v="No"/>
    <n v="3"/>
    <n v="51.47"/>
    <n v="272.22000000000003"/>
    <x v="0"/>
  </r>
  <r>
    <x v="862"/>
    <s v="Female"/>
    <n v="58"/>
    <s v="No"/>
    <x v="61"/>
    <x v="0"/>
    <x v="0"/>
    <x v="3"/>
    <s v="No"/>
    <s v="Yes"/>
    <n v="5"/>
    <n v="80.45"/>
    <n v="4835.22"/>
    <x v="0"/>
  </r>
  <r>
    <x v="863"/>
    <s v="Female"/>
    <n v="40"/>
    <s v="No"/>
    <x v="47"/>
    <x v="0"/>
    <x v="2"/>
    <x v="1"/>
    <s v="No"/>
    <s v="Yes"/>
    <n v="3"/>
    <n v="57.07"/>
    <n v="921.1"/>
    <x v="1"/>
  </r>
  <r>
    <x v="864"/>
    <s v="Female"/>
    <n v="36"/>
    <s v="No"/>
    <x v="46"/>
    <x v="2"/>
    <x v="1"/>
    <x v="3"/>
    <s v="No"/>
    <s v="Yes"/>
    <n v="3"/>
    <n v="38.92"/>
    <n v="875.5"/>
    <x v="0"/>
  </r>
  <r>
    <x v="865"/>
    <s v="Male"/>
    <n v="62"/>
    <s v="Yes"/>
    <x v="41"/>
    <x v="1"/>
    <x v="2"/>
    <x v="0"/>
    <s v="No"/>
    <s v="Yes"/>
    <n v="5"/>
    <n v="53.81"/>
    <n v="2149.1"/>
    <x v="0"/>
  </r>
  <r>
    <x v="866"/>
    <s v="Male"/>
    <n v="28"/>
    <s v="No"/>
    <x v="27"/>
    <x v="1"/>
    <x v="0"/>
    <x v="1"/>
    <s v="Yes"/>
    <s v="No"/>
    <n v="5"/>
    <n v="95.54"/>
    <n v="6022.26"/>
    <x v="0"/>
  </r>
  <r>
    <x v="867"/>
    <s v="Female"/>
    <n v="18"/>
    <s v="No"/>
    <x v="25"/>
    <x v="2"/>
    <x v="0"/>
    <x v="2"/>
    <s v="No"/>
    <s v="No"/>
    <n v="2"/>
    <n v="67.2"/>
    <n v="4700.95"/>
    <x v="0"/>
  </r>
  <r>
    <x v="868"/>
    <s v="Male"/>
    <n v="41"/>
    <s v="No"/>
    <x v="15"/>
    <x v="1"/>
    <x v="0"/>
    <x v="0"/>
    <s v="Yes"/>
    <s v="No"/>
    <n v="5"/>
    <n v="86.28"/>
    <n v="932.84"/>
    <x v="1"/>
  </r>
  <r>
    <x v="869"/>
    <s v="Female"/>
    <n v="71"/>
    <s v="Yes"/>
    <x v="64"/>
    <x v="0"/>
    <x v="0"/>
    <x v="2"/>
    <s v="No"/>
    <s v="No"/>
    <n v="3"/>
    <n v="67.5"/>
    <n v="3697.8"/>
    <x v="1"/>
  </r>
  <r>
    <x v="870"/>
    <s v="Male"/>
    <n v="24"/>
    <s v="No"/>
    <x v="42"/>
    <x v="1"/>
    <x v="2"/>
    <x v="1"/>
    <s v="No"/>
    <s v="No"/>
    <n v="5"/>
    <n v="73.239999999999995"/>
    <n v="3594.42"/>
    <x v="0"/>
  </r>
  <r>
    <x v="871"/>
    <s v="Female"/>
    <n v="42"/>
    <s v="No"/>
    <x v="19"/>
    <x v="0"/>
    <x v="2"/>
    <x v="0"/>
    <s v="No"/>
    <s v="No"/>
    <n v="8"/>
    <n v="78.77"/>
    <n v="1523.42"/>
    <x v="1"/>
  </r>
  <r>
    <x v="872"/>
    <s v="Female"/>
    <n v="38"/>
    <s v="No"/>
    <x v="29"/>
    <x v="0"/>
    <x v="0"/>
    <x v="0"/>
    <s v="No"/>
    <s v="No"/>
    <n v="5"/>
    <n v="85.68"/>
    <n v="2114.46"/>
    <x v="0"/>
  </r>
  <r>
    <x v="873"/>
    <s v="Male"/>
    <n v="32"/>
    <s v="No"/>
    <x v="13"/>
    <x v="0"/>
    <x v="1"/>
    <x v="1"/>
    <s v="Yes"/>
    <s v="No"/>
    <n v="1"/>
    <n v="27.75"/>
    <n v="525.08000000000004"/>
    <x v="0"/>
  </r>
  <r>
    <x v="874"/>
    <s v="Female"/>
    <n v="18"/>
    <s v="No"/>
    <x v="34"/>
    <x v="1"/>
    <x v="0"/>
    <x v="0"/>
    <s v="No"/>
    <s v="Yes"/>
    <n v="6"/>
    <n v="74.12"/>
    <n v="4287.62"/>
    <x v="0"/>
  </r>
  <r>
    <x v="875"/>
    <s v="Male"/>
    <n v="29"/>
    <s v="No"/>
    <x v="57"/>
    <x v="1"/>
    <x v="0"/>
    <x v="1"/>
    <s v="No"/>
    <s v="Yes"/>
    <n v="5"/>
    <n v="94.64"/>
    <n v="7121.95"/>
    <x v="0"/>
  </r>
  <r>
    <x v="876"/>
    <s v="Female"/>
    <n v="75"/>
    <s v="Yes"/>
    <x v="37"/>
    <x v="0"/>
    <x v="2"/>
    <x v="1"/>
    <s v="No"/>
    <s v="Yes"/>
    <n v="2"/>
    <n v="56.98"/>
    <n v="2525.09"/>
    <x v="0"/>
  </r>
  <r>
    <x v="877"/>
    <s v="Female"/>
    <n v="24"/>
    <s v="No"/>
    <x v="57"/>
    <x v="1"/>
    <x v="2"/>
    <x v="1"/>
    <s v="Yes"/>
    <s v="No"/>
    <n v="6"/>
    <n v="64.75"/>
    <n v="4873.34"/>
    <x v="0"/>
  </r>
  <r>
    <x v="878"/>
    <s v="Male"/>
    <n v="32"/>
    <s v="No"/>
    <x v="29"/>
    <x v="2"/>
    <x v="2"/>
    <x v="1"/>
    <s v="No"/>
    <s v="No"/>
    <n v="2"/>
    <n v="54.35"/>
    <n v="1391.58"/>
    <x v="0"/>
  </r>
  <r>
    <x v="879"/>
    <s v="Male"/>
    <n v="38"/>
    <s v="No"/>
    <x v="6"/>
    <x v="0"/>
    <x v="1"/>
    <x v="3"/>
    <s v="Yes"/>
    <s v="No"/>
    <n v="3"/>
    <n v="27.83"/>
    <n v="1073.27"/>
    <x v="0"/>
  </r>
  <r>
    <x v="880"/>
    <s v="Male"/>
    <n v="36"/>
    <s v="No"/>
    <x v="30"/>
    <x v="0"/>
    <x v="2"/>
    <x v="1"/>
    <s v="No"/>
    <s v="No"/>
    <n v="5"/>
    <n v="49.65"/>
    <n v="240.48"/>
    <x v="1"/>
  </r>
  <r>
    <x v="881"/>
    <s v="Female"/>
    <n v="46"/>
    <s v="No"/>
    <x v="19"/>
    <x v="1"/>
    <x v="1"/>
    <x v="3"/>
    <s v="Yes"/>
    <s v="No"/>
    <n v="5"/>
    <n v="45.12"/>
    <n v="921.76"/>
    <x v="0"/>
  </r>
  <r>
    <x v="882"/>
    <s v="Male"/>
    <n v="42"/>
    <s v="No"/>
    <x v="12"/>
    <x v="0"/>
    <x v="0"/>
    <x v="2"/>
    <s v="No"/>
    <s v="Yes"/>
    <n v="3"/>
    <n v="69.42"/>
    <n v="277.97000000000003"/>
    <x v="1"/>
  </r>
  <r>
    <x v="883"/>
    <s v="Female"/>
    <n v="50"/>
    <s v="No"/>
    <x v="45"/>
    <x v="1"/>
    <x v="2"/>
    <x v="0"/>
    <s v="Yes"/>
    <s v="Yes"/>
    <n v="2"/>
    <n v="47.62"/>
    <n v="1069.6500000000001"/>
    <x v="1"/>
  </r>
  <r>
    <x v="884"/>
    <s v="Female"/>
    <n v="66"/>
    <s v="Yes"/>
    <x v="48"/>
    <x v="0"/>
    <x v="1"/>
    <x v="2"/>
    <s v="No"/>
    <s v="Yes"/>
    <n v="1"/>
    <n v="28.63"/>
    <n v="439.56"/>
    <x v="0"/>
  </r>
  <r>
    <x v="885"/>
    <s v="Male"/>
    <n v="49"/>
    <s v="No"/>
    <x v="9"/>
    <x v="0"/>
    <x v="2"/>
    <x v="3"/>
    <s v="Yes"/>
    <s v="Yes"/>
    <n v="1"/>
    <n v="38.69"/>
    <n v="305.81"/>
    <x v="0"/>
  </r>
  <r>
    <x v="886"/>
    <s v="Male"/>
    <n v="66"/>
    <s v="Yes"/>
    <x v="41"/>
    <x v="1"/>
    <x v="0"/>
    <x v="3"/>
    <s v="No"/>
    <s v="No"/>
    <n v="8"/>
    <n v="94.44"/>
    <n v="3978.38"/>
    <x v="0"/>
  </r>
  <r>
    <x v="887"/>
    <s v="Female"/>
    <n v="52"/>
    <s v="No"/>
    <x v="13"/>
    <x v="1"/>
    <x v="2"/>
    <x v="1"/>
    <s v="No"/>
    <s v="No"/>
    <n v="5"/>
    <n v="55.27"/>
    <n v="1067.68"/>
    <x v="0"/>
  </r>
  <r>
    <x v="888"/>
    <s v="Female"/>
    <n v="61"/>
    <s v="Yes"/>
    <x v="16"/>
    <x v="2"/>
    <x v="2"/>
    <x v="2"/>
    <s v="No"/>
    <s v="No"/>
    <n v="3"/>
    <n v="62.09"/>
    <n v="2739.36"/>
    <x v="0"/>
  </r>
  <r>
    <x v="889"/>
    <s v="Male"/>
    <n v="55"/>
    <s v="No"/>
    <x v="23"/>
    <x v="2"/>
    <x v="0"/>
    <x v="2"/>
    <s v="Yes"/>
    <s v="No"/>
    <n v="5"/>
    <n v="82.3"/>
    <n v="2419.7199999999998"/>
    <x v="0"/>
  </r>
  <r>
    <x v="890"/>
    <s v="Male"/>
    <n v="43"/>
    <s v="No"/>
    <x v="27"/>
    <x v="1"/>
    <x v="1"/>
    <x v="0"/>
    <s v="No"/>
    <s v="No"/>
    <n v="2"/>
    <n v="36.69"/>
    <n v="2614.27"/>
    <x v="0"/>
  </r>
  <r>
    <x v="891"/>
    <s v="Male"/>
    <n v="28"/>
    <s v="No"/>
    <x v="48"/>
    <x v="1"/>
    <x v="0"/>
    <x v="1"/>
    <s v="Yes"/>
    <s v="No"/>
    <n v="3"/>
    <n v="62.59"/>
    <n v="1012.3"/>
    <x v="0"/>
  </r>
  <r>
    <x v="892"/>
    <s v="Male"/>
    <n v="52"/>
    <s v="No"/>
    <x v="67"/>
    <x v="0"/>
    <x v="0"/>
    <x v="0"/>
    <s v="Yes"/>
    <s v="No"/>
    <n v="2"/>
    <n v="75.13"/>
    <n v="2635.28"/>
    <x v="1"/>
  </r>
  <r>
    <x v="893"/>
    <s v="Male"/>
    <n v="25"/>
    <s v="No"/>
    <x v="8"/>
    <x v="0"/>
    <x v="1"/>
    <x v="3"/>
    <s v="No"/>
    <s v="No"/>
    <n v="7"/>
    <n v="63.48"/>
    <n v="67.010000000000005"/>
    <x v="1"/>
  </r>
  <r>
    <x v="894"/>
    <s v="Female"/>
    <n v="63"/>
    <s v="Yes"/>
    <x v="51"/>
    <x v="0"/>
    <x v="2"/>
    <x v="0"/>
    <s v="Yes"/>
    <s v="No"/>
    <n v="4"/>
    <n v="59.82"/>
    <n v="4246.4799999999996"/>
    <x v="0"/>
  </r>
  <r>
    <x v="895"/>
    <s v="Female"/>
    <n v="31"/>
    <s v="No"/>
    <x v="70"/>
    <x v="2"/>
    <x v="0"/>
    <x v="3"/>
    <s v="Yes"/>
    <s v="No"/>
    <n v="5"/>
    <n v="86.65"/>
    <n v="2126.9"/>
    <x v="0"/>
  </r>
  <r>
    <x v="896"/>
    <s v="Female"/>
    <n v="27"/>
    <s v="No"/>
    <x v="5"/>
    <x v="0"/>
    <x v="2"/>
    <x v="1"/>
    <s v="No"/>
    <s v="No"/>
    <n v="4"/>
    <n v="57.33"/>
    <n v="1549.49"/>
    <x v="1"/>
  </r>
  <r>
    <x v="897"/>
    <s v="Female"/>
    <n v="19"/>
    <s v="No"/>
    <x v="6"/>
    <x v="1"/>
    <x v="2"/>
    <x v="2"/>
    <s v="No"/>
    <s v="Yes"/>
    <n v="3"/>
    <n v="57.63"/>
    <n v="2473.85"/>
    <x v="0"/>
  </r>
  <r>
    <x v="898"/>
    <s v="Male"/>
    <n v="63"/>
    <s v="Yes"/>
    <x v="18"/>
    <x v="0"/>
    <x v="0"/>
    <x v="1"/>
    <s v="No"/>
    <s v="No"/>
    <n v="3"/>
    <n v="86.21"/>
    <n v="5842"/>
    <x v="0"/>
  </r>
  <r>
    <x v="899"/>
    <s v="Male"/>
    <n v="26"/>
    <s v="No"/>
    <x v="31"/>
    <x v="1"/>
    <x v="1"/>
    <x v="1"/>
    <s v="Yes"/>
    <s v="No"/>
    <n v="4"/>
    <n v="56.72"/>
    <n v="3538.36"/>
    <x v="0"/>
  </r>
  <r>
    <x v="900"/>
    <s v="Male"/>
    <n v="20"/>
    <s v="No"/>
    <x v="58"/>
    <x v="2"/>
    <x v="2"/>
    <x v="3"/>
    <s v="Yes"/>
    <s v="Yes"/>
    <n v="2"/>
    <n v="53.22"/>
    <n v="1872.87"/>
    <x v="0"/>
  </r>
  <r>
    <x v="901"/>
    <s v="Female"/>
    <n v="38"/>
    <s v="No"/>
    <x v="70"/>
    <x v="0"/>
    <x v="2"/>
    <x v="1"/>
    <s v="No"/>
    <s v="No"/>
    <n v="8"/>
    <n v="67.86"/>
    <n v="1711.29"/>
    <x v="1"/>
  </r>
  <r>
    <x v="902"/>
    <s v="Female"/>
    <n v="43"/>
    <s v="No"/>
    <x v="70"/>
    <x v="2"/>
    <x v="2"/>
    <x v="1"/>
    <s v="Yes"/>
    <s v="Yes"/>
    <n v="2"/>
    <n v="55.36"/>
    <n v="1241.32"/>
    <x v="0"/>
  </r>
  <r>
    <x v="903"/>
    <s v="Male"/>
    <n v="25"/>
    <s v="No"/>
    <x v="12"/>
    <x v="0"/>
    <x v="2"/>
    <x v="1"/>
    <s v="No"/>
    <s v="Yes"/>
    <n v="5"/>
    <n v="54.34"/>
    <n v="210.08"/>
    <x v="0"/>
  </r>
  <r>
    <x v="904"/>
    <s v="Male"/>
    <n v="65"/>
    <s v="Yes"/>
    <x v="51"/>
    <x v="0"/>
    <x v="0"/>
    <x v="3"/>
    <s v="Yes"/>
    <s v="Yes"/>
    <n v="3"/>
    <n v="70.63"/>
    <n v="5099.8500000000004"/>
    <x v="0"/>
  </r>
  <r>
    <x v="905"/>
    <s v="Female"/>
    <n v="19"/>
    <s v="No"/>
    <x v="22"/>
    <x v="2"/>
    <x v="0"/>
    <x v="2"/>
    <s v="No"/>
    <s v="No"/>
    <n v="3"/>
    <n v="71.430000000000007"/>
    <n v="2550.7600000000002"/>
    <x v="0"/>
  </r>
  <r>
    <x v="906"/>
    <s v="Female"/>
    <n v="23"/>
    <s v="No"/>
    <x v="44"/>
    <x v="0"/>
    <x v="2"/>
    <x v="2"/>
    <s v="No"/>
    <s v="No"/>
    <n v="8"/>
    <n v="89.29"/>
    <n v="5447.49"/>
    <x v="0"/>
  </r>
  <r>
    <x v="907"/>
    <s v="Male"/>
    <n v="45"/>
    <s v="No"/>
    <x v="65"/>
    <x v="2"/>
    <x v="1"/>
    <x v="0"/>
    <s v="No"/>
    <s v="No"/>
    <n v="4"/>
    <n v="51"/>
    <n v="2536.9"/>
    <x v="0"/>
  </r>
  <r>
    <x v="908"/>
    <s v="Male"/>
    <n v="70"/>
    <s v="Yes"/>
    <x v="53"/>
    <x v="0"/>
    <x v="0"/>
    <x v="1"/>
    <s v="Yes"/>
    <s v="No"/>
    <n v="5"/>
    <n v="91.55"/>
    <n v="4780.47"/>
    <x v="1"/>
  </r>
  <r>
    <x v="909"/>
    <s v="Female"/>
    <n v="46"/>
    <s v="No"/>
    <x v="45"/>
    <x v="0"/>
    <x v="2"/>
    <x v="3"/>
    <s v="No"/>
    <s v="Yes"/>
    <n v="5"/>
    <n v="68.75"/>
    <n v="1702.61"/>
    <x v="1"/>
  </r>
  <r>
    <x v="910"/>
    <s v="Male"/>
    <n v="43"/>
    <s v="No"/>
    <x v="25"/>
    <x v="2"/>
    <x v="1"/>
    <x v="3"/>
    <s v="Yes"/>
    <s v="Yes"/>
    <n v="3"/>
    <n v="30.64"/>
    <n v="2049.6999999999998"/>
    <x v="0"/>
  </r>
  <r>
    <x v="911"/>
    <s v="Male"/>
    <n v="42"/>
    <s v="No"/>
    <x v="53"/>
    <x v="0"/>
    <x v="0"/>
    <x v="1"/>
    <s v="No"/>
    <s v="Yes"/>
    <n v="7"/>
    <n v="92.65"/>
    <n v="5112.6899999999996"/>
    <x v="0"/>
  </r>
  <r>
    <x v="912"/>
    <s v="Male"/>
    <n v="29"/>
    <s v="No"/>
    <x v="38"/>
    <x v="2"/>
    <x v="0"/>
    <x v="1"/>
    <s v="No"/>
    <s v="No"/>
    <n v="2"/>
    <n v="83.87"/>
    <n v="5248.37"/>
    <x v="0"/>
  </r>
  <r>
    <x v="913"/>
    <s v="Female"/>
    <n v="22"/>
    <s v="No"/>
    <x v="41"/>
    <x v="2"/>
    <x v="0"/>
    <x v="1"/>
    <s v="Yes"/>
    <s v="No"/>
    <n v="4"/>
    <n v="82.13"/>
    <n v="3221.06"/>
    <x v="0"/>
  </r>
  <r>
    <x v="914"/>
    <s v="Female"/>
    <n v="51"/>
    <s v="No"/>
    <x v="44"/>
    <x v="0"/>
    <x v="2"/>
    <x v="2"/>
    <s v="No"/>
    <s v="Yes"/>
    <n v="6"/>
    <n v="74.209999999999994"/>
    <n v="3903.41"/>
    <x v="0"/>
  </r>
  <r>
    <x v="915"/>
    <s v="Female"/>
    <n v="65"/>
    <s v="Yes"/>
    <x v="34"/>
    <x v="0"/>
    <x v="0"/>
    <x v="0"/>
    <s v="No"/>
    <s v="Yes"/>
    <n v="6"/>
    <n v="75.73"/>
    <n v="4459.3"/>
    <x v="0"/>
  </r>
  <r>
    <x v="916"/>
    <s v="Female"/>
    <n v="54"/>
    <s v="No"/>
    <x v="62"/>
    <x v="0"/>
    <x v="0"/>
    <x v="2"/>
    <s v="No"/>
    <s v="Yes"/>
    <n v="5"/>
    <n v="88.05"/>
    <n v="4790.9799999999996"/>
    <x v="0"/>
  </r>
  <r>
    <x v="917"/>
    <s v="Female"/>
    <n v="32"/>
    <s v="No"/>
    <x v="0"/>
    <x v="0"/>
    <x v="2"/>
    <x v="1"/>
    <s v="No"/>
    <s v="No"/>
    <n v="3"/>
    <n v="47.62"/>
    <n v="3164.43"/>
    <x v="0"/>
  </r>
  <r>
    <x v="918"/>
    <s v="Female"/>
    <n v="61"/>
    <s v="Yes"/>
    <x v="44"/>
    <x v="0"/>
    <x v="2"/>
    <x v="1"/>
    <s v="No"/>
    <s v="Yes"/>
    <n v="4"/>
    <n v="57.45"/>
    <n v="3229.88"/>
    <x v="0"/>
  </r>
  <r>
    <x v="919"/>
    <s v="Female"/>
    <n v="53"/>
    <s v="No"/>
    <x v="69"/>
    <x v="0"/>
    <x v="0"/>
    <x v="0"/>
    <s v="No"/>
    <s v="Yes"/>
    <n v="3"/>
    <n v="84.95"/>
    <n v="865.16"/>
    <x v="0"/>
  </r>
  <r>
    <x v="920"/>
    <s v="Male"/>
    <n v="32"/>
    <s v="No"/>
    <x v="6"/>
    <x v="0"/>
    <x v="0"/>
    <x v="0"/>
    <s v="No"/>
    <s v="No"/>
    <n v="2"/>
    <n v="73.430000000000007"/>
    <n v="3038.2"/>
    <x v="0"/>
  </r>
  <r>
    <x v="921"/>
    <s v="Male"/>
    <n v="60"/>
    <s v="Yes"/>
    <x v="3"/>
    <x v="0"/>
    <x v="2"/>
    <x v="1"/>
    <s v="No"/>
    <s v="No"/>
    <n v="1"/>
    <n v="52.71"/>
    <n v="342.57"/>
    <x v="1"/>
  </r>
  <r>
    <x v="922"/>
    <s v="Male"/>
    <n v="65"/>
    <s v="Yes"/>
    <x v="52"/>
    <x v="2"/>
    <x v="1"/>
    <x v="1"/>
    <s v="Yes"/>
    <s v="No"/>
    <n v="2"/>
    <n v="31.71"/>
    <n v="1236.6300000000001"/>
    <x v="0"/>
  </r>
  <r>
    <x v="923"/>
    <s v="Male"/>
    <n v="40"/>
    <s v="No"/>
    <x v="31"/>
    <x v="2"/>
    <x v="1"/>
    <x v="1"/>
    <s v="No"/>
    <s v="No"/>
    <n v="2"/>
    <n v="20"/>
    <n v="1133.46"/>
    <x v="0"/>
  </r>
  <r>
    <x v="924"/>
    <s v="Male"/>
    <n v="23"/>
    <s v="No"/>
    <x v="4"/>
    <x v="1"/>
    <x v="2"/>
    <x v="1"/>
    <s v="No"/>
    <s v="No"/>
    <n v="4"/>
    <n v="52.45"/>
    <n v="145.47"/>
    <x v="0"/>
  </r>
  <r>
    <x v="925"/>
    <s v="Male"/>
    <n v="63"/>
    <s v="Yes"/>
    <x v="42"/>
    <x v="0"/>
    <x v="0"/>
    <x v="0"/>
    <s v="No"/>
    <s v="No"/>
    <n v="2"/>
    <n v="75.760000000000005"/>
    <n v="3648.88"/>
    <x v="1"/>
  </r>
  <r>
    <x v="926"/>
    <s v="Male"/>
    <n v="67"/>
    <s v="Yes"/>
    <x v="37"/>
    <x v="2"/>
    <x v="0"/>
    <x v="2"/>
    <s v="No"/>
    <s v="No"/>
    <n v="4"/>
    <n v="81.34"/>
    <n v="3916.96"/>
    <x v="0"/>
  </r>
  <r>
    <x v="927"/>
    <s v="Female"/>
    <n v="61"/>
    <s v="Yes"/>
    <x v="27"/>
    <x v="0"/>
    <x v="0"/>
    <x v="0"/>
    <s v="No"/>
    <s v="Yes"/>
    <n v="6"/>
    <n v="98.64"/>
    <n v="6227.61"/>
    <x v="0"/>
  </r>
  <r>
    <x v="928"/>
    <s v="Female"/>
    <n v="60"/>
    <s v="Yes"/>
    <x v="52"/>
    <x v="1"/>
    <x v="0"/>
    <x v="3"/>
    <s v="No"/>
    <s v="No"/>
    <n v="8"/>
    <n v="95.89"/>
    <n v="3364.5"/>
    <x v="0"/>
  </r>
  <r>
    <x v="929"/>
    <s v="Male"/>
    <n v="62"/>
    <s v="Yes"/>
    <x v="58"/>
    <x v="2"/>
    <x v="2"/>
    <x v="0"/>
    <s v="No"/>
    <s v="No"/>
    <n v="5"/>
    <n v="56.75"/>
    <n v="1918.12"/>
    <x v="0"/>
  </r>
  <r>
    <x v="930"/>
    <s v="Male"/>
    <n v="38"/>
    <s v="No"/>
    <x v="41"/>
    <x v="0"/>
    <x v="0"/>
    <x v="1"/>
    <s v="Yes"/>
    <s v="Yes"/>
    <n v="7"/>
    <n v="90.82"/>
    <n v="3991.55"/>
    <x v="0"/>
  </r>
  <r>
    <x v="931"/>
    <s v="Female"/>
    <n v="40"/>
    <s v="No"/>
    <x v="25"/>
    <x v="1"/>
    <x v="0"/>
    <x v="1"/>
    <s v="No"/>
    <s v="No"/>
    <n v="2"/>
    <n v="77.98"/>
    <n v="5731.25"/>
    <x v="0"/>
  </r>
  <r>
    <x v="932"/>
    <s v="Male"/>
    <n v="60"/>
    <s v="Yes"/>
    <x v="21"/>
    <x v="2"/>
    <x v="1"/>
    <x v="0"/>
    <s v="Yes"/>
    <s v="Yes"/>
    <n v="7"/>
    <n v="40.700000000000003"/>
    <n v="494.09"/>
    <x v="0"/>
  </r>
  <r>
    <x v="933"/>
    <s v="Male"/>
    <n v="72"/>
    <s v="Yes"/>
    <x v="43"/>
    <x v="2"/>
    <x v="0"/>
    <x v="0"/>
    <s v="Yes"/>
    <s v="No"/>
    <n v="3"/>
    <n v="77.42"/>
    <n v="4349.55"/>
    <x v="0"/>
  </r>
  <r>
    <x v="934"/>
    <s v="Female"/>
    <n v="33"/>
    <s v="No"/>
    <x v="32"/>
    <x v="1"/>
    <x v="0"/>
    <x v="1"/>
    <s v="No"/>
    <s v="No"/>
    <n v="4"/>
    <n v="70.180000000000007"/>
    <n v="3760.13"/>
    <x v="0"/>
  </r>
  <r>
    <x v="935"/>
    <s v="Male"/>
    <n v="64"/>
    <s v="Yes"/>
    <x v="20"/>
    <x v="0"/>
    <x v="0"/>
    <x v="2"/>
    <s v="No"/>
    <s v="Yes"/>
    <n v="3"/>
    <n v="76.14"/>
    <n v="2137.17"/>
    <x v="1"/>
  </r>
  <r>
    <x v="936"/>
    <s v="Female"/>
    <n v="70"/>
    <s v="Yes"/>
    <x v="38"/>
    <x v="0"/>
    <x v="2"/>
    <x v="0"/>
    <s v="No"/>
    <s v="No"/>
    <n v="6"/>
    <n v="72.09"/>
    <n v="4179.66"/>
    <x v="0"/>
  </r>
  <r>
    <x v="937"/>
    <s v="Male"/>
    <n v="32"/>
    <s v="No"/>
    <x v="26"/>
    <x v="0"/>
    <x v="2"/>
    <x v="1"/>
    <s v="No"/>
    <s v="No"/>
    <n v="4"/>
    <n v="62.86"/>
    <n v="1467.4"/>
    <x v="0"/>
  </r>
  <r>
    <x v="938"/>
    <s v="Female"/>
    <n v="42"/>
    <s v="No"/>
    <x v="5"/>
    <x v="1"/>
    <x v="0"/>
    <x v="1"/>
    <s v="No"/>
    <s v="No"/>
    <n v="4"/>
    <n v="88.38"/>
    <n v="2568.1799999999998"/>
    <x v="0"/>
  </r>
  <r>
    <x v="939"/>
    <s v="Female"/>
    <n v="53"/>
    <s v="No"/>
    <x v="42"/>
    <x v="0"/>
    <x v="2"/>
    <x v="3"/>
    <s v="No"/>
    <s v="No"/>
    <n v="5"/>
    <n v="64.760000000000005"/>
    <n v="3431.23"/>
    <x v="0"/>
  </r>
  <r>
    <x v="940"/>
    <s v="Female"/>
    <n v="28"/>
    <s v="No"/>
    <x v="44"/>
    <x v="2"/>
    <x v="2"/>
    <x v="3"/>
    <s v="No"/>
    <s v="Yes"/>
    <n v="3"/>
    <n v="58.6"/>
    <n v="3187.61"/>
    <x v="0"/>
  </r>
  <r>
    <x v="941"/>
    <s v="Male"/>
    <n v="68"/>
    <s v="Yes"/>
    <x v="37"/>
    <x v="0"/>
    <x v="1"/>
    <x v="1"/>
    <s v="Yes"/>
    <s v="No"/>
    <n v="4"/>
    <n v="44.84"/>
    <n v="1954.37"/>
    <x v="0"/>
  </r>
  <r>
    <x v="942"/>
    <s v="Female"/>
    <n v="32"/>
    <s v="No"/>
    <x v="49"/>
    <x v="0"/>
    <x v="1"/>
    <x v="1"/>
    <s v="Yes"/>
    <s v="No"/>
    <n v="5"/>
    <n v="38.21"/>
    <n v="1601.12"/>
    <x v="0"/>
  </r>
  <r>
    <x v="943"/>
    <s v="Male"/>
    <n v="21"/>
    <s v="No"/>
    <x v="17"/>
    <x v="0"/>
    <x v="1"/>
    <x v="3"/>
    <s v="No"/>
    <s v="Yes"/>
    <n v="3"/>
    <n v="36.11"/>
    <n v="570.87"/>
    <x v="0"/>
  </r>
  <r>
    <x v="944"/>
    <s v="Male"/>
    <n v="38"/>
    <s v="No"/>
    <x v="46"/>
    <x v="1"/>
    <x v="2"/>
    <x v="1"/>
    <s v="No"/>
    <s v="No"/>
    <n v="6"/>
    <n v="49.79"/>
    <n v="1112.6199999999999"/>
    <x v="0"/>
  </r>
  <r>
    <x v="945"/>
    <s v="Male"/>
    <n v="30"/>
    <s v="No"/>
    <x v="62"/>
    <x v="0"/>
    <x v="0"/>
    <x v="3"/>
    <s v="No"/>
    <s v="No"/>
    <n v="4"/>
    <n v="81.64"/>
    <n v="4252.8100000000004"/>
    <x v="0"/>
  </r>
  <r>
    <x v="946"/>
    <s v="Male"/>
    <n v="39"/>
    <s v="No"/>
    <x v="19"/>
    <x v="0"/>
    <x v="0"/>
    <x v="3"/>
    <s v="No"/>
    <s v="No"/>
    <n v="2"/>
    <n v="51.74"/>
    <n v="1131.46"/>
    <x v="0"/>
  </r>
  <r>
    <x v="947"/>
    <s v="Female"/>
    <n v="36"/>
    <s v="No"/>
    <x v="50"/>
    <x v="0"/>
    <x v="0"/>
    <x v="1"/>
    <s v="No"/>
    <s v="Yes"/>
    <n v="8"/>
    <n v="100.94"/>
    <n v="6915.11"/>
    <x v="0"/>
  </r>
  <r>
    <x v="948"/>
    <s v="Female"/>
    <n v="51"/>
    <s v="No"/>
    <x v="17"/>
    <x v="0"/>
    <x v="2"/>
    <x v="1"/>
    <s v="Yes"/>
    <s v="No"/>
    <n v="3"/>
    <n v="66.569999999999993"/>
    <n v="1114.02"/>
    <x v="0"/>
  </r>
  <r>
    <x v="949"/>
    <s v="Male"/>
    <n v="31"/>
    <s v="No"/>
    <x v="24"/>
    <x v="0"/>
    <x v="1"/>
    <x v="3"/>
    <s v="Yes"/>
    <s v="No"/>
    <n v="3"/>
    <n v="40.49"/>
    <n v="2285.94"/>
    <x v="0"/>
  </r>
  <r>
    <x v="950"/>
    <s v="Male"/>
    <n v="21"/>
    <s v="No"/>
    <x v="71"/>
    <x v="2"/>
    <x v="2"/>
    <x v="1"/>
    <s v="No"/>
    <s v="No"/>
    <n v="5"/>
    <n v="67.569999999999993"/>
    <n v="1959.91"/>
    <x v="0"/>
  </r>
  <r>
    <x v="951"/>
    <s v="Female"/>
    <n v="65"/>
    <s v="Yes"/>
    <x v="55"/>
    <x v="0"/>
    <x v="0"/>
    <x v="1"/>
    <s v="No"/>
    <s v="Yes"/>
    <n v="8"/>
    <n v="103.43"/>
    <n v="4329.34"/>
    <x v="0"/>
  </r>
  <r>
    <x v="952"/>
    <s v="Male"/>
    <n v="70"/>
    <s v="Yes"/>
    <x v="10"/>
    <x v="0"/>
    <x v="2"/>
    <x v="3"/>
    <s v="Yes"/>
    <s v="No"/>
    <n v="4"/>
    <n v="55.96"/>
    <n v="1880.46"/>
    <x v="1"/>
  </r>
  <r>
    <x v="953"/>
    <s v="Female"/>
    <n v="69"/>
    <s v="Yes"/>
    <x v="24"/>
    <x v="2"/>
    <x v="1"/>
    <x v="1"/>
    <s v="No"/>
    <s v="No"/>
    <n v="2"/>
    <n v="24.09"/>
    <n v="1395.13"/>
    <x v="0"/>
  </r>
  <r>
    <x v="954"/>
    <s v="Male"/>
    <n v="63"/>
    <s v="Yes"/>
    <x v="22"/>
    <x v="2"/>
    <x v="2"/>
    <x v="0"/>
    <s v="No"/>
    <s v="Yes"/>
    <n v="4"/>
    <n v="58.4"/>
    <n v="1835.93"/>
    <x v="0"/>
  </r>
  <r>
    <x v="955"/>
    <s v="Male"/>
    <n v="44"/>
    <s v="No"/>
    <x v="14"/>
    <x v="1"/>
    <x v="1"/>
    <x v="1"/>
    <s v="No"/>
    <s v="No"/>
    <n v="3"/>
    <n v="31.66"/>
    <n v="287.37"/>
    <x v="0"/>
  </r>
  <r>
    <x v="956"/>
    <s v="Female"/>
    <n v="46"/>
    <s v="No"/>
    <x v="15"/>
    <x v="0"/>
    <x v="1"/>
    <x v="3"/>
    <s v="Yes"/>
    <s v="No"/>
    <n v="3"/>
    <n v="37.54"/>
    <n v="424.86"/>
    <x v="0"/>
  </r>
  <r>
    <x v="957"/>
    <s v="Male"/>
    <n v="64"/>
    <s v="Yes"/>
    <x v="69"/>
    <x v="2"/>
    <x v="1"/>
    <x v="1"/>
    <s v="No"/>
    <s v="Yes"/>
    <n v="6"/>
    <n v="50.78"/>
    <n v="527.36"/>
    <x v="0"/>
  </r>
  <r>
    <x v="958"/>
    <s v="Female"/>
    <n v="45"/>
    <s v="No"/>
    <x v="47"/>
    <x v="2"/>
    <x v="2"/>
    <x v="2"/>
    <s v="Yes"/>
    <s v="Yes"/>
    <n v="2"/>
    <n v="47.65"/>
    <n v="797.34"/>
    <x v="0"/>
  </r>
  <r>
    <x v="959"/>
    <s v="Male"/>
    <n v="52"/>
    <s v="No"/>
    <x v="27"/>
    <x v="1"/>
    <x v="2"/>
    <x v="3"/>
    <s v="No"/>
    <s v="No"/>
    <n v="5"/>
    <n v="58"/>
    <n v="3689.7"/>
    <x v="0"/>
  </r>
  <r>
    <x v="960"/>
    <s v="Male"/>
    <n v="25"/>
    <s v="No"/>
    <x v="11"/>
    <x v="0"/>
    <x v="0"/>
    <x v="1"/>
    <s v="No"/>
    <s v="No"/>
    <n v="5"/>
    <n v="67.92"/>
    <n v="3304.15"/>
    <x v="0"/>
  </r>
  <r>
    <x v="961"/>
    <s v="Male"/>
    <n v="33"/>
    <s v="No"/>
    <x v="40"/>
    <x v="1"/>
    <x v="0"/>
    <x v="0"/>
    <s v="No"/>
    <s v="Yes"/>
    <n v="6"/>
    <n v="85.82"/>
    <n v="4340.93"/>
    <x v="0"/>
  </r>
  <r>
    <x v="962"/>
    <s v="Female"/>
    <n v="59"/>
    <s v="No"/>
    <x v="26"/>
    <x v="1"/>
    <x v="2"/>
    <x v="0"/>
    <s v="No"/>
    <s v="Yes"/>
    <n v="1"/>
    <n v="43.94"/>
    <n v="1177.04"/>
    <x v="0"/>
  </r>
  <r>
    <x v="963"/>
    <s v="Male"/>
    <n v="53"/>
    <s v="No"/>
    <x v="19"/>
    <x v="0"/>
    <x v="0"/>
    <x v="3"/>
    <s v="Yes"/>
    <s v="No"/>
    <n v="5"/>
    <n v="80.44"/>
    <n v="1689.97"/>
    <x v="1"/>
  </r>
  <r>
    <x v="964"/>
    <s v="Male"/>
    <n v="47"/>
    <s v="No"/>
    <x v="61"/>
    <x v="0"/>
    <x v="1"/>
    <x v="2"/>
    <s v="Yes"/>
    <s v="No"/>
    <n v="3"/>
    <n v="42.12"/>
    <n v="2725.65"/>
    <x v="0"/>
  </r>
  <r>
    <x v="965"/>
    <s v="Male"/>
    <n v="35"/>
    <s v="No"/>
    <x v="18"/>
    <x v="2"/>
    <x v="0"/>
    <x v="3"/>
    <s v="No"/>
    <s v="Yes"/>
    <n v="3"/>
    <n v="88.76"/>
    <n v="5421.18"/>
    <x v="0"/>
  </r>
  <r>
    <x v="966"/>
    <s v="Male"/>
    <n v="19"/>
    <s v="No"/>
    <x v="42"/>
    <x v="1"/>
    <x v="1"/>
    <x v="1"/>
    <s v="Yes"/>
    <s v="No"/>
    <n v="1"/>
    <n v="26.5"/>
    <n v="1316.64"/>
    <x v="0"/>
  </r>
  <r>
    <x v="967"/>
    <s v="Female"/>
    <n v="66"/>
    <s v="Yes"/>
    <x v="58"/>
    <x v="0"/>
    <x v="0"/>
    <x v="3"/>
    <s v="Yes"/>
    <s v="Yes"/>
    <n v="5"/>
    <n v="85.7"/>
    <n v="3091.5"/>
    <x v="0"/>
  </r>
  <r>
    <x v="968"/>
    <s v="Female"/>
    <n v="30"/>
    <s v="No"/>
    <x v="36"/>
    <x v="1"/>
    <x v="0"/>
    <x v="1"/>
    <s v="No"/>
    <s v="No"/>
    <n v="5"/>
    <n v="84.78"/>
    <n v="5422.39"/>
    <x v="0"/>
  </r>
  <r>
    <x v="969"/>
    <s v="Male"/>
    <n v="21"/>
    <s v="No"/>
    <x v="48"/>
    <x v="0"/>
    <x v="1"/>
    <x v="2"/>
    <s v="No"/>
    <s v="No"/>
    <n v="3"/>
    <n v="44.94"/>
    <n v="716.41"/>
    <x v="1"/>
  </r>
  <r>
    <x v="970"/>
    <s v="Female"/>
    <n v="43"/>
    <s v="No"/>
    <x v="49"/>
    <x v="0"/>
    <x v="0"/>
    <x v="3"/>
    <s v="No"/>
    <s v="No"/>
    <n v="7"/>
    <n v="84.62"/>
    <n v="3267.98"/>
    <x v="1"/>
  </r>
  <r>
    <x v="971"/>
    <s v="Male"/>
    <n v="42"/>
    <s v="No"/>
    <x v="0"/>
    <x v="1"/>
    <x v="0"/>
    <x v="1"/>
    <s v="Yes"/>
    <s v="Yes"/>
    <n v="5"/>
    <n v="76.41"/>
    <n v="5170.71"/>
    <x v="0"/>
  </r>
  <r>
    <x v="972"/>
    <s v="Male"/>
    <n v="47"/>
    <s v="No"/>
    <x v="8"/>
    <x v="0"/>
    <x v="0"/>
    <x v="1"/>
    <s v="No"/>
    <s v="No"/>
    <n v="1"/>
    <n v="61.23"/>
    <n v="57.85"/>
    <x v="1"/>
  </r>
  <r>
    <x v="973"/>
    <s v="Male"/>
    <n v="28"/>
    <s v="No"/>
    <x v="45"/>
    <x v="0"/>
    <x v="2"/>
    <x v="2"/>
    <s v="No"/>
    <s v="No"/>
    <n v="2"/>
    <n v="35.130000000000003"/>
    <n v="830.27"/>
    <x v="0"/>
  </r>
  <r>
    <x v="974"/>
    <s v="Female"/>
    <n v="24"/>
    <s v="No"/>
    <x v="49"/>
    <x v="2"/>
    <x v="0"/>
    <x v="2"/>
    <s v="No"/>
    <s v="No"/>
    <n v="2"/>
    <n v="70.680000000000007"/>
    <n v="2547.37"/>
    <x v="1"/>
  </r>
  <r>
    <x v="975"/>
    <s v="Female"/>
    <n v="48"/>
    <s v="No"/>
    <x v="44"/>
    <x v="0"/>
    <x v="2"/>
    <x v="0"/>
    <s v="Yes"/>
    <s v="No"/>
    <n v="6"/>
    <n v="59.63"/>
    <n v="3371.72"/>
    <x v="0"/>
  </r>
  <r>
    <x v="976"/>
    <s v="Female"/>
    <n v="61"/>
    <s v="Yes"/>
    <x v="22"/>
    <x v="0"/>
    <x v="2"/>
    <x v="1"/>
    <s v="No"/>
    <s v="Yes"/>
    <n v="4"/>
    <n v="60.76"/>
    <n v="2082.41"/>
    <x v="0"/>
  </r>
  <r>
    <x v="977"/>
    <s v="Female"/>
    <n v="27"/>
    <s v="No"/>
    <x v="41"/>
    <x v="2"/>
    <x v="2"/>
    <x v="3"/>
    <s v="No"/>
    <s v="No"/>
    <n v="2"/>
    <n v="34.25"/>
    <n v="1368.25"/>
    <x v="0"/>
  </r>
  <r>
    <x v="978"/>
    <s v="Female"/>
    <n v="56"/>
    <s v="No"/>
    <x v="21"/>
    <x v="1"/>
    <x v="2"/>
    <x v="1"/>
    <s v="No"/>
    <s v="No"/>
    <n v="7"/>
    <n v="70.599999999999994"/>
    <n v="954.49"/>
    <x v="1"/>
  </r>
  <r>
    <x v="979"/>
    <s v="Female"/>
    <n v="30"/>
    <s v="No"/>
    <x v="0"/>
    <x v="1"/>
    <x v="2"/>
    <x v="1"/>
    <s v="No"/>
    <s v="No"/>
    <n v="7"/>
    <n v="69.209999999999994"/>
    <n v="4980.8599999999997"/>
    <x v="0"/>
  </r>
  <r>
    <x v="980"/>
    <s v="Female"/>
    <n v="48"/>
    <s v="No"/>
    <x v="33"/>
    <x v="2"/>
    <x v="0"/>
    <x v="1"/>
    <s v="Yes"/>
    <s v="No"/>
    <n v="5"/>
    <n v="79.19"/>
    <n v="510.98"/>
    <x v="1"/>
  </r>
  <r>
    <x v="981"/>
    <s v="Female"/>
    <n v="24"/>
    <s v="No"/>
    <x v="40"/>
    <x v="0"/>
    <x v="1"/>
    <x v="1"/>
    <s v="Yes"/>
    <s v="No"/>
    <n v="2"/>
    <n v="39.99"/>
    <n v="2082.4"/>
    <x v="0"/>
  </r>
  <r>
    <x v="982"/>
    <s v="Female"/>
    <n v="73"/>
    <s v="Yes"/>
    <x v="4"/>
    <x v="1"/>
    <x v="0"/>
    <x v="0"/>
    <s v="No"/>
    <s v="Yes"/>
    <n v="2"/>
    <n v="65.37"/>
    <n v="197.3"/>
    <x v="0"/>
  </r>
  <r>
    <x v="983"/>
    <s v="Male"/>
    <n v="66"/>
    <s v="Yes"/>
    <x v="18"/>
    <x v="0"/>
    <x v="2"/>
    <x v="2"/>
    <s v="No"/>
    <s v="No"/>
    <n v="5"/>
    <n v="65.13"/>
    <n v="3936.33"/>
    <x v="0"/>
  </r>
  <r>
    <x v="984"/>
    <s v="Female"/>
    <n v="59"/>
    <s v="No"/>
    <x v="65"/>
    <x v="2"/>
    <x v="0"/>
    <x v="3"/>
    <s v="No"/>
    <s v="No"/>
    <n v="2"/>
    <n v="66.58"/>
    <n v="3202.64"/>
    <x v="0"/>
  </r>
  <r>
    <x v="985"/>
    <s v="Female"/>
    <n v="59"/>
    <s v="No"/>
    <x v="37"/>
    <x v="0"/>
    <x v="1"/>
    <x v="1"/>
    <s v="No"/>
    <s v="No"/>
    <n v="4"/>
    <n v="52.61"/>
    <n v="2285.48"/>
    <x v="0"/>
  </r>
  <r>
    <x v="986"/>
    <s v="Female"/>
    <n v="73"/>
    <s v="Yes"/>
    <x v="60"/>
    <x v="1"/>
    <x v="0"/>
    <x v="3"/>
    <s v="No"/>
    <s v="No"/>
    <n v="2"/>
    <n v="70.040000000000006"/>
    <n v="3968.86"/>
    <x v="0"/>
  </r>
  <r>
    <x v="987"/>
    <s v="Female"/>
    <n v="53"/>
    <s v="No"/>
    <x v="59"/>
    <x v="0"/>
    <x v="0"/>
    <x v="0"/>
    <s v="No"/>
    <s v="No"/>
    <n v="4"/>
    <n v="83.73"/>
    <n v="5197.21"/>
    <x v="0"/>
  </r>
  <r>
    <x v="988"/>
    <s v="Female"/>
    <n v="37"/>
    <s v="No"/>
    <x v="61"/>
    <x v="0"/>
    <x v="2"/>
    <x v="1"/>
    <s v="Yes"/>
    <s v="Yes"/>
    <n v="2"/>
    <n v="55.27"/>
    <n v="3615.75"/>
    <x v="0"/>
  </r>
  <r>
    <x v="989"/>
    <s v="Female"/>
    <n v="21"/>
    <s v="No"/>
    <x v="51"/>
    <x v="1"/>
    <x v="2"/>
    <x v="2"/>
    <s v="No"/>
    <s v="Yes"/>
    <n v="2"/>
    <n v="59.02"/>
    <n v="3799.33"/>
    <x v="0"/>
  </r>
  <r>
    <x v="990"/>
    <s v="Female"/>
    <n v="71"/>
    <s v="Yes"/>
    <x v="48"/>
    <x v="1"/>
    <x v="0"/>
    <x v="0"/>
    <s v="Yes"/>
    <s v="Yes"/>
    <n v="5"/>
    <n v="84.02"/>
    <n v="1284.71"/>
    <x v="0"/>
  </r>
  <r>
    <x v="991"/>
    <s v="Female"/>
    <n v="24"/>
    <s v="No"/>
    <x v="10"/>
    <x v="1"/>
    <x v="2"/>
    <x v="2"/>
    <s v="Yes"/>
    <s v="No"/>
    <n v="2"/>
    <n v="41.78"/>
    <n v="1325.75"/>
    <x v="0"/>
  </r>
  <r>
    <x v="992"/>
    <s v="Female"/>
    <n v="71"/>
    <s v="Yes"/>
    <x v="27"/>
    <x v="0"/>
    <x v="2"/>
    <x v="0"/>
    <s v="No"/>
    <s v="Yes"/>
    <n v="8"/>
    <n v="78.099999999999994"/>
    <n v="5295.39"/>
    <x v="0"/>
  </r>
  <r>
    <x v="993"/>
    <s v="Female"/>
    <n v="18"/>
    <s v="No"/>
    <x v="68"/>
    <x v="0"/>
    <x v="1"/>
    <x v="3"/>
    <s v="No"/>
    <s v="Yes"/>
    <n v="6"/>
    <n v="50.94"/>
    <n v="981.85"/>
    <x v="0"/>
  </r>
  <r>
    <x v="994"/>
    <s v="Female"/>
    <n v="61"/>
    <s v="Yes"/>
    <x v="66"/>
    <x v="1"/>
    <x v="2"/>
    <x v="1"/>
    <s v="No"/>
    <s v="No"/>
    <n v="2"/>
    <n v="29.75"/>
    <n v="1321.45"/>
    <x v="0"/>
  </r>
  <r>
    <x v="995"/>
    <s v="Male"/>
    <n v="73"/>
    <s v="Yes"/>
    <x v="39"/>
    <x v="2"/>
    <x v="0"/>
    <x v="0"/>
    <s v="No"/>
    <s v="No"/>
    <n v="3"/>
    <n v="63.3"/>
    <n v="2131.1"/>
    <x v="1"/>
  </r>
  <r>
    <x v="996"/>
    <s v="Male"/>
    <n v="62"/>
    <s v="Yes"/>
    <x v="43"/>
    <x v="1"/>
    <x v="0"/>
    <x v="1"/>
    <s v="No"/>
    <s v="No"/>
    <n v="3"/>
    <n v="79.94"/>
    <n v="4639.43"/>
    <x v="0"/>
  </r>
  <r>
    <x v="997"/>
    <s v="Female"/>
    <n v="59"/>
    <s v="No"/>
    <x v="7"/>
    <x v="2"/>
    <x v="1"/>
    <x v="2"/>
    <s v="Yes"/>
    <s v="No"/>
    <n v="2"/>
    <n v="42.94"/>
    <n v="1409.46"/>
    <x v="0"/>
  </r>
  <r>
    <x v="998"/>
    <s v="Female"/>
    <n v="64"/>
    <s v="Yes"/>
    <x v="54"/>
    <x v="2"/>
    <x v="1"/>
    <x v="2"/>
    <s v="No"/>
    <s v="No"/>
    <n v="1"/>
    <n v="28.42"/>
    <n v="416.66"/>
    <x v="0"/>
  </r>
  <r>
    <x v="999"/>
    <s v="Male"/>
    <n v="30"/>
    <s v="No"/>
    <x v="22"/>
    <x v="1"/>
    <x v="0"/>
    <x v="2"/>
    <s v="No"/>
    <s v="Yes"/>
    <n v="3"/>
    <n v="80.66"/>
    <n v="2888.71"/>
    <x v="0"/>
  </r>
  <r>
    <x v="1000"/>
    <s v="Female"/>
    <n v="72"/>
    <s v="Yes"/>
    <x v="31"/>
    <x v="1"/>
    <x v="0"/>
    <x v="3"/>
    <s v="No"/>
    <s v="No"/>
    <n v="4"/>
    <n v="79.760000000000005"/>
    <n v="4696.78"/>
    <x v="0"/>
  </r>
  <r>
    <x v="1001"/>
    <s v="Male"/>
    <n v="39"/>
    <s v="No"/>
    <x v="12"/>
    <x v="2"/>
    <x v="2"/>
    <x v="2"/>
    <s v="Yes"/>
    <s v="No"/>
    <n v="2"/>
    <n v="51.25"/>
    <n v="215.53"/>
    <x v="0"/>
  </r>
  <r>
    <x v="1002"/>
    <s v="Male"/>
    <n v="71"/>
    <s v="Yes"/>
    <x v="24"/>
    <x v="1"/>
    <x v="0"/>
    <x v="1"/>
    <s v="Yes"/>
    <s v="No"/>
    <n v="3"/>
    <n v="74"/>
    <n v="4142.1099999999997"/>
    <x v="0"/>
  </r>
  <r>
    <x v="1003"/>
    <s v="Male"/>
    <n v="38"/>
    <s v="No"/>
    <x v="63"/>
    <x v="2"/>
    <x v="0"/>
    <x v="0"/>
    <s v="No"/>
    <s v="No"/>
    <n v="3"/>
    <n v="75.569999999999993"/>
    <n v="2283.67"/>
    <x v="0"/>
  </r>
  <r>
    <x v="1004"/>
    <s v="Male"/>
    <n v="39"/>
    <s v="No"/>
    <x v="33"/>
    <x v="1"/>
    <x v="0"/>
    <x v="3"/>
    <s v="No"/>
    <s v="No"/>
    <n v="1"/>
    <n v="69.72"/>
    <n v="401.51"/>
    <x v="0"/>
  </r>
  <r>
    <x v="1005"/>
    <s v="Male"/>
    <n v="45"/>
    <s v="No"/>
    <x v="65"/>
    <x v="1"/>
    <x v="0"/>
    <x v="3"/>
    <s v="No"/>
    <s v="No"/>
    <n v="2"/>
    <n v="68.19"/>
    <n v="3233.28"/>
    <x v="0"/>
  </r>
  <r>
    <x v="1006"/>
    <s v="Female"/>
    <n v="26"/>
    <s v="No"/>
    <x v="6"/>
    <x v="0"/>
    <x v="0"/>
    <x v="3"/>
    <s v="No"/>
    <s v="Yes"/>
    <n v="6"/>
    <n v="95.73"/>
    <n v="4045.15"/>
    <x v="0"/>
  </r>
  <r>
    <x v="1007"/>
    <s v="Male"/>
    <n v="43"/>
    <s v="No"/>
    <x v="61"/>
    <x v="0"/>
    <x v="2"/>
    <x v="1"/>
    <s v="No"/>
    <s v="No"/>
    <n v="4"/>
    <n v="52"/>
    <n v="3336.78"/>
    <x v="0"/>
  </r>
  <r>
    <x v="1008"/>
    <s v="Female"/>
    <n v="26"/>
    <s v="No"/>
    <x v="25"/>
    <x v="2"/>
    <x v="0"/>
    <x v="1"/>
    <s v="No"/>
    <s v="Yes"/>
    <n v="3"/>
    <n v="86.91"/>
    <n v="6467.48"/>
    <x v="0"/>
  </r>
  <r>
    <x v="1009"/>
    <s v="Female"/>
    <n v="32"/>
    <s v="No"/>
    <x v="5"/>
    <x v="1"/>
    <x v="0"/>
    <x v="2"/>
    <s v="No"/>
    <s v="No"/>
    <n v="6"/>
    <n v="85.49"/>
    <n v="2179.69"/>
    <x v="0"/>
  </r>
  <r>
    <x v="1010"/>
    <s v="Male"/>
    <n v="27"/>
    <s v="No"/>
    <x v="33"/>
    <x v="1"/>
    <x v="0"/>
    <x v="3"/>
    <s v="No"/>
    <s v="No"/>
    <n v="5"/>
    <n v="82.64"/>
    <n v="492.93"/>
    <x v="0"/>
  </r>
  <r>
    <x v="1011"/>
    <s v="Male"/>
    <n v="41"/>
    <s v="No"/>
    <x v="21"/>
    <x v="2"/>
    <x v="2"/>
    <x v="1"/>
    <s v="Yes"/>
    <s v="No"/>
    <n v="1"/>
    <n v="42.61"/>
    <n v="574.53"/>
    <x v="0"/>
  </r>
  <r>
    <x v="1012"/>
    <s v="Female"/>
    <n v="75"/>
    <s v="Yes"/>
    <x v="59"/>
    <x v="1"/>
    <x v="0"/>
    <x v="2"/>
    <s v="No"/>
    <s v="No"/>
    <n v="4"/>
    <n v="81.87"/>
    <n v="4825.01"/>
    <x v="0"/>
  </r>
  <r>
    <x v="1013"/>
    <s v="Male"/>
    <n v="74"/>
    <s v="Yes"/>
    <x v="38"/>
    <x v="0"/>
    <x v="2"/>
    <x v="2"/>
    <s v="No"/>
    <s v="No"/>
    <n v="3"/>
    <n v="52.36"/>
    <n v="3065.49"/>
    <x v="0"/>
  </r>
  <r>
    <x v="1014"/>
    <s v="Male"/>
    <n v="59"/>
    <s v="No"/>
    <x v="13"/>
    <x v="1"/>
    <x v="2"/>
    <x v="1"/>
    <s v="No"/>
    <s v="Yes"/>
    <n v="6"/>
    <n v="63.67"/>
    <n v="1116.8900000000001"/>
    <x v="0"/>
  </r>
  <r>
    <x v="1015"/>
    <s v="Female"/>
    <n v="25"/>
    <s v="No"/>
    <x v="66"/>
    <x v="1"/>
    <x v="0"/>
    <x v="2"/>
    <s v="Yes"/>
    <s v="Yes"/>
    <n v="6"/>
    <n v="91.29"/>
    <n v="4235.03"/>
    <x v="0"/>
  </r>
  <r>
    <x v="1016"/>
    <s v="Female"/>
    <n v="41"/>
    <s v="No"/>
    <x v="28"/>
    <x v="0"/>
    <x v="0"/>
    <x v="2"/>
    <s v="No"/>
    <s v="No"/>
    <n v="2"/>
    <n v="79.13"/>
    <n v="1648.59"/>
    <x v="1"/>
  </r>
  <r>
    <x v="1017"/>
    <s v="Male"/>
    <n v="33"/>
    <s v="No"/>
    <x v="27"/>
    <x v="0"/>
    <x v="0"/>
    <x v="2"/>
    <s v="No"/>
    <s v="No"/>
    <n v="5"/>
    <n v="75.709999999999994"/>
    <n v="5044.13"/>
    <x v="1"/>
  </r>
  <r>
    <x v="1018"/>
    <s v="Female"/>
    <n v="66"/>
    <s v="Yes"/>
    <x v="35"/>
    <x v="0"/>
    <x v="2"/>
    <x v="2"/>
    <s v="No"/>
    <s v="No"/>
    <n v="6"/>
    <n v="72.78"/>
    <n v="3026.21"/>
    <x v="1"/>
  </r>
  <r>
    <x v="1019"/>
    <s v="Male"/>
    <n v="43"/>
    <s v="No"/>
    <x v="45"/>
    <x v="0"/>
    <x v="1"/>
    <x v="3"/>
    <s v="Yes"/>
    <s v="No"/>
    <n v="6"/>
    <n v="57.74"/>
    <n v="1240.98"/>
    <x v="1"/>
  </r>
  <r>
    <x v="1020"/>
    <s v="Male"/>
    <n v="44"/>
    <s v="No"/>
    <x v="2"/>
    <x v="0"/>
    <x v="0"/>
    <x v="0"/>
    <s v="No"/>
    <s v="Yes"/>
    <n v="3"/>
    <n v="62.65"/>
    <n v="125.94"/>
    <x v="0"/>
  </r>
  <r>
    <x v="1021"/>
    <s v="Male"/>
    <n v="54"/>
    <s v="No"/>
    <x v="46"/>
    <x v="0"/>
    <x v="1"/>
    <x v="1"/>
    <s v="No"/>
    <s v="Yes"/>
    <n v="3"/>
    <n v="31.08"/>
    <n v="735.82"/>
    <x v="0"/>
  </r>
  <r>
    <x v="1022"/>
    <s v="Female"/>
    <n v="21"/>
    <s v="No"/>
    <x v="44"/>
    <x v="0"/>
    <x v="0"/>
    <x v="1"/>
    <s v="No"/>
    <s v="Yes"/>
    <n v="3"/>
    <n v="83.57"/>
    <n v="4896.57"/>
    <x v="0"/>
  </r>
  <r>
    <x v="1023"/>
    <s v="Female"/>
    <n v="67"/>
    <s v="Yes"/>
    <x v="50"/>
    <x v="0"/>
    <x v="1"/>
    <x v="0"/>
    <s v="Yes"/>
    <s v="No"/>
    <n v="8"/>
    <n v="59.61"/>
    <n v="4199.3100000000004"/>
    <x v="1"/>
  </r>
  <r>
    <x v="1024"/>
    <s v="Female"/>
    <n v="41"/>
    <s v="No"/>
    <x v="3"/>
    <x v="0"/>
    <x v="2"/>
    <x v="0"/>
    <s v="No"/>
    <s v="Yes"/>
    <n v="4"/>
    <n v="70.97"/>
    <n v="496.86"/>
    <x v="1"/>
  </r>
  <r>
    <x v="1025"/>
    <s v="Female"/>
    <n v="36"/>
    <s v="No"/>
    <x v="64"/>
    <x v="1"/>
    <x v="2"/>
    <x v="1"/>
    <s v="Yes"/>
    <s v="Yes"/>
    <n v="6"/>
    <n v="65.760000000000005"/>
    <n v="3976.52"/>
    <x v="0"/>
  </r>
  <r>
    <x v="1026"/>
    <s v="Female"/>
    <n v="53"/>
    <s v="No"/>
    <x v="51"/>
    <x v="2"/>
    <x v="2"/>
    <x v="0"/>
    <s v="Yes"/>
    <s v="No"/>
    <n v="5"/>
    <n v="59.32"/>
    <n v="3986.37"/>
    <x v="0"/>
  </r>
  <r>
    <x v="1027"/>
    <s v="Male"/>
    <n v="56"/>
    <s v="No"/>
    <x v="17"/>
    <x v="1"/>
    <x v="2"/>
    <x v="1"/>
    <s v="No"/>
    <s v="No"/>
    <n v="8"/>
    <n v="84.53"/>
    <n v="1452.93"/>
    <x v="1"/>
  </r>
  <r>
    <x v="1028"/>
    <s v="Male"/>
    <n v="27"/>
    <s v="No"/>
    <x v="42"/>
    <x v="0"/>
    <x v="1"/>
    <x v="2"/>
    <s v="No"/>
    <s v="No"/>
    <n v="3"/>
    <n v="31.15"/>
    <n v="1465.72"/>
    <x v="0"/>
  </r>
  <r>
    <x v="1029"/>
    <s v="Male"/>
    <n v="42"/>
    <s v="No"/>
    <x v="50"/>
    <x v="0"/>
    <x v="2"/>
    <x v="1"/>
    <s v="No"/>
    <s v="No"/>
    <n v="6"/>
    <n v="65.290000000000006"/>
    <n v="4867.08"/>
    <x v="0"/>
  </r>
  <r>
    <x v="1030"/>
    <s v="Male"/>
    <n v="35"/>
    <s v="No"/>
    <x v="1"/>
    <x v="0"/>
    <x v="2"/>
    <x v="3"/>
    <s v="No"/>
    <s v="No"/>
    <n v="4"/>
    <n v="62.92"/>
    <n v="770.4"/>
    <x v="1"/>
  </r>
  <r>
    <x v="1031"/>
    <s v="Female"/>
    <n v="36"/>
    <s v="No"/>
    <x v="53"/>
    <x v="0"/>
    <x v="0"/>
    <x v="0"/>
    <s v="No"/>
    <s v="No"/>
    <n v="6"/>
    <n v="91.61"/>
    <n v="4999.3"/>
    <x v="0"/>
  </r>
  <r>
    <x v="1032"/>
    <s v="Male"/>
    <n v="53"/>
    <s v="No"/>
    <x v="30"/>
    <x v="0"/>
    <x v="0"/>
    <x v="1"/>
    <s v="No"/>
    <s v="No"/>
    <n v="4"/>
    <n v="73.42"/>
    <n v="371.24"/>
    <x v="1"/>
  </r>
  <r>
    <x v="1033"/>
    <s v="Female"/>
    <n v="27"/>
    <s v="No"/>
    <x v="5"/>
    <x v="0"/>
    <x v="1"/>
    <x v="2"/>
    <s v="Yes"/>
    <s v="No"/>
    <n v="2"/>
    <n v="34.82"/>
    <n v="871.57"/>
    <x v="0"/>
  </r>
  <r>
    <x v="1034"/>
    <s v="Male"/>
    <n v="50"/>
    <s v="No"/>
    <x v="1"/>
    <x v="0"/>
    <x v="2"/>
    <x v="3"/>
    <s v="No"/>
    <s v="Yes"/>
    <n v="4"/>
    <n v="56.96"/>
    <n v="645.20000000000005"/>
    <x v="0"/>
  </r>
  <r>
    <x v="1035"/>
    <s v="Female"/>
    <n v="72"/>
    <s v="Yes"/>
    <x v="47"/>
    <x v="2"/>
    <x v="2"/>
    <x v="1"/>
    <s v="No"/>
    <s v="Yes"/>
    <n v="6"/>
    <n v="55.22"/>
    <n v="1002.16"/>
    <x v="0"/>
  </r>
  <r>
    <x v="1036"/>
    <s v="Female"/>
    <n v="67"/>
    <s v="Yes"/>
    <x v="33"/>
    <x v="0"/>
    <x v="2"/>
    <x v="1"/>
    <s v="No"/>
    <s v="Yes"/>
    <n v="3"/>
    <n v="51.77"/>
    <n v="297.35000000000002"/>
    <x v="0"/>
  </r>
  <r>
    <x v="1037"/>
    <s v="Male"/>
    <n v="22"/>
    <s v="No"/>
    <x v="30"/>
    <x v="0"/>
    <x v="1"/>
    <x v="1"/>
    <s v="No"/>
    <s v="No"/>
    <n v="3"/>
    <n v="25.56"/>
    <n v="137.88"/>
    <x v="1"/>
  </r>
  <r>
    <x v="1038"/>
    <s v="Male"/>
    <n v="64"/>
    <s v="Yes"/>
    <x v="44"/>
    <x v="2"/>
    <x v="2"/>
    <x v="1"/>
    <s v="No"/>
    <s v="Yes"/>
    <n v="2"/>
    <n v="46.38"/>
    <n v="2719.62"/>
    <x v="0"/>
  </r>
  <r>
    <x v="1039"/>
    <s v="Male"/>
    <n v="66"/>
    <s v="Yes"/>
    <x v="23"/>
    <x v="0"/>
    <x v="2"/>
    <x v="0"/>
    <s v="No"/>
    <s v="No"/>
    <n v="6"/>
    <n v="58.59"/>
    <n v="1625.91"/>
    <x v="0"/>
  </r>
  <r>
    <x v="1040"/>
    <s v="Male"/>
    <n v="52"/>
    <s v="No"/>
    <x v="25"/>
    <x v="0"/>
    <x v="2"/>
    <x v="3"/>
    <s v="Yes"/>
    <s v="Yes"/>
    <n v="2"/>
    <n v="56.42"/>
    <n v="4154.62"/>
    <x v="0"/>
  </r>
  <r>
    <x v="1041"/>
    <s v="Female"/>
    <n v="61"/>
    <s v="Yes"/>
    <x v="24"/>
    <x v="1"/>
    <x v="0"/>
    <x v="2"/>
    <s v="Yes"/>
    <s v="No"/>
    <n v="4"/>
    <n v="81.099999999999994"/>
    <n v="5010.74"/>
    <x v="0"/>
  </r>
  <r>
    <x v="1042"/>
    <s v="Male"/>
    <n v="51"/>
    <s v="No"/>
    <x v="7"/>
    <x v="1"/>
    <x v="0"/>
    <x v="3"/>
    <s v="No"/>
    <s v="No"/>
    <n v="3"/>
    <n v="85.77"/>
    <n v="2798.24"/>
    <x v="0"/>
  </r>
  <r>
    <x v="1043"/>
    <s v="Male"/>
    <n v="50"/>
    <s v="No"/>
    <x v="38"/>
    <x v="1"/>
    <x v="1"/>
    <x v="1"/>
    <s v="No"/>
    <s v="No"/>
    <n v="5"/>
    <n v="38.549999999999997"/>
    <n v="2225.12"/>
    <x v="0"/>
  </r>
  <r>
    <x v="1044"/>
    <s v="Female"/>
    <n v="72"/>
    <s v="Yes"/>
    <x v="32"/>
    <x v="0"/>
    <x v="0"/>
    <x v="1"/>
    <s v="Yes"/>
    <s v="No"/>
    <n v="7"/>
    <n v="91.86"/>
    <n v="4863.66"/>
    <x v="0"/>
  </r>
  <r>
    <x v="1045"/>
    <s v="Male"/>
    <n v="38"/>
    <s v="No"/>
    <x v="13"/>
    <x v="0"/>
    <x v="1"/>
    <x v="0"/>
    <s v="Yes"/>
    <s v="Yes"/>
    <n v="1"/>
    <n v="21.28"/>
    <n v="421.47"/>
    <x v="0"/>
  </r>
  <r>
    <x v="1046"/>
    <s v="Male"/>
    <n v="34"/>
    <s v="No"/>
    <x v="25"/>
    <x v="0"/>
    <x v="0"/>
    <x v="1"/>
    <s v="No"/>
    <s v="No"/>
    <n v="7"/>
    <n v="86.58"/>
    <n v="6251.92"/>
    <x v="0"/>
  </r>
  <r>
    <x v="1047"/>
    <s v="Male"/>
    <n v="39"/>
    <s v="No"/>
    <x v="36"/>
    <x v="0"/>
    <x v="0"/>
    <x v="1"/>
    <s v="No"/>
    <s v="Yes"/>
    <n v="4"/>
    <n v="76.2"/>
    <n v="5226.2299999999996"/>
    <x v="0"/>
  </r>
  <r>
    <x v="1048"/>
    <s v="Male"/>
    <n v="65"/>
    <s v="Yes"/>
    <x v="37"/>
    <x v="2"/>
    <x v="1"/>
    <x v="2"/>
    <s v="Yes"/>
    <s v="No"/>
    <n v="4"/>
    <n v="54.82"/>
    <n v="2484.1"/>
    <x v="0"/>
  </r>
  <r>
    <x v="1049"/>
    <s v="Male"/>
    <n v="54"/>
    <s v="No"/>
    <x v="49"/>
    <x v="1"/>
    <x v="2"/>
    <x v="1"/>
    <s v="Yes"/>
    <s v="No"/>
    <n v="3"/>
    <n v="57.55"/>
    <n v="2373.3200000000002"/>
    <x v="0"/>
  </r>
  <r>
    <x v="1050"/>
    <s v="Female"/>
    <n v="32"/>
    <s v="No"/>
    <x v="27"/>
    <x v="0"/>
    <x v="0"/>
    <x v="2"/>
    <s v="No"/>
    <s v="Yes"/>
    <n v="5"/>
    <n v="82.11"/>
    <n v="5138.8"/>
    <x v="0"/>
  </r>
  <r>
    <x v="1051"/>
    <s v="Male"/>
    <n v="52"/>
    <s v="No"/>
    <x v="7"/>
    <x v="1"/>
    <x v="2"/>
    <x v="1"/>
    <s v="No"/>
    <s v="No"/>
    <n v="4"/>
    <n v="66.55"/>
    <n v="2103.83"/>
    <x v="0"/>
  </r>
  <r>
    <x v="1052"/>
    <s v="Male"/>
    <n v="45"/>
    <s v="No"/>
    <x v="21"/>
    <x v="0"/>
    <x v="2"/>
    <x v="2"/>
    <s v="Yes"/>
    <s v="No"/>
    <n v="3"/>
    <n v="59.71"/>
    <n v="719.91"/>
    <x v="0"/>
  </r>
  <r>
    <x v="1053"/>
    <s v="Male"/>
    <n v="24"/>
    <s v="No"/>
    <x v="62"/>
    <x v="2"/>
    <x v="2"/>
    <x v="3"/>
    <s v="Yes"/>
    <s v="No"/>
    <n v="4"/>
    <n v="58.61"/>
    <n v="2967.75"/>
    <x v="0"/>
  </r>
  <r>
    <x v="1054"/>
    <s v="Male"/>
    <n v="49"/>
    <s v="No"/>
    <x v="3"/>
    <x v="0"/>
    <x v="0"/>
    <x v="3"/>
    <s v="No"/>
    <s v="No"/>
    <n v="3"/>
    <n v="79.73"/>
    <n v="561"/>
    <x v="0"/>
  </r>
  <r>
    <x v="1055"/>
    <s v="Male"/>
    <n v="28"/>
    <s v="No"/>
    <x v="54"/>
    <x v="0"/>
    <x v="1"/>
    <x v="1"/>
    <s v="No"/>
    <s v="No"/>
    <n v="4"/>
    <n v="38.86"/>
    <n v="503.76"/>
    <x v="0"/>
  </r>
  <r>
    <x v="1056"/>
    <s v="Female"/>
    <n v="27"/>
    <s v="No"/>
    <x v="13"/>
    <x v="0"/>
    <x v="1"/>
    <x v="2"/>
    <s v="No"/>
    <s v="No"/>
    <n v="1"/>
    <n v="49.9"/>
    <n v="899.77"/>
    <x v="1"/>
  </r>
  <r>
    <x v="1057"/>
    <s v="Male"/>
    <n v="26"/>
    <s v="No"/>
    <x v="62"/>
    <x v="1"/>
    <x v="0"/>
    <x v="2"/>
    <s v="No"/>
    <s v="No"/>
    <n v="2"/>
    <n v="79.540000000000006"/>
    <n v="4111.49"/>
    <x v="0"/>
  </r>
  <r>
    <x v="1058"/>
    <s v="Female"/>
    <n v="31"/>
    <s v="No"/>
    <x v="28"/>
    <x v="1"/>
    <x v="1"/>
    <x v="3"/>
    <s v="Yes"/>
    <s v="No"/>
    <n v="2"/>
    <n v="30.15"/>
    <n v="617.99"/>
    <x v="0"/>
  </r>
  <r>
    <x v="1059"/>
    <s v="Female"/>
    <n v="30"/>
    <s v="No"/>
    <x v="63"/>
    <x v="0"/>
    <x v="1"/>
    <x v="0"/>
    <s v="No"/>
    <s v="Yes"/>
    <n v="1"/>
    <n v="34.31"/>
    <n v="990.03"/>
    <x v="0"/>
  </r>
  <r>
    <x v="1060"/>
    <s v="Male"/>
    <n v="74"/>
    <s v="Yes"/>
    <x v="70"/>
    <x v="0"/>
    <x v="2"/>
    <x v="3"/>
    <s v="No"/>
    <s v="No"/>
    <n v="4"/>
    <n v="62.84"/>
    <n v="1498.12"/>
    <x v="1"/>
  </r>
  <r>
    <x v="1061"/>
    <s v="Male"/>
    <n v="42"/>
    <s v="No"/>
    <x v="18"/>
    <x v="0"/>
    <x v="2"/>
    <x v="1"/>
    <s v="Yes"/>
    <s v="No"/>
    <n v="3"/>
    <n v="56.98"/>
    <n v="3743.92"/>
    <x v="0"/>
  </r>
  <r>
    <x v="1062"/>
    <s v="Male"/>
    <n v="19"/>
    <s v="No"/>
    <x v="44"/>
    <x v="0"/>
    <x v="0"/>
    <x v="3"/>
    <s v="No"/>
    <s v="Yes"/>
    <n v="3"/>
    <n v="78.599999999999994"/>
    <n v="4449.18"/>
    <x v="0"/>
  </r>
  <r>
    <x v="1063"/>
    <s v="Male"/>
    <n v="52"/>
    <s v="No"/>
    <x v="9"/>
    <x v="2"/>
    <x v="0"/>
    <x v="2"/>
    <s v="No"/>
    <s v="Yes"/>
    <n v="3"/>
    <n v="69.31"/>
    <n v="541.04"/>
    <x v="0"/>
  </r>
  <r>
    <x v="1064"/>
    <s v="Female"/>
    <n v="24"/>
    <s v="No"/>
    <x v="38"/>
    <x v="0"/>
    <x v="2"/>
    <x v="0"/>
    <s v="Yes"/>
    <s v="Yes"/>
    <n v="1"/>
    <n v="43.95"/>
    <n v="2926.52"/>
    <x v="0"/>
  </r>
  <r>
    <x v="1065"/>
    <s v="Male"/>
    <n v="38"/>
    <s v="No"/>
    <x v="63"/>
    <x v="0"/>
    <x v="1"/>
    <x v="1"/>
    <s v="Yes"/>
    <s v="No"/>
    <n v="4"/>
    <n v="52.61"/>
    <n v="1405.66"/>
    <x v="0"/>
  </r>
  <r>
    <x v="1066"/>
    <s v="Male"/>
    <n v="35"/>
    <s v="No"/>
    <x v="47"/>
    <x v="1"/>
    <x v="2"/>
    <x v="0"/>
    <s v="Yes"/>
    <s v="No"/>
    <n v="6"/>
    <n v="68.430000000000007"/>
    <n v="1127.0899999999999"/>
    <x v="1"/>
  </r>
  <r>
    <x v="1067"/>
    <s v="Male"/>
    <n v="20"/>
    <s v="No"/>
    <x v="36"/>
    <x v="0"/>
    <x v="2"/>
    <x v="3"/>
    <s v="Yes"/>
    <s v="No"/>
    <n v="6"/>
    <n v="62.1"/>
    <n v="4170.34"/>
    <x v="0"/>
  </r>
  <r>
    <x v="1068"/>
    <s v="Male"/>
    <n v="59"/>
    <s v="No"/>
    <x v="33"/>
    <x v="1"/>
    <x v="0"/>
    <x v="1"/>
    <s v="No"/>
    <s v="No"/>
    <n v="8"/>
    <n v="94.02"/>
    <n v="589.65"/>
    <x v="0"/>
  </r>
  <r>
    <x v="1069"/>
    <s v="Male"/>
    <n v="71"/>
    <s v="Yes"/>
    <x v="43"/>
    <x v="2"/>
    <x v="0"/>
    <x v="1"/>
    <s v="No"/>
    <s v="Yes"/>
    <n v="3"/>
    <n v="71.260000000000005"/>
    <n v="4342.32"/>
    <x v="0"/>
  </r>
  <r>
    <x v="1070"/>
    <s v="Male"/>
    <n v="56"/>
    <s v="No"/>
    <x v="25"/>
    <x v="0"/>
    <x v="0"/>
    <x v="1"/>
    <s v="No"/>
    <s v="Yes"/>
    <n v="5"/>
    <n v="89.28"/>
    <n v="5712.91"/>
    <x v="0"/>
  </r>
  <r>
    <x v="1071"/>
    <s v="Female"/>
    <n v="58"/>
    <s v="No"/>
    <x v="23"/>
    <x v="2"/>
    <x v="0"/>
    <x v="2"/>
    <s v="Yes"/>
    <s v="No"/>
    <n v="4"/>
    <n v="75.069999999999993"/>
    <n v="2172.29"/>
    <x v="1"/>
  </r>
  <r>
    <x v="1072"/>
    <s v="Female"/>
    <n v="66"/>
    <s v="Yes"/>
    <x v="38"/>
    <x v="1"/>
    <x v="2"/>
    <x v="1"/>
    <s v="No"/>
    <s v="No"/>
    <n v="2"/>
    <n v="51.31"/>
    <n v="3293.33"/>
    <x v="0"/>
  </r>
  <r>
    <x v="1073"/>
    <s v="Male"/>
    <n v="28"/>
    <s v="No"/>
    <x v="41"/>
    <x v="0"/>
    <x v="0"/>
    <x v="3"/>
    <s v="No"/>
    <s v="Yes"/>
    <n v="5"/>
    <n v="78.36"/>
    <n v="3065.78"/>
    <x v="0"/>
  </r>
  <r>
    <x v="1074"/>
    <s v="Male"/>
    <n v="56"/>
    <s v="No"/>
    <x v="25"/>
    <x v="0"/>
    <x v="2"/>
    <x v="0"/>
    <s v="No"/>
    <s v="No"/>
    <n v="2"/>
    <n v="66.459999999999994"/>
    <n v="4301.63"/>
    <x v="0"/>
  </r>
  <r>
    <x v="1075"/>
    <s v="Male"/>
    <n v="41"/>
    <s v="No"/>
    <x v="41"/>
    <x v="0"/>
    <x v="0"/>
    <x v="3"/>
    <s v="Yes"/>
    <s v="No"/>
    <n v="2"/>
    <n v="75.400000000000006"/>
    <n v="3214.9"/>
    <x v="0"/>
  </r>
  <r>
    <x v="1076"/>
    <s v="Female"/>
    <n v="63"/>
    <s v="Yes"/>
    <x v="65"/>
    <x v="1"/>
    <x v="2"/>
    <x v="2"/>
    <s v="Yes"/>
    <s v="No"/>
    <n v="5"/>
    <n v="67.13"/>
    <n v="3157.53"/>
    <x v="0"/>
  </r>
  <r>
    <x v="1077"/>
    <s v="Male"/>
    <n v="36"/>
    <s v="No"/>
    <x v="65"/>
    <x v="1"/>
    <x v="2"/>
    <x v="1"/>
    <s v="No"/>
    <s v="No"/>
    <n v="3"/>
    <n v="59.88"/>
    <n v="2700.18"/>
    <x v="0"/>
  </r>
  <r>
    <x v="1078"/>
    <s v="Female"/>
    <n v="21"/>
    <s v="No"/>
    <x v="57"/>
    <x v="2"/>
    <x v="0"/>
    <x v="1"/>
    <s v="No"/>
    <s v="No"/>
    <n v="3"/>
    <n v="72.239999999999995"/>
    <n v="4902.1899999999996"/>
    <x v="0"/>
  </r>
  <r>
    <x v="1079"/>
    <s v="Male"/>
    <n v="43"/>
    <s v="No"/>
    <x v="4"/>
    <x v="2"/>
    <x v="0"/>
    <x v="2"/>
    <s v="No"/>
    <s v="Yes"/>
    <n v="2"/>
    <n v="81.650000000000006"/>
    <n v="226.57"/>
    <x v="1"/>
  </r>
  <r>
    <x v="1080"/>
    <s v="Male"/>
    <n v="55"/>
    <s v="No"/>
    <x v="69"/>
    <x v="1"/>
    <x v="0"/>
    <x v="1"/>
    <s v="No"/>
    <s v="Yes"/>
    <n v="6"/>
    <n v="86.53"/>
    <n v="830.58"/>
    <x v="0"/>
  </r>
  <r>
    <x v="1081"/>
    <s v="Male"/>
    <n v="59"/>
    <s v="No"/>
    <x v="39"/>
    <x v="1"/>
    <x v="1"/>
    <x v="1"/>
    <s v="No"/>
    <s v="No"/>
    <n v="2"/>
    <n v="45.41"/>
    <n v="1547.4"/>
    <x v="0"/>
  </r>
  <r>
    <x v="1082"/>
    <s v="Male"/>
    <n v="49"/>
    <s v="No"/>
    <x v="2"/>
    <x v="0"/>
    <x v="0"/>
    <x v="2"/>
    <s v="No"/>
    <s v="No"/>
    <n v="5"/>
    <n v="80.73"/>
    <n v="155.55000000000001"/>
    <x v="1"/>
  </r>
  <r>
    <x v="1083"/>
    <s v="Female"/>
    <n v="56"/>
    <s v="No"/>
    <x v="70"/>
    <x v="0"/>
    <x v="2"/>
    <x v="2"/>
    <s v="No"/>
    <s v="No"/>
    <n v="3"/>
    <n v="60.01"/>
    <n v="1537.01"/>
    <x v="1"/>
  </r>
  <r>
    <x v="1084"/>
    <s v="Female"/>
    <n v="62"/>
    <s v="Yes"/>
    <x v="52"/>
    <x v="0"/>
    <x v="1"/>
    <x v="3"/>
    <s v="No"/>
    <s v="Yes"/>
    <n v="5"/>
    <n v="46.17"/>
    <n v="1679.38"/>
    <x v="0"/>
  </r>
  <r>
    <x v="1085"/>
    <s v="Male"/>
    <n v="63"/>
    <s v="Yes"/>
    <x v="46"/>
    <x v="1"/>
    <x v="2"/>
    <x v="1"/>
    <s v="No"/>
    <s v="No"/>
    <n v="3"/>
    <n v="56.87"/>
    <n v="1244.6400000000001"/>
    <x v="1"/>
  </r>
  <r>
    <x v="1086"/>
    <s v="Male"/>
    <n v="53"/>
    <s v="No"/>
    <x v="29"/>
    <x v="0"/>
    <x v="0"/>
    <x v="0"/>
    <s v="Yes"/>
    <s v="Yes"/>
    <n v="4"/>
    <n v="67.31"/>
    <n v="1878.14"/>
    <x v="0"/>
  </r>
  <r>
    <x v="1087"/>
    <s v="Female"/>
    <n v="57"/>
    <s v="No"/>
    <x v="66"/>
    <x v="0"/>
    <x v="1"/>
    <x v="1"/>
    <s v="No"/>
    <s v="Yes"/>
    <n v="4"/>
    <n v="34.119999999999997"/>
    <n v="1556.18"/>
    <x v="1"/>
  </r>
  <r>
    <x v="1088"/>
    <s v="Female"/>
    <n v="54"/>
    <s v="No"/>
    <x v="60"/>
    <x v="0"/>
    <x v="0"/>
    <x v="2"/>
    <s v="Yes"/>
    <s v="Yes"/>
    <n v="5"/>
    <n v="93.57"/>
    <n v="4989.29"/>
    <x v="0"/>
  </r>
  <r>
    <x v="1089"/>
    <s v="Female"/>
    <n v="50"/>
    <s v="No"/>
    <x v="49"/>
    <x v="0"/>
    <x v="2"/>
    <x v="2"/>
    <s v="Yes"/>
    <s v="No"/>
    <n v="5"/>
    <n v="53.98"/>
    <n v="2046.78"/>
    <x v="0"/>
  </r>
  <r>
    <x v="1090"/>
    <s v="Female"/>
    <n v="53"/>
    <s v="No"/>
    <x v="63"/>
    <x v="1"/>
    <x v="1"/>
    <x v="2"/>
    <s v="No"/>
    <s v="Yes"/>
    <n v="2"/>
    <n v="39.24"/>
    <n v="1154.95"/>
    <x v="0"/>
  </r>
  <r>
    <x v="1091"/>
    <s v="Male"/>
    <n v="20"/>
    <s v="No"/>
    <x v="28"/>
    <x v="0"/>
    <x v="2"/>
    <x v="1"/>
    <s v="No"/>
    <s v="Yes"/>
    <n v="5"/>
    <n v="81.2"/>
    <n v="1732.58"/>
    <x v="0"/>
  </r>
  <r>
    <x v="1092"/>
    <s v="Female"/>
    <n v="26"/>
    <s v="No"/>
    <x v="41"/>
    <x v="1"/>
    <x v="0"/>
    <x v="3"/>
    <s v="Yes"/>
    <s v="No"/>
    <n v="2"/>
    <n v="74.87"/>
    <n v="2829.01"/>
    <x v="0"/>
  </r>
  <r>
    <x v="1093"/>
    <s v="Male"/>
    <n v="25"/>
    <s v="No"/>
    <x v="62"/>
    <x v="0"/>
    <x v="0"/>
    <x v="1"/>
    <s v="No"/>
    <s v="No"/>
    <n v="5"/>
    <n v="97.89"/>
    <n v="5195.66"/>
    <x v="0"/>
  </r>
  <r>
    <x v="1094"/>
    <s v="Female"/>
    <n v="50"/>
    <s v="No"/>
    <x v="28"/>
    <x v="1"/>
    <x v="0"/>
    <x v="0"/>
    <s v="No"/>
    <s v="No"/>
    <n v="6"/>
    <n v="91.84"/>
    <n v="1939.59"/>
    <x v="0"/>
  </r>
  <r>
    <x v="1095"/>
    <s v="Female"/>
    <n v="23"/>
    <s v="No"/>
    <x v="13"/>
    <x v="0"/>
    <x v="2"/>
    <x v="2"/>
    <s v="No"/>
    <s v="No"/>
    <n v="1"/>
    <n v="48.84"/>
    <n v="914.67"/>
    <x v="0"/>
  </r>
  <r>
    <x v="1096"/>
    <s v="Female"/>
    <n v="58"/>
    <s v="No"/>
    <x v="36"/>
    <x v="0"/>
    <x v="0"/>
    <x v="1"/>
    <s v="No"/>
    <s v="No"/>
    <n v="4"/>
    <n v="81.62"/>
    <n v="5576.59"/>
    <x v="0"/>
  </r>
  <r>
    <x v="1097"/>
    <s v="Female"/>
    <n v="56"/>
    <s v="No"/>
    <x v="20"/>
    <x v="1"/>
    <x v="1"/>
    <x v="3"/>
    <s v="No"/>
    <s v="Yes"/>
    <n v="1"/>
    <n v="27.76"/>
    <n v="858.37"/>
    <x v="0"/>
  </r>
  <r>
    <x v="1098"/>
    <s v="Female"/>
    <n v="21"/>
    <s v="No"/>
    <x v="53"/>
    <x v="0"/>
    <x v="1"/>
    <x v="3"/>
    <s v="No"/>
    <s v="Yes"/>
    <n v="2"/>
    <n v="31.54"/>
    <n v="1592.84"/>
    <x v="0"/>
  </r>
  <r>
    <x v="1099"/>
    <s v="Male"/>
    <n v="30"/>
    <s v="No"/>
    <x v="22"/>
    <x v="0"/>
    <x v="1"/>
    <x v="2"/>
    <s v="No"/>
    <s v="No"/>
    <n v="4"/>
    <n v="37.32"/>
    <n v="1258.6500000000001"/>
    <x v="0"/>
  </r>
  <r>
    <x v="1100"/>
    <s v="Male"/>
    <n v="66"/>
    <s v="Yes"/>
    <x v="46"/>
    <x v="0"/>
    <x v="0"/>
    <x v="2"/>
    <s v="No"/>
    <s v="Yes"/>
    <n v="1"/>
    <n v="69.959999999999994"/>
    <n v="1555.42"/>
    <x v="0"/>
  </r>
  <r>
    <x v="1101"/>
    <s v="Female"/>
    <n v="19"/>
    <s v="No"/>
    <x v="51"/>
    <x v="0"/>
    <x v="2"/>
    <x v="2"/>
    <s v="Yes"/>
    <s v="No"/>
    <n v="3"/>
    <n v="70.400000000000006"/>
    <n v="4879.41"/>
    <x v="0"/>
  </r>
  <r>
    <x v="1102"/>
    <s v="Female"/>
    <n v="22"/>
    <s v="No"/>
    <x v="33"/>
    <x v="0"/>
    <x v="1"/>
    <x v="3"/>
    <s v="No"/>
    <s v="No"/>
    <n v="1"/>
    <n v="38.97"/>
    <n v="245.88"/>
    <x v="0"/>
  </r>
  <r>
    <x v="1103"/>
    <s v="Male"/>
    <n v="61"/>
    <s v="Yes"/>
    <x v="5"/>
    <x v="0"/>
    <x v="1"/>
    <x v="1"/>
    <s v="Yes"/>
    <s v="No"/>
    <n v="3"/>
    <n v="38.43"/>
    <n v="1080.76"/>
    <x v="1"/>
  </r>
  <r>
    <x v="1104"/>
    <s v="Female"/>
    <n v="44"/>
    <s v="No"/>
    <x v="69"/>
    <x v="1"/>
    <x v="0"/>
    <x v="0"/>
    <s v="No"/>
    <s v="No"/>
    <n v="5"/>
    <n v="87.3"/>
    <n v="807.11"/>
    <x v="0"/>
  </r>
  <r>
    <x v="1105"/>
    <s v="Female"/>
    <n v="49"/>
    <s v="No"/>
    <x v="11"/>
    <x v="2"/>
    <x v="0"/>
    <x v="3"/>
    <s v="Yes"/>
    <s v="No"/>
    <n v="1"/>
    <n v="66.400000000000006"/>
    <n v="3274.22"/>
    <x v="0"/>
  </r>
  <r>
    <x v="1106"/>
    <s v="Male"/>
    <n v="38"/>
    <s v="No"/>
    <x v="0"/>
    <x v="0"/>
    <x v="0"/>
    <x v="3"/>
    <s v="No"/>
    <s v="Yes"/>
    <n v="4"/>
    <n v="88.95"/>
    <n v="6223.83"/>
    <x v="0"/>
  </r>
  <r>
    <x v="1107"/>
    <s v="Female"/>
    <n v="25"/>
    <s v="No"/>
    <x v="24"/>
    <x v="2"/>
    <x v="2"/>
    <x v="3"/>
    <s v="No"/>
    <s v="No"/>
    <n v="3"/>
    <n v="43.57"/>
    <n v="2601.0100000000002"/>
    <x v="0"/>
  </r>
  <r>
    <x v="1108"/>
    <s v="Female"/>
    <n v="55"/>
    <s v="No"/>
    <x v="24"/>
    <x v="0"/>
    <x v="2"/>
    <x v="0"/>
    <s v="Yes"/>
    <s v="Yes"/>
    <n v="3"/>
    <n v="68.510000000000005"/>
    <n v="3959.93"/>
    <x v="0"/>
  </r>
  <r>
    <x v="1109"/>
    <s v="Male"/>
    <n v="25"/>
    <s v="No"/>
    <x v="2"/>
    <x v="1"/>
    <x v="1"/>
    <x v="1"/>
    <s v="No"/>
    <s v="No"/>
    <n v="3"/>
    <n v="33.18"/>
    <n v="68.63"/>
    <x v="0"/>
  </r>
  <r>
    <x v="1110"/>
    <s v="Male"/>
    <n v="67"/>
    <s v="Yes"/>
    <x v="63"/>
    <x v="1"/>
    <x v="0"/>
    <x v="1"/>
    <s v="Yes"/>
    <s v="No"/>
    <n v="4"/>
    <n v="76.31"/>
    <n v="2274.56"/>
    <x v="0"/>
  </r>
  <r>
    <x v="1111"/>
    <s v="Male"/>
    <n v="20"/>
    <s v="No"/>
    <x v="27"/>
    <x v="1"/>
    <x v="0"/>
    <x v="3"/>
    <s v="No"/>
    <s v="Yes"/>
    <n v="3"/>
    <n v="66.44"/>
    <n v="4575.38"/>
    <x v="0"/>
  </r>
  <r>
    <x v="1112"/>
    <s v="Female"/>
    <n v="71"/>
    <s v="Yes"/>
    <x v="61"/>
    <x v="0"/>
    <x v="0"/>
    <x v="3"/>
    <s v="No"/>
    <s v="No"/>
    <n v="1"/>
    <n v="68.08"/>
    <n v="4681.2299999999996"/>
    <x v="0"/>
  </r>
  <r>
    <x v="1113"/>
    <s v="Male"/>
    <n v="61"/>
    <s v="Yes"/>
    <x v="29"/>
    <x v="0"/>
    <x v="0"/>
    <x v="3"/>
    <s v="No"/>
    <s v="Yes"/>
    <n v="2"/>
    <n v="66.23"/>
    <n v="1612.3"/>
    <x v="1"/>
  </r>
  <r>
    <x v="1114"/>
    <s v="Male"/>
    <n v="75"/>
    <s v="Yes"/>
    <x v="69"/>
    <x v="0"/>
    <x v="0"/>
    <x v="0"/>
    <s v="No"/>
    <s v="Yes"/>
    <n v="8"/>
    <n v="103.14"/>
    <n v="998.56"/>
    <x v="1"/>
  </r>
  <r>
    <x v="1115"/>
    <s v="Male"/>
    <n v="20"/>
    <s v="No"/>
    <x v="53"/>
    <x v="0"/>
    <x v="2"/>
    <x v="1"/>
    <s v="Yes"/>
    <s v="No"/>
    <n v="3"/>
    <n v="59.73"/>
    <n v="3163.22"/>
    <x v="0"/>
  </r>
  <r>
    <x v="1116"/>
    <s v="Male"/>
    <n v="39"/>
    <s v="No"/>
    <x v="24"/>
    <x v="0"/>
    <x v="2"/>
    <x v="3"/>
    <s v="No"/>
    <s v="Yes"/>
    <n v="4"/>
    <n v="54.14"/>
    <n v="3428.64"/>
    <x v="0"/>
  </r>
  <r>
    <x v="1117"/>
    <s v="Male"/>
    <n v="23"/>
    <s v="No"/>
    <x v="46"/>
    <x v="0"/>
    <x v="2"/>
    <x v="2"/>
    <s v="No"/>
    <s v="Yes"/>
    <n v="2"/>
    <n v="44.86"/>
    <n v="919.33"/>
    <x v="0"/>
  </r>
  <r>
    <x v="1118"/>
    <s v="Male"/>
    <n v="19"/>
    <s v="No"/>
    <x v="42"/>
    <x v="0"/>
    <x v="0"/>
    <x v="0"/>
    <s v="No"/>
    <s v="No"/>
    <n v="2"/>
    <n v="66.510000000000005"/>
    <n v="3303.59"/>
    <x v="1"/>
  </r>
  <r>
    <x v="1119"/>
    <s v="Female"/>
    <n v="40"/>
    <s v="No"/>
    <x v="11"/>
    <x v="0"/>
    <x v="0"/>
    <x v="3"/>
    <s v="No"/>
    <s v="No"/>
    <n v="4"/>
    <n v="72.38"/>
    <n v="3710.98"/>
    <x v="0"/>
  </r>
  <r>
    <x v="1120"/>
    <s v="Female"/>
    <n v="61"/>
    <s v="Yes"/>
    <x v="19"/>
    <x v="1"/>
    <x v="2"/>
    <x v="0"/>
    <s v="No"/>
    <s v="Yes"/>
    <n v="6"/>
    <n v="65.040000000000006"/>
    <n v="1452.81"/>
    <x v="1"/>
  </r>
  <r>
    <x v="1121"/>
    <s v="Male"/>
    <n v="19"/>
    <s v="No"/>
    <x v="46"/>
    <x v="2"/>
    <x v="1"/>
    <x v="3"/>
    <s v="No"/>
    <s v="No"/>
    <n v="1"/>
    <n v="23.11"/>
    <n v="538.13"/>
    <x v="0"/>
  </r>
  <r>
    <x v="1122"/>
    <s v="Male"/>
    <n v="55"/>
    <s v="No"/>
    <x v="20"/>
    <x v="2"/>
    <x v="0"/>
    <x v="2"/>
    <s v="Yes"/>
    <s v="No"/>
    <n v="1"/>
    <n v="75.180000000000007"/>
    <n v="2186.2600000000002"/>
    <x v="1"/>
  </r>
  <r>
    <x v="1123"/>
    <s v="Male"/>
    <n v="34"/>
    <s v="No"/>
    <x v="26"/>
    <x v="0"/>
    <x v="1"/>
    <x v="3"/>
    <s v="No"/>
    <s v="Yes"/>
    <n v="3"/>
    <n v="33.51"/>
    <n v="884.24"/>
    <x v="0"/>
  </r>
  <r>
    <x v="1124"/>
    <s v="Female"/>
    <n v="52"/>
    <s v="No"/>
    <x v="23"/>
    <x v="1"/>
    <x v="0"/>
    <x v="0"/>
    <s v="Yes"/>
    <s v="Yes"/>
    <n v="8"/>
    <n v="99.03"/>
    <n v="2775.21"/>
    <x v="0"/>
  </r>
  <r>
    <x v="1125"/>
    <s v="Female"/>
    <n v="51"/>
    <s v="No"/>
    <x v="61"/>
    <x v="2"/>
    <x v="1"/>
    <x v="0"/>
    <s v="No"/>
    <s v="No"/>
    <n v="4"/>
    <n v="45.09"/>
    <n v="2987.02"/>
    <x v="0"/>
  </r>
  <r>
    <x v="1126"/>
    <s v="Female"/>
    <n v="40"/>
    <s v="No"/>
    <x v="56"/>
    <x v="0"/>
    <x v="1"/>
    <x v="3"/>
    <s v="Yes"/>
    <s v="No"/>
    <n v="5"/>
    <n v="32.03"/>
    <n v="1381.12"/>
    <x v="0"/>
  </r>
  <r>
    <x v="1127"/>
    <s v="Female"/>
    <n v="47"/>
    <s v="No"/>
    <x v="27"/>
    <x v="0"/>
    <x v="0"/>
    <x v="3"/>
    <s v="No"/>
    <s v="No"/>
    <n v="6"/>
    <n v="91.99"/>
    <n v="6462.17"/>
    <x v="0"/>
  </r>
  <r>
    <x v="1128"/>
    <s v="Female"/>
    <n v="69"/>
    <s v="Yes"/>
    <x v="3"/>
    <x v="2"/>
    <x v="2"/>
    <x v="3"/>
    <s v="Yes"/>
    <s v="Yes"/>
    <n v="4"/>
    <n v="47.05"/>
    <n v="320.27"/>
    <x v="0"/>
  </r>
  <r>
    <x v="1129"/>
    <s v="Female"/>
    <n v="25"/>
    <s v="No"/>
    <x v="65"/>
    <x v="0"/>
    <x v="0"/>
    <x v="3"/>
    <s v="No"/>
    <s v="No"/>
    <n v="3"/>
    <n v="69.16"/>
    <n v="3304.19"/>
    <x v="1"/>
  </r>
  <r>
    <x v="1130"/>
    <s v="Female"/>
    <n v="39"/>
    <s v="No"/>
    <x v="14"/>
    <x v="0"/>
    <x v="1"/>
    <x v="1"/>
    <s v="No"/>
    <s v="No"/>
    <n v="4"/>
    <n v="45.67"/>
    <n v="420.03"/>
    <x v="1"/>
  </r>
  <r>
    <x v="1131"/>
    <s v="Female"/>
    <n v="61"/>
    <s v="Yes"/>
    <x v="58"/>
    <x v="0"/>
    <x v="0"/>
    <x v="2"/>
    <s v="No"/>
    <s v="Yes"/>
    <n v="3"/>
    <n v="75.87"/>
    <n v="2617.62"/>
    <x v="1"/>
  </r>
  <r>
    <x v="1132"/>
    <s v="Female"/>
    <n v="75"/>
    <s v="Yes"/>
    <x v="8"/>
    <x v="0"/>
    <x v="2"/>
    <x v="2"/>
    <s v="No"/>
    <s v="Yes"/>
    <n v="5"/>
    <n v="60.62"/>
    <n v="57.95"/>
    <x v="1"/>
  </r>
  <r>
    <x v="1133"/>
    <s v="Male"/>
    <n v="53"/>
    <s v="No"/>
    <x v="69"/>
    <x v="2"/>
    <x v="2"/>
    <x v="0"/>
    <s v="No"/>
    <s v="No"/>
    <n v="7"/>
    <n v="58.52"/>
    <n v="572.95000000000005"/>
    <x v="0"/>
  </r>
  <r>
    <x v="1134"/>
    <s v="Male"/>
    <n v="22"/>
    <s v="No"/>
    <x v="58"/>
    <x v="1"/>
    <x v="1"/>
    <x v="3"/>
    <s v="No"/>
    <s v="No"/>
    <n v="4"/>
    <n v="47.75"/>
    <n v="1795.48"/>
    <x v="0"/>
  </r>
  <r>
    <x v="1135"/>
    <s v="Male"/>
    <n v="30"/>
    <s v="No"/>
    <x v="16"/>
    <x v="0"/>
    <x v="0"/>
    <x v="1"/>
    <s v="No"/>
    <s v="No"/>
    <n v="5"/>
    <n v="86.04"/>
    <n v="3783.49"/>
    <x v="0"/>
  </r>
  <r>
    <x v="1136"/>
    <s v="Male"/>
    <n v="46"/>
    <s v="No"/>
    <x v="10"/>
    <x v="0"/>
    <x v="2"/>
    <x v="1"/>
    <s v="No"/>
    <s v="No"/>
    <n v="8"/>
    <n v="69"/>
    <n v="2309.5"/>
    <x v="0"/>
  </r>
  <r>
    <x v="1137"/>
    <s v="Female"/>
    <n v="48"/>
    <s v="No"/>
    <x v="10"/>
    <x v="1"/>
    <x v="0"/>
    <x v="1"/>
    <s v="No"/>
    <s v="No"/>
    <n v="3"/>
    <n v="68.27"/>
    <n v="2253.0100000000002"/>
    <x v="0"/>
  </r>
  <r>
    <x v="1138"/>
    <s v="Female"/>
    <n v="64"/>
    <s v="Yes"/>
    <x v="33"/>
    <x v="1"/>
    <x v="0"/>
    <x v="3"/>
    <s v="No"/>
    <s v="No"/>
    <n v="2"/>
    <n v="78.19"/>
    <n v="482.58"/>
    <x v="1"/>
  </r>
  <r>
    <x v="1139"/>
    <s v="Male"/>
    <n v="74"/>
    <s v="Yes"/>
    <x v="11"/>
    <x v="0"/>
    <x v="2"/>
    <x v="2"/>
    <s v="Yes"/>
    <s v="Yes"/>
    <n v="4"/>
    <n v="61.1"/>
    <n v="2920.95"/>
    <x v="0"/>
  </r>
  <r>
    <x v="1140"/>
    <s v="Female"/>
    <n v="72"/>
    <s v="Yes"/>
    <x v="52"/>
    <x v="2"/>
    <x v="0"/>
    <x v="3"/>
    <s v="No"/>
    <s v="Yes"/>
    <n v="7"/>
    <n v="81.48"/>
    <n v="3218.05"/>
    <x v="0"/>
  </r>
  <r>
    <x v="1141"/>
    <s v="Male"/>
    <n v="33"/>
    <s v="No"/>
    <x v="47"/>
    <x v="0"/>
    <x v="0"/>
    <x v="3"/>
    <s v="Yes"/>
    <s v="No"/>
    <n v="6"/>
    <n v="81.89"/>
    <n v="1283.77"/>
    <x v="0"/>
  </r>
  <r>
    <x v="1142"/>
    <s v="Female"/>
    <n v="59"/>
    <s v="No"/>
    <x v="5"/>
    <x v="0"/>
    <x v="1"/>
    <x v="0"/>
    <s v="No"/>
    <s v="No"/>
    <n v="1"/>
    <n v="42.7"/>
    <n v="1117.04"/>
    <x v="1"/>
  </r>
  <r>
    <x v="1143"/>
    <s v="Male"/>
    <n v="47"/>
    <s v="No"/>
    <x v="62"/>
    <x v="1"/>
    <x v="0"/>
    <x v="1"/>
    <s v="No"/>
    <s v="No"/>
    <n v="3"/>
    <n v="82.02"/>
    <n v="4556.03"/>
    <x v="0"/>
  </r>
  <r>
    <x v="1144"/>
    <s v="Female"/>
    <n v="74"/>
    <s v="Yes"/>
    <x v="32"/>
    <x v="0"/>
    <x v="2"/>
    <x v="1"/>
    <s v="No"/>
    <s v="No"/>
    <n v="6"/>
    <n v="67"/>
    <n v="3611.19"/>
    <x v="0"/>
  </r>
  <r>
    <x v="1145"/>
    <s v="Female"/>
    <n v="72"/>
    <s v="Yes"/>
    <x v="39"/>
    <x v="2"/>
    <x v="0"/>
    <x v="2"/>
    <s v="Yes"/>
    <s v="No"/>
    <n v="8"/>
    <n v="95.16"/>
    <n v="3065.49"/>
    <x v="0"/>
  </r>
  <r>
    <x v="1146"/>
    <s v="Male"/>
    <n v="33"/>
    <s v="No"/>
    <x v="26"/>
    <x v="1"/>
    <x v="0"/>
    <x v="2"/>
    <s v="Yes"/>
    <s v="Yes"/>
    <n v="6"/>
    <n v="71.77"/>
    <n v="1797.11"/>
    <x v="0"/>
  </r>
  <r>
    <x v="1147"/>
    <s v="Female"/>
    <n v="29"/>
    <s v="No"/>
    <x v="23"/>
    <x v="1"/>
    <x v="0"/>
    <x v="0"/>
    <s v="No"/>
    <s v="No"/>
    <n v="5"/>
    <n v="92.15"/>
    <n v="2755.17"/>
    <x v="0"/>
  </r>
  <r>
    <x v="1148"/>
    <s v="Male"/>
    <n v="34"/>
    <s v="No"/>
    <x v="48"/>
    <x v="0"/>
    <x v="2"/>
    <x v="3"/>
    <s v="No"/>
    <s v="No"/>
    <n v="5"/>
    <n v="59.84"/>
    <n v="949.81"/>
    <x v="1"/>
  </r>
  <r>
    <x v="1149"/>
    <s v="Male"/>
    <n v="33"/>
    <s v="No"/>
    <x v="12"/>
    <x v="0"/>
    <x v="2"/>
    <x v="2"/>
    <s v="No"/>
    <s v="Yes"/>
    <n v="4"/>
    <n v="53.34"/>
    <n v="197.08"/>
    <x v="1"/>
  </r>
  <r>
    <x v="1150"/>
    <s v="Male"/>
    <n v="29"/>
    <s v="No"/>
    <x v="5"/>
    <x v="0"/>
    <x v="0"/>
    <x v="1"/>
    <s v="No"/>
    <s v="Yes"/>
    <n v="2"/>
    <n v="76.25"/>
    <n v="2068.4899999999998"/>
    <x v="1"/>
  </r>
  <r>
    <x v="1151"/>
    <s v="Male"/>
    <n v="25"/>
    <s v="No"/>
    <x v="29"/>
    <x v="0"/>
    <x v="0"/>
    <x v="2"/>
    <s v="No"/>
    <s v="No"/>
    <n v="5"/>
    <n v="78.59"/>
    <n v="1881.27"/>
    <x v="0"/>
  </r>
  <r>
    <x v="1152"/>
    <s v="Female"/>
    <n v="37"/>
    <s v="No"/>
    <x v="13"/>
    <x v="1"/>
    <x v="1"/>
    <x v="3"/>
    <s v="Yes"/>
    <s v="No"/>
    <n v="1"/>
    <n v="20"/>
    <n v="397.61"/>
    <x v="0"/>
  </r>
  <r>
    <x v="1153"/>
    <s v="Female"/>
    <n v="20"/>
    <s v="No"/>
    <x v="47"/>
    <x v="2"/>
    <x v="0"/>
    <x v="3"/>
    <s v="No"/>
    <s v="Yes"/>
    <n v="3"/>
    <n v="77.87"/>
    <n v="1283.31"/>
    <x v="1"/>
  </r>
  <r>
    <x v="1154"/>
    <s v="Female"/>
    <n v="33"/>
    <s v="No"/>
    <x v="66"/>
    <x v="1"/>
    <x v="1"/>
    <x v="1"/>
    <s v="Yes"/>
    <s v="Yes"/>
    <n v="4"/>
    <n v="30.39"/>
    <n v="1362.3"/>
    <x v="0"/>
  </r>
  <r>
    <x v="1155"/>
    <s v="Male"/>
    <n v="47"/>
    <s v="No"/>
    <x v="41"/>
    <x v="2"/>
    <x v="0"/>
    <x v="3"/>
    <s v="No"/>
    <s v="No"/>
    <n v="2"/>
    <n v="70.59"/>
    <n v="3100.16"/>
    <x v="0"/>
  </r>
  <r>
    <x v="1156"/>
    <s v="Female"/>
    <n v="62"/>
    <s v="Yes"/>
    <x v="55"/>
    <x v="1"/>
    <x v="2"/>
    <x v="2"/>
    <s v="Yes"/>
    <s v="No"/>
    <n v="6"/>
    <n v="69.22"/>
    <n v="3128.69"/>
    <x v="0"/>
  </r>
  <r>
    <x v="1157"/>
    <s v="Male"/>
    <n v="40"/>
    <s v="No"/>
    <x v="32"/>
    <x v="0"/>
    <x v="0"/>
    <x v="1"/>
    <s v="No"/>
    <s v="No"/>
    <n v="4"/>
    <n v="77.06"/>
    <n v="4095.96"/>
    <x v="0"/>
  </r>
  <r>
    <x v="1158"/>
    <s v="Female"/>
    <n v="45"/>
    <s v="No"/>
    <x v="6"/>
    <x v="0"/>
    <x v="1"/>
    <x v="3"/>
    <s v="Yes"/>
    <s v="No"/>
    <n v="4"/>
    <n v="39.090000000000003"/>
    <n v="1489.58"/>
    <x v="0"/>
  </r>
  <r>
    <x v="1159"/>
    <s v="Female"/>
    <n v="68"/>
    <s v="Yes"/>
    <x v="49"/>
    <x v="1"/>
    <x v="2"/>
    <x v="1"/>
    <s v="No"/>
    <s v="No"/>
    <n v="3"/>
    <n v="65.86"/>
    <n v="2443.0300000000002"/>
    <x v="0"/>
  </r>
  <r>
    <x v="1160"/>
    <s v="Female"/>
    <n v="57"/>
    <s v="No"/>
    <x v="45"/>
    <x v="0"/>
    <x v="0"/>
    <x v="2"/>
    <s v="Yes"/>
    <s v="Yes"/>
    <n v="4"/>
    <n v="89.96"/>
    <n v="2110.7199999999998"/>
    <x v="0"/>
  </r>
  <r>
    <x v="1161"/>
    <s v="Male"/>
    <n v="71"/>
    <s v="Yes"/>
    <x v="40"/>
    <x v="0"/>
    <x v="0"/>
    <x v="0"/>
    <s v="No"/>
    <s v="No"/>
    <n v="3"/>
    <n v="68.58"/>
    <n v="3591.3"/>
    <x v="0"/>
  </r>
  <r>
    <x v="1162"/>
    <s v="Female"/>
    <n v="22"/>
    <s v="No"/>
    <x v="37"/>
    <x v="0"/>
    <x v="2"/>
    <x v="2"/>
    <s v="No"/>
    <s v="Yes"/>
    <n v="4"/>
    <n v="54.84"/>
    <n v="2375.21"/>
    <x v="0"/>
  </r>
  <r>
    <x v="1163"/>
    <s v="Female"/>
    <n v="37"/>
    <s v="No"/>
    <x v="18"/>
    <x v="2"/>
    <x v="2"/>
    <x v="0"/>
    <s v="Yes"/>
    <s v="No"/>
    <n v="5"/>
    <n v="59.22"/>
    <n v="3666.23"/>
    <x v="0"/>
  </r>
  <r>
    <x v="1164"/>
    <s v="Male"/>
    <n v="57"/>
    <s v="No"/>
    <x v="25"/>
    <x v="0"/>
    <x v="0"/>
    <x v="1"/>
    <s v="No"/>
    <s v="Yes"/>
    <n v="2"/>
    <n v="70.78"/>
    <n v="5201.6099999999997"/>
    <x v="0"/>
  </r>
  <r>
    <x v="1165"/>
    <s v="Female"/>
    <n v="73"/>
    <s v="Yes"/>
    <x v="66"/>
    <x v="1"/>
    <x v="0"/>
    <x v="1"/>
    <s v="No"/>
    <s v="No"/>
    <n v="3"/>
    <n v="74.430000000000007"/>
    <n v="3404.48"/>
    <x v="1"/>
  </r>
  <r>
    <x v="1166"/>
    <s v="Male"/>
    <n v="61"/>
    <s v="Yes"/>
    <x v="11"/>
    <x v="2"/>
    <x v="1"/>
    <x v="1"/>
    <s v="Yes"/>
    <s v="Yes"/>
    <n v="4"/>
    <n v="53.02"/>
    <n v="2424.39"/>
    <x v="0"/>
  </r>
  <r>
    <x v="1167"/>
    <s v="Female"/>
    <n v="18"/>
    <s v="No"/>
    <x v="22"/>
    <x v="0"/>
    <x v="0"/>
    <x v="1"/>
    <s v="Yes"/>
    <s v="No"/>
    <n v="4"/>
    <n v="77.7"/>
    <n v="2591.91"/>
    <x v="0"/>
  </r>
  <r>
    <x v="1168"/>
    <s v="Male"/>
    <n v="74"/>
    <s v="Yes"/>
    <x v="6"/>
    <x v="0"/>
    <x v="2"/>
    <x v="3"/>
    <s v="No"/>
    <s v="Yes"/>
    <n v="2"/>
    <n v="43.79"/>
    <n v="1768.52"/>
    <x v="0"/>
  </r>
  <r>
    <x v="1169"/>
    <s v="Male"/>
    <n v="47"/>
    <s v="No"/>
    <x v="31"/>
    <x v="0"/>
    <x v="2"/>
    <x v="1"/>
    <s v="Yes"/>
    <s v="Yes"/>
    <n v="3"/>
    <n v="50.88"/>
    <n v="3278.87"/>
    <x v="0"/>
  </r>
  <r>
    <x v="1170"/>
    <s v="Female"/>
    <n v="38"/>
    <s v="No"/>
    <x v="32"/>
    <x v="1"/>
    <x v="1"/>
    <x v="3"/>
    <s v="Yes"/>
    <s v="Yes"/>
    <n v="2"/>
    <n v="35.61"/>
    <n v="1789.61"/>
    <x v="0"/>
  </r>
  <r>
    <x v="1171"/>
    <s v="Male"/>
    <n v="37"/>
    <s v="No"/>
    <x v="51"/>
    <x v="1"/>
    <x v="1"/>
    <x v="0"/>
    <s v="Yes"/>
    <s v="No"/>
    <n v="1"/>
    <n v="27.2"/>
    <n v="1958.92"/>
    <x v="0"/>
  </r>
  <r>
    <x v="1172"/>
    <s v="Male"/>
    <n v="23"/>
    <s v="No"/>
    <x v="38"/>
    <x v="2"/>
    <x v="1"/>
    <x v="3"/>
    <s v="No"/>
    <s v="No"/>
    <n v="3"/>
    <n v="39.200000000000003"/>
    <n v="2546.69"/>
    <x v="0"/>
  </r>
  <r>
    <x v="1173"/>
    <s v="Male"/>
    <n v="39"/>
    <s v="No"/>
    <x v="43"/>
    <x v="1"/>
    <x v="0"/>
    <x v="3"/>
    <s v="No"/>
    <s v="No"/>
    <n v="6"/>
    <n v="85.29"/>
    <n v="5305.44"/>
    <x v="0"/>
  </r>
  <r>
    <x v="1174"/>
    <s v="Male"/>
    <n v="35"/>
    <s v="No"/>
    <x v="7"/>
    <x v="0"/>
    <x v="1"/>
    <x v="3"/>
    <s v="Yes"/>
    <s v="No"/>
    <n v="3"/>
    <n v="42.07"/>
    <n v="1439.73"/>
    <x v="0"/>
  </r>
  <r>
    <x v="1175"/>
    <s v="Male"/>
    <n v="25"/>
    <s v="No"/>
    <x v="17"/>
    <x v="0"/>
    <x v="0"/>
    <x v="2"/>
    <s v="No"/>
    <s v="No"/>
    <n v="8"/>
    <n v="94.38"/>
    <n v="1601.32"/>
    <x v="0"/>
  </r>
  <r>
    <x v="1176"/>
    <s v="Male"/>
    <n v="56"/>
    <s v="No"/>
    <x v="11"/>
    <x v="1"/>
    <x v="2"/>
    <x v="1"/>
    <s v="No"/>
    <s v="No"/>
    <n v="4"/>
    <n v="50.49"/>
    <n v="2551.87"/>
    <x v="0"/>
  </r>
  <r>
    <x v="1177"/>
    <s v="Female"/>
    <n v="49"/>
    <s v="No"/>
    <x v="69"/>
    <x v="0"/>
    <x v="2"/>
    <x v="0"/>
    <s v="Yes"/>
    <s v="No"/>
    <n v="1"/>
    <n v="44.57"/>
    <n v="428.15"/>
    <x v="0"/>
  </r>
  <r>
    <x v="1178"/>
    <s v="Male"/>
    <n v="50"/>
    <s v="No"/>
    <x v="52"/>
    <x v="0"/>
    <x v="0"/>
    <x v="0"/>
    <s v="Yes"/>
    <s v="No"/>
    <n v="5"/>
    <n v="98.48"/>
    <n v="3580.3"/>
    <x v="0"/>
  </r>
  <r>
    <x v="1179"/>
    <s v="Male"/>
    <n v="70"/>
    <s v="Yes"/>
    <x v="13"/>
    <x v="0"/>
    <x v="1"/>
    <x v="0"/>
    <s v="No"/>
    <s v="Yes"/>
    <n v="4"/>
    <n v="49.65"/>
    <n v="998.35"/>
    <x v="0"/>
  </r>
  <r>
    <x v="1180"/>
    <s v="Female"/>
    <n v="33"/>
    <s v="No"/>
    <x v="58"/>
    <x v="0"/>
    <x v="0"/>
    <x v="3"/>
    <s v="No"/>
    <s v="No"/>
    <n v="5"/>
    <n v="74.87"/>
    <n v="2516.21"/>
    <x v="0"/>
  </r>
  <r>
    <x v="1181"/>
    <s v="Female"/>
    <n v="29"/>
    <s v="No"/>
    <x v="24"/>
    <x v="0"/>
    <x v="2"/>
    <x v="0"/>
    <s v="No"/>
    <s v="Yes"/>
    <n v="4"/>
    <n v="71.45"/>
    <n v="4153.88"/>
    <x v="0"/>
  </r>
  <r>
    <x v="1182"/>
    <s v="Female"/>
    <n v="55"/>
    <s v="No"/>
    <x v="18"/>
    <x v="0"/>
    <x v="2"/>
    <x v="0"/>
    <s v="No"/>
    <s v="No"/>
    <n v="2"/>
    <n v="51.96"/>
    <n v="3441.43"/>
    <x v="1"/>
  </r>
  <r>
    <x v="1183"/>
    <s v="Female"/>
    <n v="69"/>
    <s v="Yes"/>
    <x v="16"/>
    <x v="0"/>
    <x v="2"/>
    <x v="0"/>
    <s v="No"/>
    <s v="Yes"/>
    <n v="4"/>
    <n v="55.58"/>
    <n v="2684.82"/>
    <x v="0"/>
  </r>
  <r>
    <x v="1184"/>
    <s v="Female"/>
    <n v="51"/>
    <s v="No"/>
    <x v="4"/>
    <x v="0"/>
    <x v="0"/>
    <x v="2"/>
    <s v="Yes"/>
    <s v="No"/>
    <n v="4"/>
    <n v="77.03"/>
    <n v="217.73"/>
    <x v="1"/>
  </r>
  <r>
    <x v="1185"/>
    <s v="Female"/>
    <n v="31"/>
    <s v="No"/>
    <x v="61"/>
    <x v="1"/>
    <x v="0"/>
    <x v="2"/>
    <s v="No"/>
    <s v="Yes"/>
    <n v="6"/>
    <n v="87.4"/>
    <n v="5669.83"/>
    <x v="0"/>
  </r>
  <r>
    <x v="1186"/>
    <s v="Female"/>
    <n v="53"/>
    <s v="No"/>
    <x v="9"/>
    <x v="2"/>
    <x v="1"/>
    <x v="1"/>
    <s v="No"/>
    <s v="No"/>
    <n v="2"/>
    <n v="40.590000000000003"/>
    <n v="323.67"/>
    <x v="0"/>
  </r>
  <r>
    <x v="1187"/>
    <s v="Male"/>
    <n v="50"/>
    <s v="No"/>
    <x v="42"/>
    <x v="0"/>
    <x v="0"/>
    <x v="1"/>
    <s v="No"/>
    <s v="No"/>
    <n v="7"/>
    <n v="92.33"/>
    <n v="4576.0200000000004"/>
    <x v="0"/>
  </r>
  <r>
    <x v="1188"/>
    <s v="Male"/>
    <n v="40"/>
    <s v="No"/>
    <x v="33"/>
    <x v="1"/>
    <x v="2"/>
    <x v="2"/>
    <s v="No"/>
    <s v="Yes"/>
    <n v="7"/>
    <n v="73.33"/>
    <n v="469.35"/>
    <x v="0"/>
  </r>
  <r>
    <x v="1189"/>
    <s v="Female"/>
    <n v="67"/>
    <s v="Yes"/>
    <x v="49"/>
    <x v="0"/>
    <x v="0"/>
    <x v="2"/>
    <s v="Yes"/>
    <s v="Yes"/>
    <n v="6"/>
    <n v="95.48"/>
    <n v="3814.95"/>
    <x v="1"/>
  </r>
  <r>
    <x v="1190"/>
    <s v="Male"/>
    <n v="62"/>
    <s v="Yes"/>
    <x v="34"/>
    <x v="0"/>
    <x v="2"/>
    <x v="1"/>
    <s v="No"/>
    <s v="No"/>
    <n v="3"/>
    <n v="52.21"/>
    <n v="3373.28"/>
    <x v="0"/>
  </r>
  <r>
    <x v="1191"/>
    <s v="Male"/>
    <n v="19"/>
    <s v="No"/>
    <x v="23"/>
    <x v="2"/>
    <x v="1"/>
    <x v="0"/>
    <s v="No"/>
    <s v="No"/>
    <n v="3"/>
    <n v="39.119999999999997"/>
    <n v="1019.43"/>
    <x v="0"/>
  </r>
  <r>
    <x v="1192"/>
    <s v="Male"/>
    <n v="58"/>
    <s v="No"/>
    <x v="62"/>
    <x v="1"/>
    <x v="2"/>
    <x v="2"/>
    <s v="No"/>
    <s v="No"/>
    <n v="5"/>
    <n v="66.069999999999993"/>
    <n v="3507.47"/>
    <x v="0"/>
  </r>
  <r>
    <x v="1193"/>
    <s v="Female"/>
    <n v="38"/>
    <s v="No"/>
    <x v="67"/>
    <x v="2"/>
    <x v="2"/>
    <x v="3"/>
    <s v="Yes"/>
    <s v="Yes"/>
    <n v="4"/>
    <n v="59.94"/>
    <n v="2336.6999999999998"/>
    <x v="0"/>
  </r>
  <r>
    <x v="1194"/>
    <s v="Female"/>
    <n v="19"/>
    <s v="No"/>
    <x v="14"/>
    <x v="0"/>
    <x v="0"/>
    <x v="1"/>
    <s v="No"/>
    <s v="No"/>
    <n v="2"/>
    <n v="74.489999999999995"/>
    <n v="662.12"/>
    <x v="1"/>
  </r>
  <r>
    <x v="1195"/>
    <s v="Male"/>
    <n v="44"/>
    <s v="No"/>
    <x v="64"/>
    <x v="0"/>
    <x v="2"/>
    <x v="3"/>
    <s v="Yes"/>
    <s v="No"/>
    <n v="5"/>
    <n v="58.16"/>
    <n v="3132.87"/>
    <x v="0"/>
  </r>
  <r>
    <x v="1196"/>
    <s v="Female"/>
    <n v="74"/>
    <s v="Yes"/>
    <x v="24"/>
    <x v="2"/>
    <x v="0"/>
    <x v="2"/>
    <s v="Yes"/>
    <s v="Yes"/>
    <n v="4"/>
    <n v="85.86"/>
    <n v="5469.22"/>
    <x v="0"/>
  </r>
  <r>
    <x v="1197"/>
    <s v="Male"/>
    <n v="26"/>
    <s v="No"/>
    <x v="2"/>
    <x v="0"/>
    <x v="0"/>
    <x v="2"/>
    <s v="Yes"/>
    <s v="Yes"/>
    <n v="4"/>
    <n v="75.12"/>
    <n v="159.21"/>
    <x v="1"/>
  </r>
  <r>
    <x v="1198"/>
    <s v="Male"/>
    <n v="18"/>
    <s v="No"/>
    <x v="31"/>
    <x v="0"/>
    <x v="0"/>
    <x v="3"/>
    <s v="No"/>
    <s v="No"/>
    <n v="2"/>
    <n v="74.180000000000007"/>
    <n v="4558.63"/>
    <x v="0"/>
  </r>
  <r>
    <x v="1199"/>
    <s v="Male"/>
    <n v="28"/>
    <s v="No"/>
    <x v="43"/>
    <x v="1"/>
    <x v="2"/>
    <x v="3"/>
    <s v="Yes"/>
    <s v="No"/>
    <n v="4"/>
    <n v="60.47"/>
    <n v="3541.89"/>
    <x v="0"/>
  </r>
  <r>
    <x v="1200"/>
    <s v="Male"/>
    <n v="20"/>
    <s v="No"/>
    <x v="34"/>
    <x v="2"/>
    <x v="2"/>
    <x v="1"/>
    <s v="No"/>
    <s v="Yes"/>
    <n v="2"/>
    <n v="46.19"/>
    <n v="2552.73"/>
    <x v="0"/>
  </r>
  <r>
    <x v="1201"/>
    <s v="Female"/>
    <n v="69"/>
    <s v="Yes"/>
    <x v="6"/>
    <x v="2"/>
    <x v="0"/>
    <x v="2"/>
    <s v="Yes"/>
    <s v="No"/>
    <n v="3"/>
    <n v="86.36"/>
    <n v="3720.25"/>
    <x v="0"/>
  </r>
  <r>
    <x v="1202"/>
    <s v="Female"/>
    <n v="40"/>
    <s v="No"/>
    <x v="58"/>
    <x v="0"/>
    <x v="0"/>
    <x v="1"/>
    <s v="Yes"/>
    <s v="Yes"/>
    <n v="3"/>
    <n v="87.02"/>
    <n v="3286.25"/>
    <x v="1"/>
  </r>
  <r>
    <x v="1203"/>
    <s v="Female"/>
    <n v="43"/>
    <s v="No"/>
    <x v="67"/>
    <x v="2"/>
    <x v="0"/>
    <x v="2"/>
    <s v="No"/>
    <s v="No"/>
    <n v="2"/>
    <n v="64.55"/>
    <n v="2211.3200000000002"/>
    <x v="1"/>
  </r>
  <r>
    <x v="1204"/>
    <s v="Male"/>
    <n v="21"/>
    <s v="No"/>
    <x v="68"/>
    <x v="0"/>
    <x v="1"/>
    <x v="0"/>
    <s v="Yes"/>
    <s v="No"/>
    <n v="2"/>
    <n v="38.6"/>
    <n v="658.82"/>
    <x v="0"/>
  </r>
  <r>
    <x v="1205"/>
    <s v="Female"/>
    <n v="35"/>
    <s v="No"/>
    <x v="18"/>
    <x v="0"/>
    <x v="2"/>
    <x v="2"/>
    <s v="No"/>
    <s v="Yes"/>
    <n v="2"/>
    <n v="50.14"/>
    <n v="3321.07"/>
    <x v="0"/>
  </r>
  <r>
    <x v="1206"/>
    <s v="Male"/>
    <n v="72"/>
    <s v="Yes"/>
    <x v="46"/>
    <x v="1"/>
    <x v="0"/>
    <x v="1"/>
    <s v="No"/>
    <s v="No"/>
    <n v="2"/>
    <n v="66.28"/>
    <n v="1361.77"/>
    <x v="0"/>
  </r>
  <r>
    <x v="1207"/>
    <s v="Female"/>
    <n v="23"/>
    <s v="No"/>
    <x v="15"/>
    <x v="0"/>
    <x v="0"/>
    <x v="0"/>
    <s v="No"/>
    <s v="No"/>
    <n v="5"/>
    <n v="85.58"/>
    <n v="1007.92"/>
    <x v="0"/>
  </r>
  <r>
    <x v="1208"/>
    <s v="Male"/>
    <n v="52"/>
    <s v="No"/>
    <x v="43"/>
    <x v="0"/>
    <x v="1"/>
    <x v="1"/>
    <s v="No"/>
    <s v="No"/>
    <n v="1"/>
    <n v="34.840000000000003"/>
    <n v="2182.34"/>
    <x v="0"/>
  </r>
  <r>
    <x v="1209"/>
    <s v="Male"/>
    <n v="39"/>
    <s v="No"/>
    <x v="44"/>
    <x v="1"/>
    <x v="0"/>
    <x v="3"/>
    <s v="No"/>
    <s v="Yes"/>
    <n v="6"/>
    <n v="88.13"/>
    <n v="5334"/>
    <x v="0"/>
  </r>
  <r>
    <x v="1210"/>
    <s v="Male"/>
    <n v="60"/>
    <s v="Yes"/>
    <x v="12"/>
    <x v="0"/>
    <x v="1"/>
    <x v="2"/>
    <s v="No"/>
    <s v="Yes"/>
    <n v="2"/>
    <n v="30.46"/>
    <n v="126.5"/>
    <x v="0"/>
  </r>
  <r>
    <x v="1211"/>
    <s v="Female"/>
    <n v="32"/>
    <s v="No"/>
    <x v="3"/>
    <x v="0"/>
    <x v="0"/>
    <x v="3"/>
    <s v="Yes"/>
    <s v="No"/>
    <n v="4"/>
    <n v="88.31"/>
    <n v="616.91"/>
    <x v="1"/>
  </r>
  <r>
    <x v="1212"/>
    <s v="Female"/>
    <n v="39"/>
    <s v="No"/>
    <x v="31"/>
    <x v="0"/>
    <x v="1"/>
    <x v="3"/>
    <s v="No"/>
    <s v="Yes"/>
    <n v="3"/>
    <n v="46.56"/>
    <n v="2650.41"/>
    <x v="0"/>
  </r>
  <r>
    <x v="1213"/>
    <s v="Female"/>
    <n v="54"/>
    <s v="No"/>
    <x v="62"/>
    <x v="0"/>
    <x v="1"/>
    <x v="1"/>
    <s v="No"/>
    <s v="No"/>
    <n v="1"/>
    <n v="24.22"/>
    <n v="1356.1"/>
    <x v="0"/>
  </r>
  <r>
    <x v="1214"/>
    <s v="Female"/>
    <n v="69"/>
    <s v="Yes"/>
    <x v="27"/>
    <x v="0"/>
    <x v="2"/>
    <x v="2"/>
    <s v="Yes"/>
    <s v="Yes"/>
    <n v="5"/>
    <n v="63.64"/>
    <n v="4256.1099999999997"/>
    <x v="0"/>
  </r>
  <r>
    <x v="1215"/>
    <s v="Male"/>
    <n v="59"/>
    <s v="No"/>
    <x v="8"/>
    <x v="1"/>
    <x v="0"/>
    <x v="3"/>
    <s v="Yes"/>
    <s v="No"/>
    <n v="4"/>
    <n v="67.95"/>
    <n v="68.709999999999994"/>
    <x v="1"/>
  </r>
  <r>
    <x v="1216"/>
    <s v="Female"/>
    <n v="29"/>
    <s v="No"/>
    <x v="60"/>
    <x v="1"/>
    <x v="0"/>
    <x v="3"/>
    <s v="Yes"/>
    <s v="Yes"/>
    <n v="2"/>
    <n v="76.849999999999994"/>
    <n v="4087.02"/>
    <x v="0"/>
  </r>
  <r>
    <x v="1217"/>
    <s v="Female"/>
    <n v="64"/>
    <s v="Yes"/>
    <x v="4"/>
    <x v="0"/>
    <x v="0"/>
    <x v="2"/>
    <s v="No"/>
    <s v="No"/>
    <n v="3"/>
    <n v="84.29"/>
    <n v="242.44"/>
    <x v="1"/>
  </r>
  <r>
    <x v="1218"/>
    <s v="Male"/>
    <n v="66"/>
    <s v="Yes"/>
    <x v="52"/>
    <x v="2"/>
    <x v="2"/>
    <x v="3"/>
    <s v="No"/>
    <s v="No"/>
    <n v="2"/>
    <n v="53.73"/>
    <n v="1984.34"/>
    <x v="0"/>
  </r>
  <r>
    <x v="1219"/>
    <s v="Male"/>
    <n v="59"/>
    <s v="No"/>
    <x v="8"/>
    <x v="0"/>
    <x v="0"/>
    <x v="0"/>
    <s v="No"/>
    <s v="Yes"/>
    <n v="4"/>
    <n v="71.75"/>
    <n v="75.349999999999994"/>
    <x v="0"/>
  </r>
  <r>
    <x v="1220"/>
    <s v="Male"/>
    <n v="55"/>
    <s v="No"/>
    <x v="52"/>
    <x v="0"/>
    <x v="0"/>
    <x v="3"/>
    <s v="No"/>
    <s v="No"/>
    <n v="4"/>
    <n v="90.31"/>
    <n v="3391.42"/>
    <x v="0"/>
  </r>
  <r>
    <x v="1221"/>
    <s v="Female"/>
    <n v="35"/>
    <s v="No"/>
    <x v="63"/>
    <x v="2"/>
    <x v="2"/>
    <x v="3"/>
    <s v="No"/>
    <s v="No"/>
    <n v="3"/>
    <n v="69.209999999999994"/>
    <n v="1946.62"/>
    <x v="0"/>
  </r>
  <r>
    <x v="1222"/>
    <s v="Male"/>
    <n v="62"/>
    <s v="Yes"/>
    <x v="30"/>
    <x v="0"/>
    <x v="2"/>
    <x v="2"/>
    <s v="No"/>
    <s v="Yes"/>
    <n v="5"/>
    <n v="59.98"/>
    <n v="296.68"/>
    <x v="1"/>
  </r>
  <r>
    <x v="1223"/>
    <s v="Male"/>
    <n v="52"/>
    <s v="No"/>
    <x v="19"/>
    <x v="2"/>
    <x v="0"/>
    <x v="2"/>
    <s v="Yes"/>
    <s v="No"/>
    <n v="6"/>
    <n v="90.12"/>
    <n v="1750.9"/>
    <x v="0"/>
  </r>
  <r>
    <x v="1224"/>
    <s v="Male"/>
    <n v="47"/>
    <s v="No"/>
    <x v="57"/>
    <x v="0"/>
    <x v="0"/>
    <x v="1"/>
    <s v="No"/>
    <s v="No"/>
    <n v="1"/>
    <n v="72.72"/>
    <n v="5485.8"/>
    <x v="0"/>
  </r>
  <r>
    <x v="1225"/>
    <s v="Female"/>
    <n v="41"/>
    <s v="No"/>
    <x v="51"/>
    <x v="1"/>
    <x v="1"/>
    <x v="0"/>
    <s v="No"/>
    <s v="Yes"/>
    <n v="2"/>
    <n v="38.51"/>
    <n v="2601.54"/>
    <x v="0"/>
  </r>
  <r>
    <x v="1226"/>
    <s v="Male"/>
    <n v="59"/>
    <s v="No"/>
    <x v="37"/>
    <x v="0"/>
    <x v="2"/>
    <x v="1"/>
    <s v="No"/>
    <s v="Yes"/>
    <n v="4"/>
    <n v="59.34"/>
    <n v="2612.64"/>
    <x v="0"/>
  </r>
  <r>
    <x v="1227"/>
    <s v="Female"/>
    <n v="47"/>
    <s v="No"/>
    <x v="39"/>
    <x v="0"/>
    <x v="2"/>
    <x v="1"/>
    <s v="No"/>
    <s v="No"/>
    <n v="5"/>
    <n v="75.59"/>
    <n v="2556.08"/>
    <x v="0"/>
  </r>
  <r>
    <x v="1228"/>
    <s v="Female"/>
    <n v="31"/>
    <s v="No"/>
    <x v="27"/>
    <x v="0"/>
    <x v="2"/>
    <x v="3"/>
    <s v="No"/>
    <s v="No"/>
    <n v="4"/>
    <n v="48.04"/>
    <n v="3519.46"/>
    <x v="0"/>
  </r>
  <r>
    <x v="1229"/>
    <s v="Male"/>
    <n v="23"/>
    <s v="No"/>
    <x v="25"/>
    <x v="1"/>
    <x v="0"/>
    <x v="2"/>
    <s v="Yes"/>
    <s v="No"/>
    <n v="3"/>
    <n v="64.13"/>
    <n v="4490.8500000000004"/>
    <x v="0"/>
  </r>
  <r>
    <x v="1230"/>
    <s v="Male"/>
    <n v="20"/>
    <s v="No"/>
    <x v="8"/>
    <x v="0"/>
    <x v="0"/>
    <x v="1"/>
    <s v="No"/>
    <s v="Yes"/>
    <n v="2"/>
    <n v="70.89"/>
    <n v="68.52"/>
    <x v="1"/>
  </r>
  <r>
    <x v="1231"/>
    <s v="Female"/>
    <n v="33"/>
    <s v="No"/>
    <x v="27"/>
    <x v="2"/>
    <x v="0"/>
    <x v="0"/>
    <s v="No"/>
    <s v="No"/>
    <n v="2"/>
    <n v="83.2"/>
    <n v="5590.93"/>
    <x v="0"/>
  </r>
  <r>
    <x v="1232"/>
    <s v="Male"/>
    <n v="24"/>
    <s v="No"/>
    <x v="1"/>
    <x v="0"/>
    <x v="1"/>
    <x v="2"/>
    <s v="No"/>
    <s v="Yes"/>
    <n v="5"/>
    <n v="53.12"/>
    <n v="612.80999999999995"/>
    <x v="0"/>
  </r>
  <r>
    <x v="1233"/>
    <s v="Male"/>
    <n v="69"/>
    <s v="Yes"/>
    <x v="34"/>
    <x v="0"/>
    <x v="2"/>
    <x v="2"/>
    <s v="Yes"/>
    <s v="No"/>
    <n v="7"/>
    <n v="60.55"/>
    <n v="3360.85"/>
    <x v="1"/>
  </r>
  <r>
    <x v="1234"/>
    <s v="Female"/>
    <n v="31"/>
    <s v="No"/>
    <x v="5"/>
    <x v="0"/>
    <x v="0"/>
    <x v="0"/>
    <s v="Yes"/>
    <s v="Yes"/>
    <n v="3"/>
    <n v="94.9"/>
    <n v="2702.52"/>
    <x v="1"/>
  </r>
  <r>
    <x v="1235"/>
    <s v="Female"/>
    <n v="26"/>
    <s v="No"/>
    <x v="64"/>
    <x v="1"/>
    <x v="1"/>
    <x v="2"/>
    <s v="No"/>
    <s v="No"/>
    <n v="4"/>
    <n v="44.88"/>
    <n v="2429.83"/>
    <x v="0"/>
  </r>
  <r>
    <x v="1236"/>
    <s v="Male"/>
    <n v="32"/>
    <s v="No"/>
    <x v="45"/>
    <x v="2"/>
    <x v="0"/>
    <x v="3"/>
    <s v="Yes"/>
    <s v="No"/>
    <n v="5"/>
    <n v="74.930000000000007"/>
    <n v="1816.7"/>
    <x v="1"/>
  </r>
  <r>
    <x v="1237"/>
    <s v="Female"/>
    <n v="38"/>
    <s v="No"/>
    <x v="26"/>
    <x v="0"/>
    <x v="1"/>
    <x v="1"/>
    <s v="Yes"/>
    <s v="No"/>
    <n v="1"/>
    <n v="28.36"/>
    <n v="706.57"/>
    <x v="1"/>
  </r>
  <r>
    <x v="1238"/>
    <s v="Male"/>
    <n v="52"/>
    <s v="No"/>
    <x v="19"/>
    <x v="1"/>
    <x v="1"/>
    <x v="1"/>
    <s v="No"/>
    <s v="No"/>
    <n v="5"/>
    <n v="51.77"/>
    <n v="1032.01"/>
    <x v="0"/>
  </r>
  <r>
    <x v="1239"/>
    <s v="Male"/>
    <n v="19"/>
    <s v="No"/>
    <x v="31"/>
    <x v="0"/>
    <x v="0"/>
    <x v="1"/>
    <s v="No"/>
    <s v="No"/>
    <n v="5"/>
    <n v="91.77"/>
    <n v="5868.35"/>
    <x v="1"/>
  </r>
  <r>
    <x v="1240"/>
    <s v="Male"/>
    <n v="44"/>
    <s v="No"/>
    <x v="18"/>
    <x v="1"/>
    <x v="0"/>
    <x v="0"/>
    <s v="No"/>
    <s v="No"/>
    <n v="1"/>
    <n v="66.540000000000006"/>
    <n v="4109.6000000000004"/>
    <x v="0"/>
  </r>
  <r>
    <x v="1241"/>
    <s v="Female"/>
    <n v="19"/>
    <s v="No"/>
    <x v="40"/>
    <x v="2"/>
    <x v="2"/>
    <x v="2"/>
    <s v="No"/>
    <s v="No"/>
    <n v="6"/>
    <n v="70.66"/>
    <n v="3796.44"/>
    <x v="0"/>
  </r>
  <r>
    <x v="1242"/>
    <s v="Male"/>
    <n v="52"/>
    <s v="No"/>
    <x v="26"/>
    <x v="0"/>
    <x v="2"/>
    <x v="2"/>
    <s v="No"/>
    <s v="Yes"/>
    <n v="5"/>
    <n v="62.13"/>
    <n v="1637.06"/>
    <x v="0"/>
  </r>
  <r>
    <x v="1243"/>
    <s v="Male"/>
    <n v="35"/>
    <s v="No"/>
    <x v="60"/>
    <x v="0"/>
    <x v="2"/>
    <x v="0"/>
    <s v="Yes"/>
    <s v="No"/>
    <n v="1"/>
    <n v="46.54"/>
    <n v="2749.32"/>
    <x v="0"/>
  </r>
  <r>
    <x v="1244"/>
    <s v="Male"/>
    <n v="31"/>
    <s v="No"/>
    <x v="16"/>
    <x v="2"/>
    <x v="1"/>
    <x v="0"/>
    <s v="No"/>
    <s v="No"/>
    <n v="4"/>
    <n v="46.07"/>
    <n v="1978.78"/>
    <x v="0"/>
  </r>
  <r>
    <x v="1245"/>
    <s v="Female"/>
    <n v="37"/>
    <s v="No"/>
    <x v="10"/>
    <x v="2"/>
    <x v="2"/>
    <x v="1"/>
    <s v="No"/>
    <s v="Yes"/>
    <n v="2"/>
    <n v="61.09"/>
    <n v="1801.11"/>
    <x v="0"/>
  </r>
  <r>
    <x v="1246"/>
    <s v="Female"/>
    <n v="35"/>
    <s v="No"/>
    <x v="60"/>
    <x v="1"/>
    <x v="0"/>
    <x v="3"/>
    <s v="No"/>
    <s v="Yes"/>
    <n v="4"/>
    <n v="71.040000000000006"/>
    <n v="3937.47"/>
    <x v="0"/>
  </r>
  <r>
    <x v="1247"/>
    <s v="Female"/>
    <n v="27"/>
    <s v="No"/>
    <x v="30"/>
    <x v="0"/>
    <x v="0"/>
    <x v="2"/>
    <s v="No"/>
    <s v="Yes"/>
    <n v="3"/>
    <n v="73.37"/>
    <n v="353.01"/>
    <x v="1"/>
  </r>
  <r>
    <x v="1248"/>
    <s v="Female"/>
    <n v="42"/>
    <s v="No"/>
    <x v="58"/>
    <x v="0"/>
    <x v="2"/>
    <x v="1"/>
    <s v="No"/>
    <s v="Yes"/>
    <n v="3"/>
    <n v="50.79"/>
    <n v="1819.4"/>
    <x v="1"/>
  </r>
  <r>
    <x v="1249"/>
    <s v="Female"/>
    <n v="19"/>
    <s v="No"/>
    <x v="65"/>
    <x v="0"/>
    <x v="0"/>
    <x v="1"/>
    <s v="No"/>
    <s v="No"/>
    <n v="5"/>
    <n v="75.94"/>
    <n v="3466.63"/>
    <x v="0"/>
  </r>
  <r>
    <x v="1250"/>
    <s v="Male"/>
    <n v="42"/>
    <s v="No"/>
    <x v="43"/>
    <x v="2"/>
    <x v="2"/>
    <x v="3"/>
    <s v="Yes"/>
    <s v="No"/>
    <n v="2"/>
    <n v="43.59"/>
    <n v="2528.86"/>
    <x v="0"/>
  </r>
  <r>
    <x v="1251"/>
    <s v="Female"/>
    <n v="71"/>
    <s v="Yes"/>
    <x v="49"/>
    <x v="1"/>
    <x v="0"/>
    <x v="3"/>
    <s v="No"/>
    <s v="No"/>
    <n v="5"/>
    <n v="83.17"/>
    <n v="3048.94"/>
    <x v="0"/>
  </r>
  <r>
    <x v="1252"/>
    <s v="Female"/>
    <n v="50"/>
    <s v="No"/>
    <x v="31"/>
    <x v="0"/>
    <x v="0"/>
    <x v="0"/>
    <s v="No"/>
    <s v="Yes"/>
    <n v="4"/>
    <n v="71.489999999999995"/>
    <n v="4597.1400000000003"/>
    <x v="0"/>
  </r>
  <r>
    <x v="1253"/>
    <s v="Female"/>
    <n v="53"/>
    <s v="No"/>
    <x v="14"/>
    <x v="0"/>
    <x v="0"/>
    <x v="3"/>
    <s v="No"/>
    <s v="No"/>
    <n v="6"/>
    <n v="79.25"/>
    <n v="742.86"/>
    <x v="0"/>
  </r>
  <r>
    <x v="1254"/>
    <s v="Male"/>
    <n v="48"/>
    <s v="No"/>
    <x v="33"/>
    <x v="0"/>
    <x v="2"/>
    <x v="3"/>
    <s v="No"/>
    <s v="No"/>
    <n v="3"/>
    <n v="53.74"/>
    <n v="300.47000000000003"/>
    <x v="1"/>
  </r>
  <r>
    <x v="1255"/>
    <s v="Female"/>
    <n v="31"/>
    <s v="No"/>
    <x v="39"/>
    <x v="0"/>
    <x v="0"/>
    <x v="1"/>
    <s v="Yes"/>
    <s v="No"/>
    <n v="4"/>
    <n v="72.14"/>
    <n v="2660.78"/>
    <x v="0"/>
  </r>
  <r>
    <x v="1256"/>
    <s v="Female"/>
    <n v="18"/>
    <s v="No"/>
    <x v="49"/>
    <x v="0"/>
    <x v="2"/>
    <x v="0"/>
    <s v="No"/>
    <s v="Yes"/>
    <n v="3"/>
    <n v="58.56"/>
    <n v="2219.88"/>
    <x v="0"/>
  </r>
  <r>
    <x v="1257"/>
    <s v="Male"/>
    <n v="63"/>
    <s v="Yes"/>
    <x v="46"/>
    <x v="0"/>
    <x v="2"/>
    <x v="0"/>
    <s v="No"/>
    <s v="No"/>
    <n v="8"/>
    <n v="71.650000000000006"/>
    <n v="1539.19"/>
    <x v="0"/>
  </r>
  <r>
    <x v="1258"/>
    <s v="Female"/>
    <n v="33"/>
    <s v="No"/>
    <x v="41"/>
    <x v="0"/>
    <x v="2"/>
    <x v="2"/>
    <s v="No"/>
    <s v="No"/>
    <n v="3"/>
    <n v="46.64"/>
    <n v="1814.27"/>
    <x v="0"/>
  </r>
  <r>
    <x v="1259"/>
    <s v="Male"/>
    <n v="71"/>
    <s v="Yes"/>
    <x v="30"/>
    <x v="0"/>
    <x v="2"/>
    <x v="2"/>
    <s v="Yes"/>
    <s v="No"/>
    <n v="4"/>
    <n v="75.28"/>
    <n v="396.59"/>
    <x v="0"/>
  </r>
  <r>
    <x v="1260"/>
    <s v="Male"/>
    <n v="63"/>
    <s v="Yes"/>
    <x v="55"/>
    <x v="0"/>
    <x v="0"/>
    <x v="2"/>
    <s v="No"/>
    <s v="No"/>
    <n v="5"/>
    <n v="68.069999999999993"/>
    <n v="2815.35"/>
    <x v="0"/>
  </r>
  <r>
    <x v="1261"/>
    <s v="Male"/>
    <n v="69"/>
    <s v="Yes"/>
    <x v="51"/>
    <x v="0"/>
    <x v="2"/>
    <x v="3"/>
    <s v="No"/>
    <s v="Yes"/>
    <n v="3"/>
    <n v="60.99"/>
    <n v="3791.35"/>
    <x v="0"/>
  </r>
  <r>
    <x v="1262"/>
    <s v="Male"/>
    <n v="20"/>
    <s v="No"/>
    <x v="20"/>
    <x v="0"/>
    <x v="0"/>
    <x v="3"/>
    <s v="No"/>
    <s v="No"/>
    <n v="3"/>
    <n v="77.42"/>
    <n v="2495.87"/>
    <x v="0"/>
  </r>
  <r>
    <x v="1263"/>
    <s v="Male"/>
    <n v="52"/>
    <s v="No"/>
    <x v="44"/>
    <x v="0"/>
    <x v="2"/>
    <x v="3"/>
    <s v="No"/>
    <s v="No"/>
    <n v="4"/>
    <n v="55.61"/>
    <n v="3045.96"/>
    <x v="0"/>
  </r>
  <r>
    <x v="1264"/>
    <s v="Female"/>
    <n v="58"/>
    <s v="No"/>
    <x v="63"/>
    <x v="0"/>
    <x v="0"/>
    <x v="2"/>
    <s v="No"/>
    <s v="No"/>
    <n v="2"/>
    <n v="64.650000000000006"/>
    <n v="2005.69"/>
    <x v="0"/>
  </r>
  <r>
    <x v="1265"/>
    <s v="Male"/>
    <n v="23"/>
    <s v="No"/>
    <x v="67"/>
    <x v="0"/>
    <x v="2"/>
    <x v="1"/>
    <s v="No"/>
    <s v="No"/>
    <n v="6"/>
    <n v="79.099999999999994"/>
    <n v="2833.63"/>
    <x v="1"/>
  </r>
  <r>
    <x v="1266"/>
    <s v="Male"/>
    <n v="42"/>
    <s v="No"/>
    <x v="21"/>
    <x v="0"/>
    <x v="1"/>
    <x v="3"/>
    <s v="No"/>
    <s v="No"/>
    <n v="3"/>
    <n v="51.87"/>
    <n v="710.07"/>
    <x v="1"/>
  </r>
  <r>
    <x v="1267"/>
    <s v="Female"/>
    <n v="30"/>
    <s v="No"/>
    <x v="10"/>
    <x v="1"/>
    <x v="2"/>
    <x v="3"/>
    <s v="No"/>
    <s v="No"/>
    <n v="7"/>
    <n v="68.95"/>
    <n v="2264.37"/>
    <x v="0"/>
  </r>
  <r>
    <x v="1268"/>
    <s v="Male"/>
    <n v="70"/>
    <s v="Yes"/>
    <x v="16"/>
    <x v="2"/>
    <x v="2"/>
    <x v="3"/>
    <s v="No"/>
    <s v="Yes"/>
    <n v="7"/>
    <n v="67.930000000000007"/>
    <n v="3305.41"/>
    <x v="0"/>
  </r>
  <r>
    <x v="1269"/>
    <s v="Female"/>
    <n v="51"/>
    <s v="No"/>
    <x v="45"/>
    <x v="1"/>
    <x v="2"/>
    <x v="1"/>
    <s v="No"/>
    <s v="Yes"/>
    <n v="5"/>
    <n v="70.900000000000006"/>
    <n v="1754.92"/>
    <x v="0"/>
  </r>
  <r>
    <x v="1270"/>
    <s v="Female"/>
    <n v="25"/>
    <s v="No"/>
    <x v="56"/>
    <x v="0"/>
    <x v="0"/>
    <x v="3"/>
    <s v="No"/>
    <s v="No"/>
    <n v="4"/>
    <n v="77.28"/>
    <n v="3684.3"/>
    <x v="0"/>
  </r>
  <r>
    <x v="1271"/>
    <s v="Female"/>
    <n v="38"/>
    <s v="No"/>
    <x v="47"/>
    <x v="2"/>
    <x v="1"/>
    <x v="2"/>
    <s v="No"/>
    <s v="No"/>
    <n v="1"/>
    <n v="33.08"/>
    <n v="553.69000000000005"/>
    <x v="1"/>
  </r>
  <r>
    <x v="1272"/>
    <s v="Male"/>
    <n v="51"/>
    <s v="No"/>
    <x v="36"/>
    <x v="1"/>
    <x v="0"/>
    <x v="0"/>
    <s v="Yes"/>
    <s v="No"/>
    <n v="3"/>
    <n v="78.91"/>
    <n v="5470.13"/>
    <x v="0"/>
  </r>
  <r>
    <x v="1273"/>
    <s v="Male"/>
    <n v="21"/>
    <s v="No"/>
    <x v="33"/>
    <x v="0"/>
    <x v="1"/>
    <x v="2"/>
    <s v="No"/>
    <s v="No"/>
    <n v="5"/>
    <n v="45.26"/>
    <n v="280.76"/>
    <x v="0"/>
  </r>
  <r>
    <x v="1274"/>
    <s v="Male"/>
    <n v="42"/>
    <s v="No"/>
    <x v="68"/>
    <x v="0"/>
    <x v="2"/>
    <x v="0"/>
    <s v="No"/>
    <s v="Yes"/>
    <n v="4"/>
    <n v="60.16"/>
    <n v="1006.92"/>
    <x v="0"/>
  </r>
  <r>
    <x v="1275"/>
    <s v="Female"/>
    <n v="32"/>
    <s v="No"/>
    <x v="46"/>
    <x v="2"/>
    <x v="2"/>
    <x v="2"/>
    <s v="No"/>
    <s v="No"/>
    <n v="6"/>
    <n v="69.59"/>
    <n v="1636.25"/>
    <x v="0"/>
  </r>
  <r>
    <x v="1276"/>
    <s v="Male"/>
    <n v="21"/>
    <s v="No"/>
    <x v="7"/>
    <x v="0"/>
    <x v="2"/>
    <x v="3"/>
    <s v="Yes"/>
    <s v="No"/>
    <n v="4"/>
    <n v="51.38"/>
    <n v="1686.31"/>
    <x v="0"/>
  </r>
  <r>
    <x v="1277"/>
    <s v="Male"/>
    <n v="62"/>
    <s v="Yes"/>
    <x v="20"/>
    <x v="0"/>
    <x v="2"/>
    <x v="3"/>
    <s v="Yes"/>
    <s v="Yes"/>
    <n v="6"/>
    <n v="62.24"/>
    <n v="1757.99"/>
    <x v="0"/>
  </r>
  <r>
    <x v="1278"/>
    <s v="Male"/>
    <n v="29"/>
    <s v="No"/>
    <x v="10"/>
    <x v="1"/>
    <x v="2"/>
    <x v="1"/>
    <s v="Yes"/>
    <s v="No"/>
    <n v="3"/>
    <n v="56.58"/>
    <n v="1788.94"/>
    <x v="0"/>
  </r>
  <r>
    <x v="1279"/>
    <s v="Female"/>
    <n v="49"/>
    <s v="No"/>
    <x v="55"/>
    <x v="2"/>
    <x v="0"/>
    <x v="1"/>
    <s v="Yes"/>
    <s v="No"/>
    <n v="3"/>
    <n v="71.819999999999993"/>
    <n v="3066.22"/>
    <x v="0"/>
  </r>
  <r>
    <x v="1280"/>
    <s v="Female"/>
    <n v="49"/>
    <s v="No"/>
    <x v="69"/>
    <x v="0"/>
    <x v="2"/>
    <x v="3"/>
    <s v="No"/>
    <s v="No"/>
    <n v="6"/>
    <n v="86.44"/>
    <n v="874.49"/>
    <x v="1"/>
  </r>
  <r>
    <x v="1281"/>
    <s v="Male"/>
    <n v="45"/>
    <s v="No"/>
    <x v="58"/>
    <x v="0"/>
    <x v="2"/>
    <x v="0"/>
    <s v="Yes"/>
    <s v="No"/>
    <n v="6"/>
    <n v="67.930000000000007"/>
    <n v="2474.75"/>
    <x v="0"/>
  </r>
  <r>
    <x v="1282"/>
    <s v="Male"/>
    <n v="30"/>
    <s v="No"/>
    <x v="22"/>
    <x v="0"/>
    <x v="1"/>
    <x v="0"/>
    <s v="Yes"/>
    <s v="Yes"/>
    <n v="5"/>
    <n v="32.83"/>
    <n v="1072.6099999999999"/>
    <x v="0"/>
  </r>
  <r>
    <x v="1283"/>
    <s v="Male"/>
    <n v="48"/>
    <s v="No"/>
    <x v="23"/>
    <x v="1"/>
    <x v="2"/>
    <x v="1"/>
    <s v="Yes"/>
    <s v="No"/>
    <n v="5"/>
    <n v="43.3"/>
    <n v="1238.1400000000001"/>
    <x v="0"/>
  </r>
  <r>
    <x v="1284"/>
    <s v="Male"/>
    <n v="31"/>
    <s v="No"/>
    <x v="15"/>
    <x v="0"/>
    <x v="0"/>
    <x v="2"/>
    <s v="No"/>
    <s v="No"/>
    <n v="4"/>
    <n v="84.75"/>
    <n v="993.02"/>
    <x v="0"/>
  </r>
  <r>
    <x v="1285"/>
    <s v="Female"/>
    <n v="37"/>
    <s v="No"/>
    <x v="49"/>
    <x v="0"/>
    <x v="0"/>
    <x v="2"/>
    <s v="No"/>
    <s v="No"/>
    <n v="5"/>
    <n v="83.99"/>
    <n v="3217.26"/>
    <x v="0"/>
  </r>
  <r>
    <x v="1286"/>
    <s v="Female"/>
    <n v="35"/>
    <s v="No"/>
    <x v="37"/>
    <x v="2"/>
    <x v="2"/>
    <x v="1"/>
    <s v="Yes"/>
    <s v="No"/>
    <n v="5"/>
    <n v="73.08"/>
    <n v="3506.52"/>
    <x v="0"/>
  </r>
  <r>
    <x v="1287"/>
    <s v="Female"/>
    <n v="46"/>
    <s v="No"/>
    <x v="13"/>
    <x v="0"/>
    <x v="0"/>
    <x v="3"/>
    <s v="No"/>
    <s v="Yes"/>
    <n v="6"/>
    <n v="82.49"/>
    <n v="1503.11"/>
    <x v="0"/>
  </r>
  <r>
    <x v="1288"/>
    <s v="Female"/>
    <n v="23"/>
    <s v="No"/>
    <x v="48"/>
    <x v="1"/>
    <x v="0"/>
    <x v="2"/>
    <s v="No"/>
    <s v="No"/>
    <n v="5"/>
    <n v="82.16"/>
    <n v="1143.33"/>
    <x v="0"/>
  </r>
  <r>
    <x v="1289"/>
    <s v="Male"/>
    <n v="49"/>
    <s v="No"/>
    <x v="23"/>
    <x v="0"/>
    <x v="1"/>
    <x v="3"/>
    <s v="Yes"/>
    <s v="Yes"/>
    <n v="6"/>
    <n v="50.95"/>
    <n v="1446.17"/>
    <x v="0"/>
  </r>
  <r>
    <x v="1290"/>
    <s v="Male"/>
    <n v="46"/>
    <s v="No"/>
    <x v="70"/>
    <x v="0"/>
    <x v="2"/>
    <x v="1"/>
    <s v="No"/>
    <s v="Yes"/>
    <n v="5"/>
    <n v="61.91"/>
    <n v="1378.28"/>
    <x v="0"/>
  </r>
  <r>
    <x v="1291"/>
    <s v="Male"/>
    <n v="60"/>
    <s v="Yes"/>
    <x v="50"/>
    <x v="1"/>
    <x v="2"/>
    <x v="3"/>
    <s v="Yes"/>
    <s v="No"/>
    <n v="2"/>
    <n v="49.34"/>
    <n v="3679.56"/>
    <x v="0"/>
  </r>
  <r>
    <x v="1292"/>
    <s v="Female"/>
    <n v="19"/>
    <s v="No"/>
    <x v="14"/>
    <x v="0"/>
    <x v="0"/>
    <x v="1"/>
    <s v="No"/>
    <s v="No"/>
    <n v="3"/>
    <n v="80.08"/>
    <n v="740.36"/>
    <x v="1"/>
  </r>
  <r>
    <x v="1293"/>
    <s v="Male"/>
    <n v="40"/>
    <s v="No"/>
    <x v="37"/>
    <x v="0"/>
    <x v="2"/>
    <x v="1"/>
    <s v="Yes"/>
    <s v="Yes"/>
    <n v="3"/>
    <n v="49.16"/>
    <n v="2262.21"/>
    <x v="0"/>
  </r>
  <r>
    <x v="1294"/>
    <s v="Female"/>
    <n v="36"/>
    <s v="No"/>
    <x v="7"/>
    <x v="0"/>
    <x v="0"/>
    <x v="1"/>
    <s v="No"/>
    <s v="No"/>
    <n v="2"/>
    <n v="74.75"/>
    <n v="2431.7399999999998"/>
    <x v="0"/>
  </r>
  <r>
    <x v="1295"/>
    <s v="Female"/>
    <n v="48"/>
    <s v="No"/>
    <x v="38"/>
    <x v="1"/>
    <x v="2"/>
    <x v="3"/>
    <s v="Yes"/>
    <s v="No"/>
    <n v="4"/>
    <n v="71.8"/>
    <n v="4749.1499999999996"/>
    <x v="0"/>
  </r>
  <r>
    <x v="1296"/>
    <s v="Male"/>
    <n v="68"/>
    <s v="Yes"/>
    <x v="13"/>
    <x v="2"/>
    <x v="0"/>
    <x v="1"/>
    <s v="No"/>
    <s v="Yes"/>
    <n v="6"/>
    <n v="98.59"/>
    <n v="1727.29"/>
    <x v="0"/>
  </r>
  <r>
    <x v="1297"/>
    <s v="Male"/>
    <n v="22"/>
    <s v="No"/>
    <x v="51"/>
    <x v="2"/>
    <x v="1"/>
    <x v="2"/>
    <s v="No"/>
    <s v="No"/>
    <n v="5"/>
    <n v="32.36"/>
    <n v="2190.08"/>
    <x v="0"/>
  </r>
  <r>
    <x v="1298"/>
    <s v="Male"/>
    <n v="36"/>
    <s v="No"/>
    <x v="6"/>
    <x v="0"/>
    <x v="2"/>
    <x v="1"/>
    <s v="Yes"/>
    <s v="Yes"/>
    <n v="5"/>
    <n v="59.57"/>
    <n v="2544.21"/>
    <x v="0"/>
  </r>
  <r>
    <x v="1299"/>
    <s v="Female"/>
    <n v="51"/>
    <s v="No"/>
    <x v="37"/>
    <x v="0"/>
    <x v="0"/>
    <x v="1"/>
    <s v="No"/>
    <s v="No"/>
    <n v="7"/>
    <n v="93.03"/>
    <n v="4662.03"/>
    <x v="0"/>
  </r>
  <r>
    <x v="1300"/>
    <s v="Male"/>
    <n v="27"/>
    <s v="No"/>
    <x v="61"/>
    <x v="0"/>
    <x v="2"/>
    <x v="0"/>
    <s v="No"/>
    <s v="No"/>
    <n v="3"/>
    <n v="63.95"/>
    <n v="4213.05"/>
    <x v="0"/>
  </r>
  <r>
    <x v="1301"/>
    <s v="Female"/>
    <n v="42"/>
    <s v="No"/>
    <x v="63"/>
    <x v="2"/>
    <x v="2"/>
    <x v="1"/>
    <s v="No"/>
    <s v="No"/>
    <n v="5"/>
    <n v="64.47"/>
    <n v="1834.1"/>
    <x v="0"/>
  </r>
  <r>
    <x v="1302"/>
    <s v="Male"/>
    <n v="19"/>
    <s v="No"/>
    <x v="32"/>
    <x v="0"/>
    <x v="0"/>
    <x v="3"/>
    <s v="Yes"/>
    <s v="No"/>
    <n v="4"/>
    <n v="87.96"/>
    <n v="4115.76"/>
    <x v="0"/>
  </r>
  <r>
    <x v="1303"/>
    <s v="Female"/>
    <n v="28"/>
    <s v="No"/>
    <x v="21"/>
    <x v="2"/>
    <x v="2"/>
    <x v="0"/>
    <s v="Yes"/>
    <s v="Yes"/>
    <n v="2"/>
    <n v="46.31"/>
    <n v="570.61"/>
    <x v="0"/>
  </r>
  <r>
    <x v="1304"/>
    <s v="Female"/>
    <n v="67"/>
    <s v="Yes"/>
    <x v="8"/>
    <x v="0"/>
    <x v="0"/>
    <x v="1"/>
    <s v="No"/>
    <s v="No"/>
    <n v="4"/>
    <n v="81.31"/>
    <n v="83.65"/>
    <x v="1"/>
  </r>
  <r>
    <x v="1305"/>
    <s v="Male"/>
    <n v="48"/>
    <s v="No"/>
    <x v="22"/>
    <x v="2"/>
    <x v="1"/>
    <x v="1"/>
    <s v="No"/>
    <s v="No"/>
    <n v="4"/>
    <n v="43.48"/>
    <n v="1363.99"/>
    <x v="0"/>
  </r>
  <r>
    <x v="1306"/>
    <s v="Female"/>
    <n v="73"/>
    <s v="Yes"/>
    <x v="11"/>
    <x v="2"/>
    <x v="1"/>
    <x v="0"/>
    <s v="No"/>
    <s v="No"/>
    <n v="3"/>
    <n v="46.19"/>
    <n v="2353.16"/>
    <x v="0"/>
  </r>
  <r>
    <x v="1307"/>
    <s v="Female"/>
    <n v="32"/>
    <s v="No"/>
    <x v="11"/>
    <x v="2"/>
    <x v="0"/>
    <x v="1"/>
    <s v="Yes"/>
    <s v="No"/>
    <n v="5"/>
    <n v="89.36"/>
    <n v="4349.63"/>
    <x v="0"/>
  </r>
  <r>
    <x v="1308"/>
    <s v="Male"/>
    <n v="26"/>
    <s v="No"/>
    <x v="65"/>
    <x v="0"/>
    <x v="1"/>
    <x v="2"/>
    <s v="No"/>
    <s v="No"/>
    <n v="7"/>
    <n v="57.83"/>
    <n v="2627.45"/>
    <x v="0"/>
  </r>
  <r>
    <x v="1309"/>
    <s v="Female"/>
    <n v="40"/>
    <s v="No"/>
    <x v="59"/>
    <x v="0"/>
    <x v="0"/>
    <x v="3"/>
    <s v="No"/>
    <s v="No"/>
    <n v="7"/>
    <n v="96.95"/>
    <n v="5946.45"/>
    <x v="0"/>
  </r>
  <r>
    <x v="1310"/>
    <s v="Male"/>
    <n v="36"/>
    <s v="No"/>
    <x v="31"/>
    <x v="0"/>
    <x v="0"/>
    <x v="3"/>
    <s v="No"/>
    <s v="Yes"/>
    <n v="2"/>
    <n v="62.53"/>
    <n v="3871.82"/>
    <x v="0"/>
  </r>
  <r>
    <x v="1311"/>
    <s v="Female"/>
    <n v="26"/>
    <s v="No"/>
    <x v="63"/>
    <x v="0"/>
    <x v="1"/>
    <x v="3"/>
    <s v="No"/>
    <s v="No"/>
    <n v="6"/>
    <n v="47.8"/>
    <n v="1283.2"/>
    <x v="0"/>
  </r>
  <r>
    <x v="1312"/>
    <s v="Male"/>
    <n v="52"/>
    <s v="No"/>
    <x v="49"/>
    <x v="0"/>
    <x v="2"/>
    <x v="3"/>
    <s v="Yes"/>
    <s v="No"/>
    <n v="3"/>
    <n v="47.97"/>
    <n v="1954.64"/>
    <x v="0"/>
  </r>
  <r>
    <x v="1313"/>
    <s v="Male"/>
    <n v="38"/>
    <s v="No"/>
    <x v="29"/>
    <x v="0"/>
    <x v="2"/>
    <x v="2"/>
    <s v="Yes"/>
    <s v="No"/>
    <n v="5"/>
    <n v="58.43"/>
    <n v="1621.25"/>
    <x v="0"/>
  </r>
  <r>
    <x v="1314"/>
    <s v="Female"/>
    <n v="26"/>
    <s v="No"/>
    <x v="47"/>
    <x v="0"/>
    <x v="0"/>
    <x v="1"/>
    <s v="Yes"/>
    <s v="No"/>
    <n v="7"/>
    <n v="89.78"/>
    <n v="1638.89"/>
    <x v="0"/>
  </r>
  <r>
    <x v="1315"/>
    <s v="Female"/>
    <n v="45"/>
    <s v="No"/>
    <x v="57"/>
    <x v="1"/>
    <x v="0"/>
    <x v="1"/>
    <s v="No"/>
    <s v="Yes"/>
    <n v="3"/>
    <n v="59.21"/>
    <n v="4361.08"/>
    <x v="0"/>
  </r>
  <r>
    <x v="1316"/>
    <s v="Female"/>
    <n v="63"/>
    <s v="Yes"/>
    <x v="21"/>
    <x v="1"/>
    <x v="1"/>
    <x v="1"/>
    <s v="Yes"/>
    <s v="No"/>
    <n v="3"/>
    <n v="36.04"/>
    <n v="495.27"/>
    <x v="0"/>
  </r>
  <r>
    <x v="1317"/>
    <s v="Female"/>
    <n v="68"/>
    <s v="Yes"/>
    <x v="25"/>
    <x v="0"/>
    <x v="0"/>
    <x v="1"/>
    <s v="No"/>
    <s v="No"/>
    <n v="4"/>
    <n v="73.52"/>
    <n v="5162.74"/>
    <x v="0"/>
  </r>
  <r>
    <x v="1318"/>
    <s v="Female"/>
    <n v="24"/>
    <s v="No"/>
    <x v="29"/>
    <x v="2"/>
    <x v="0"/>
    <x v="1"/>
    <s v="No"/>
    <s v="No"/>
    <n v="4"/>
    <n v="71.61"/>
    <n v="1849.51"/>
    <x v="0"/>
  </r>
  <r>
    <x v="1319"/>
    <s v="Male"/>
    <n v="33"/>
    <s v="No"/>
    <x v="65"/>
    <x v="0"/>
    <x v="2"/>
    <x v="3"/>
    <s v="No"/>
    <s v="No"/>
    <n v="3"/>
    <n v="55.67"/>
    <n v="2820.85"/>
    <x v="0"/>
  </r>
  <r>
    <x v="1320"/>
    <s v="Female"/>
    <n v="33"/>
    <s v="No"/>
    <x v="51"/>
    <x v="0"/>
    <x v="2"/>
    <x v="0"/>
    <s v="No"/>
    <s v="Yes"/>
    <n v="7"/>
    <n v="68.28"/>
    <n v="4372.87"/>
    <x v="0"/>
  </r>
  <r>
    <x v="1321"/>
    <s v="Male"/>
    <n v="50"/>
    <s v="No"/>
    <x v="3"/>
    <x v="0"/>
    <x v="2"/>
    <x v="2"/>
    <s v="Yes"/>
    <s v="Yes"/>
    <n v="4"/>
    <n v="61.39"/>
    <n v="402.9"/>
    <x v="0"/>
  </r>
  <r>
    <x v="1322"/>
    <s v="Male"/>
    <n v="21"/>
    <s v="No"/>
    <x v="43"/>
    <x v="2"/>
    <x v="0"/>
    <x v="1"/>
    <s v="No"/>
    <s v="No"/>
    <n v="3"/>
    <n v="70.459999999999994"/>
    <n v="4257.8999999999996"/>
    <x v="0"/>
  </r>
  <r>
    <x v="1323"/>
    <s v="Female"/>
    <n v="21"/>
    <s v="No"/>
    <x v="65"/>
    <x v="0"/>
    <x v="0"/>
    <x v="1"/>
    <s v="No"/>
    <s v="No"/>
    <n v="5"/>
    <n v="81.77"/>
    <n v="4300.46"/>
    <x v="0"/>
  </r>
  <r>
    <x v="1324"/>
    <s v="Male"/>
    <n v="56"/>
    <s v="No"/>
    <x v="53"/>
    <x v="0"/>
    <x v="0"/>
    <x v="2"/>
    <s v="No"/>
    <s v="No"/>
    <n v="7"/>
    <n v="108.21"/>
    <n v="5806.23"/>
    <x v="0"/>
  </r>
  <r>
    <x v="1325"/>
    <s v="Male"/>
    <n v="57"/>
    <s v="No"/>
    <x v="61"/>
    <x v="1"/>
    <x v="1"/>
    <x v="2"/>
    <s v="No"/>
    <s v="No"/>
    <n v="1"/>
    <n v="33.36"/>
    <n v="2162.34"/>
    <x v="0"/>
  </r>
  <r>
    <x v="1326"/>
    <s v="Male"/>
    <n v="34"/>
    <s v="No"/>
    <x v="38"/>
    <x v="0"/>
    <x v="0"/>
    <x v="0"/>
    <s v="No"/>
    <s v="Yes"/>
    <n v="6"/>
    <n v="81.08"/>
    <n v="5054.63"/>
    <x v="0"/>
  </r>
  <r>
    <x v="1327"/>
    <s v="Male"/>
    <n v="54"/>
    <s v="No"/>
    <x v="47"/>
    <x v="1"/>
    <x v="2"/>
    <x v="3"/>
    <s v="No"/>
    <s v="No"/>
    <n v="3"/>
    <n v="63.68"/>
    <n v="1078.83"/>
    <x v="0"/>
  </r>
  <r>
    <x v="1328"/>
    <s v="Female"/>
    <n v="56"/>
    <s v="No"/>
    <x v="66"/>
    <x v="2"/>
    <x v="2"/>
    <x v="2"/>
    <s v="Yes"/>
    <s v="No"/>
    <n v="4"/>
    <n v="69.84"/>
    <n v="2975.35"/>
    <x v="0"/>
  </r>
  <r>
    <x v="1329"/>
    <s v="Male"/>
    <n v="69"/>
    <s v="Yes"/>
    <x v="26"/>
    <x v="2"/>
    <x v="1"/>
    <x v="0"/>
    <s v="No"/>
    <s v="No"/>
    <n v="2"/>
    <n v="37.19"/>
    <n v="996.25"/>
    <x v="0"/>
  </r>
  <r>
    <x v="1330"/>
    <s v="Female"/>
    <n v="46"/>
    <s v="No"/>
    <x v="4"/>
    <x v="0"/>
    <x v="1"/>
    <x v="1"/>
    <s v="Yes"/>
    <s v="Yes"/>
    <n v="3"/>
    <n v="31.53"/>
    <n v="94.28"/>
    <x v="0"/>
  </r>
  <r>
    <x v="1331"/>
    <s v="Female"/>
    <n v="69"/>
    <s v="Yes"/>
    <x v="63"/>
    <x v="0"/>
    <x v="0"/>
    <x v="2"/>
    <s v="No"/>
    <s v="Yes"/>
    <n v="4"/>
    <n v="86.23"/>
    <n v="2333.0700000000002"/>
    <x v="1"/>
  </r>
  <r>
    <x v="1332"/>
    <s v="Male"/>
    <n v="53"/>
    <s v="No"/>
    <x v="10"/>
    <x v="0"/>
    <x v="0"/>
    <x v="3"/>
    <s v="No"/>
    <s v="No"/>
    <n v="4"/>
    <n v="74.959999999999994"/>
    <n v="2500.62"/>
    <x v="1"/>
  </r>
  <r>
    <x v="1333"/>
    <s v="Female"/>
    <n v="55"/>
    <s v="No"/>
    <x v="29"/>
    <x v="0"/>
    <x v="2"/>
    <x v="1"/>
    <s v="No"/>
    <s v="Yes"/>
    <n v="3"/>
    <n v="64.459999999999994"/>
    <n v="1646.88"/>
    <x v="1"/>
  </r>
  <r>
    <x v="1334"/>
    <s v="Female"/>
    <n v="56"/>
    <s v="No"/>
    <x v="17"/>
    <x v="0"/>
    <x v="0"/>
    <x v="0"/>
    <s v="No"/>
    <s v="No"/>
    <n v="5"/>
    <n v="81.31"/>
    <n v="1344.82"/>
    <x v="1"/>
  </r>
  <r>
    <x v="1335"/>
    <s v="Female"/>
    <n v="67"/>
    <s v="Yes"/>
    <x v="26"/>
    <x v="0"/>
    <x v="2"/>
    <x v="0"/>
    <s v="No"/>
    <s v="No"/>
    <n v="3"/>
    <n v="53.04"/>
    <n v="1342.88"/>
    <x v="0"/>
  </r>
  <r>
    <x v="1336"/>
    <s v="Male"/>
    <n v="54"/>
    <s v="No"/>
    <x v="62"/>
    <x v="2"/>
    <x v="2"/>
    <x v="2"/>
    <s v="No"/>
    <s v="No"/>
    <n v="6"/>
    <n v="70.67"/>
    <n v="3946.35"/>
    <x v="0"/>
  </r>
  <r>
    <x v="1337"/>
    <s v="Female"/>
    <n v="69"/>
    <s v="Yes"/>
    <x v="23"/>
    <x v="2"/>
    <x v="1"/>
    <x v="1"/>
    <s v="No"/>
    <s v="Yes"/>
    <n v="4"/>
    <n v="50.87"/>
    <n v="1324.54"/>
    <x v="0"/>
  </r>
  <r>
    <x v="1338"/>
    <s v="Female"/>
    <n v="52"/>
    <s v="No"/>
    <x v="64"/>
    <x v="0"/>
    <x v="0"/>
    <x v="2"/>
    <s v="No"/>
    <s v="Yes"/>
    <n v="4"/>
    <n v="95.58"/>
    <n v="4953.29"/>
    <x v="0"/>
  </r>
  <r>
    <x v="1339"/>
    <s v="Female"/>
    <n v="24"/>
    <s v="No"/>
    <x v="61"/>
    <x v="0"/>
    <x v="1"/>
    <x v="0"/>
    <s v="No"/>
    <s v="No"/>
    <n v="2"/>
    <n v="33.19"/>
    <n v="2115.4299999999998"/>
    <x v="0"/>
  </r>
  <r>
    <x v="1340"/>
    <s v="Male"/>
    <n v="44"/>
    <s v="No"/>
    <x v="41"/>
    <x v="0"/>
    <x v="0"/>
    <x v="0"/>
    <s v="Yes"/>
    <s v="Yes"/>
    <n v="4"/>
    <n v="76.13"/>
    <n v="3217.8"/>
    <x v="1"/>
  </r>
  <r>
    <x v="1341"/>
    <s v="Female"/>
    <n v="45"/>
    <s v="No"/>
    <x v="42"/>
    <x v="0"/>
    <x v="2"/>
    <x v="1"/>
    <s v="No"/>
    <s v="No"/>
    <n v="3"/>
    <n v="49.26"/>
    <n v="2401.19"/>
    <x v="0"/>
  </r>
  <r>
    <x v="1342"/>
    <s v="Male"/>
    <n v="39"/>
    <s v="No"/>
    <x v="57"/>
    <x v="1"/>
    <x v="0"/>
    <x v="3"/>
    <s v="Yes"/>
    <s v="Yes"/>
    <n v="4"/>
    <n v="68.63"/>
    <n v="4820.8100000000004"/>
    <x v="0"/>
  </r>
  <r>
    <x v="1343"/>
    <s v="Male"/>
    <n v="31"/>
    <s v="No"/>
    <x v="63"/>
    <x v="1"/>
    <x v="2"/>
    <x v="2"/>
    <s v="Yes"/>
    <s v="No"/>
    <n v="5"/>
    <n v="55.96"/>
    <n v="1747.68"/>
    <x v="0"/>
  </r>
  <r>
    <x v="1344"/>
    <s v="Male"/>
    <n v="24"/>
    <s v="No"/>
    <x v="13"/>
    <x v="2"/>
    <x v="0"/>
    <x v="0"/>
    <s v="No"/>
    <s v="No"/>
    <n v="2"/>
    <n v="72.650000000000006"/>
    <n v="1317.38"/>
    <x v="1"/>
  </r>
  <r>
    <x v="1345"/>
    <s v="Male"/>
    <n v="54"/>
    <s v="No"/>
    <x v="36"/>
    <x v="1"/>
    <x v="1"/>
    <x v="1"/>
    <s v="No"/>
    <s v="Yes"/>
    <n v="7"/>
    <n v="60.38"/>
    <n v="4206.93"/>
    <x v="0"/>
  </r>
  <r>
    <x v="1346"/>
    <s v="Male"/>
    <n v="39"/>
    <s v="No"/>
    <x v="41"/>
    <x v="0"/>
    <x v="1"/>
    <x v="3"/>
    <s v="Yes"/>
    <s v="Yes"/>
    <n v="2"/>
    <n v="26.67"/>
    <n v="1150.4100000000001"/>
    <x v="0"/>
  </r>
  <r>
    <x v="1347"/>
    <s v="Male"/>
    <n v="22"/>
    <s v="No"/>
    <x v="56"/>
    <x v="1"/>
    <x v="1"/>
    <x v="2"/>
    <s v="Yes"/>
    <s v="No"/>
    <n v="2"/>
    <n v="38.51"/>
    <n v="1841.46"/>
    <x v="0"/>
  </r>
  <r>
    <x v="1348"/>
    <s v="Female"/>
    <n v="72"/>
    <s v="Yes"/>
    <x v="48"/>
    <x v="0"/>
    <x v="0"/>
    <x v="1"/>
    <s v="Yes"/>
    <s v="No"/>
    <n v="4"/>
    <n v="72.97"/>
    <n v="1167.25"/>
    <x v="0"/>
  </r>
  <r>
    <x v="1349"/>
    <s v="Male"/>
    <n v="19"/>
    <s v="No"/>
    <x v="4"/>
    <x v="1"/>
    <x v="1"/>
    <x v="3"/>
    <s v="No"/>
    <s v="Yes"/>
    <n v="2"/>
    <n v="27.82"/>
    <n v="83.56"/>
    <x v="0"/>
  </r>
  <r>
    <x v="1350"/>
    <s v="Female"/>
    <n v="44"/>
    <s v="No"/>
    <x v="15"/>
    <x v="0"/>
    <x v="2"/>
    <x v="3"/>
    <s v="Yes"/>
    <s v="No"/>
    <n v="5"/>
    <n v="55.51"/>
    <n v="628.38"/>
    <x v="0"/>
  </r>
  <r>
    <x v="1351"/>
    <s v="Female"/>
    <n v="38"/>
    <s v="No"/>
    <x v="53"/>
    <x v="0"/>
    <x v="0"/>
    <x v="1"/>
    <s v="Yes"/>
    <s v="Yes"/>
    <n v="1"/>
    <n v="76.319999999999993"/>
    <n v="4121.91"/>
    <x v="0"/>
  </r>
  <r>
    <x v="1352"/>
    <s v="Male"/>
    <n v="71"/>
    <s v="Yes"/>
    <x v="16"/>
    <x v="0"/>
    <x v="0"/>
    <x v="0"/>
    <s v="Yes"/>
    <s v="Yes"/>
    <n v="2"/>
    <n v="82.24"/>
    <n v="3667.4"/>
    <x v="0"/>
  </r>
  <r>
    <x v="1353"/>
    <s v="Female"/>
    <n v="55"/>
    <s v="No"/>
    <x v="20"/>
    <x v="0"/>
    <x v="0"/>
    <x v="1"/>
    <s v="No"/>
    <s v="No"/>
    <n v="6"/>
    <n v="81.900000000000006"/>
    <n v="2370.4299999999998"/>
    <x v="0"/>
  </r>
  <r>
    <x v="1354"/>
    <s v="Female"/>
    <n v="32"/>
    <s v="No"/>
    <x v="44"/>
    <x v="2"/>
    <x v="0"/>
    <x v="2"/>
    <s v="No"/>
    <s v="No"/>
    <n v="3"/>
    <n v="69.34"/>
    <n v="3852.19"/>
    <x v="1"/>
  </r>
  <r>
    <x v="1355"/>
    <s v="Female"/>
    <n v="38"/>
    <s v="No"/>
    <x v="68"/>
    <x v="0"/>
    <x v="2"/>
    <x v="3"/>
    <s v="Yes"/>
    <s v="No"/>
    <n v="7"/>
    <n v="75.36"/>
    <n v="1295.3699999999999"/>
    <x v="0"/>
  </r>
  <r>
    <x v="1356"/>
    <s v="Female"/>
    <n v="27"/>
    <s v="No"/>
    <x v="42"/>
    <x v="0"/>
    <x v="1"/>
    <x v="3"/>
    <s v="No"/>
    <s v="Yes"/>
    <n v="4"/>
    <n v="53.1"/>
    <n v="2819.62"/>
    <x v="0"/>
  </r>
  <r>
    <x v="1357"/>
    <s v="Male"/>
    <n v="40"/>
    <s v="No"/>
    <x v="11"/>
    <x v="0"/>
    <x v="0"/>
    <x v="0"/>
    <s v="Yes"/>
    <s v="Yes"/>
    <n v="4"/>
    <n v="90.3"/>
    <n v="4656.58"/>
    <x v="0"/>
  </r>
  <r>
    <x v="1358"/>
    <s v="Female"/>
    <n v="75"/>
    <s v="Yes"/>
    <x v="36"/>
    <x v="1"/>
    <x v="2"/>
    <x v="1"/>
    <s v="No"/>
    <s v="No"/>
    <n v="6"/>
    <n v="64.3"/>
    <n v="4493.5200000000004"/>
    <x v="0"/>
  </r>
  <r>
    <x v="1359"/>
    <s v="Male"/>
    <n v="73"/>
    <s v="Yes"/>
    <x v="9"/>
    <x v="0"/>
    <x v="1"/>
    <x v="2"/>
    <s v="No"/>
    <s v="Yes"/>
    <n v="4"/>
    <n v="39.72"/>
    <n v="303.42"/>
    <x v="0"/>
  </r>
  <r>
    <x v="1360"/>
    <s v="Female"/>
    <n v="56"/>
    <s v="No"/>
    <x v="46"/>
    <x v="2"/>
    <x v="0"/>
    <x v="0"/>
    <s v="Yes"/>
    <s v="No"/>
    <n v="3"/>
    <n v="66.38"/>
    <n v="1355.66"/>
    <x v="0"/>
  </r>
  <r>
    <x v="1361"/>
    <s v="Female"/>
    <n v="22"/>
    <s v="No"/>
    <x v="33"/>
    <x v="2"/>
    <x v="1"/>
    <x v="0"/>
    <s v="Yes"/>
    <s v="Yes"/>
    <n v="5"/>
    <n v="42.23"/>
    <n v="263.8"/>
    <x v="0"/>
  </r>
  <r>
    <x v="1362"/>
    <s v="Male"/>
    <n v="18"/>
    <s v="No"/>
    <x v="44"/>
    <x v="1"/>
    <x v="2"/>
    <x v="3"/>
    <s v="No"/>
    <s v="No"/>
    <n v="7"/>
    <n v="71.680000000000007"/>
    <n v="4013.99"/>
    <x v="0"/>
  </r>
  <r>
    <x v="1363"/>
    <s v="Female"/>
    <n v="30"/>
    <s v="No"/>
    <x v="58"/>
    <x v="1"/>
    <x v="2"/>
    <x v="0"/>
    <s v="Yes"/>
    <s v="Yes"/>
    <n v="6"/>
    <n v="57.55"/>
    <n v="2179.41"/>
    <x v="0"/>
  </r>
  <r>
    <x v="1364"/>
    <s v="Female"/>
    <n v="38"/>
    <s v="No"/>
    <x v="44"/>
    <x v="0"/>
    <x v="0"/>
    <x v="1"/>
    <s v="No"/>
    <s v="Yes"/>
    <n v="1"/>
    <n v="63.19"/>
    <n v="3762.75"/>
    <x v="0"/>
  </r>
  <r>
    <x v="1365"/>
    <s v="Female"/>
    <n v="43"/>
    <s v="No"/>
    <x v="65"/>
    <x v="0"/>
    <x v="2"/>
    <x v="1"/>
    <s v="No"/>
    <s v="No"/>
    <n v="7"/>
    <n v="72.56"/>
    <n v="3626.78"/>
    <x v="0"/>
  </r>
  <r>
    <x v="1366"/>
    <s v="Male"/>
    <n v="67"/>
    <s v="Yes"/>
    <x v="56"/>
    <x v="1"/>
    <x v="0"/>
    <x v="1"/>
    <s v="Yes"/>
    <s v="No"/>
    <n v="5"/>
    <n v="72.36"/>
    <n v="3128.73"/>
    <x v="0"/>
  </r>
  <r>
    <x v="1367"/>
    <s v="Female"/>
    <n v="62"/>
    <s v="Yes"/>
    <x v="36"/>
    <x v="0"/>
    <x v="2"/>
    <x v="3"/>
    <s v="No"/>
    <s v="Yes"/>
    <n v="3"/>
    <n v="58.28"/>
    <n v="3602.79"/>
    <x v="0"/>
  </r>
  <r>
    <x v="1368"/>
    <s v="Male"/>
    <n v="38"/>
    <s v="No"/>
    <x v="56"/>
    <x v="0"/>
    <x v="0"/>
    <x v="1"/>
    <s v="No"/>
    <s v="No"/>
    <n v="7"/>
    <n v="98.14"/>
    <n v="4241.5200000000004"/>
    <x v="0"/>
  </r>
  <r>
    <x v="1369"/>
    <s v="Female"/>
    <n v="70"/>
    <s v="Yes"/>
    <x v="28"/>
    <x v="1"/>
    <x v="1"/>
    <x v="1"/>
    <s v="No"/>
    <s v="Yes"/>
    <n v="2"/>
    <n v="36.99"/>
    <n v="740.96"/>
    <x v="0"/>
  </r>
  <r>
    <x v="1370"/>
    <s v="Male"/>
    <n v="35"/>
    <s v="No"/>
    <x v="59"/>
    <x v="0"/>
    <x v="0"/>
    <x v="2"/>
    <s v="Yes"/>
    <s v="No"/>
    <n v="7"/>
    <n v="87.52"/>
    <n v="6030.98"/>
    <x v="1"/>
  </r>
  <r>
    <x v="1371"/>
    <s v="Male"/>
    <n v="54"/>
    <s v="No"/>
    <x v="51"/>
    <x v="2"/>
    <x v="0"/>
    <x v="1"/>
    <s v="No"/>
    <s v="No"/>
    <n v="4"/>
    <n v="87.2"/>
    <n v="5434.54"/>
    <x v="0"/>
  </r>
  <r>
    <x v="1372"/>
    <s v="Female"/>
    <n v="62"/>
    <s v="Yes"/>
    <x v="4"/>
    <x v="0"/>
    <x v="2"/>
    <x v="3"/>
    <s v="No"/>
    <s v="Yes"/>
    <n v="2"/>
    <n v="60.71"/>
    <n v="173.39"/>
    <x v="0"/>
  </r>
  <r>
    <x v="1373"/>
    <s v="Female"/>
    <n v="49"/>
    <s v="No"/>
    <x v="62"/>
    <x v="1"/>
    <x v="0"/>
    <x v="1"/>
    <s v="No"/>
    <s v="No"/>
    <n v="3"/>
    <n v="77.22"/>
    <n v="4254.8"/>
    <x v="0"/>
  </r>
  <r>
    <x v="1374"/>
    <s v="Male"/>
    <n v="53"/>
    <s v="No"/>
    <x v="59"/>
    <x v="0"/>
    <x v="2"/>
    <x v="1"/>
    <s v="No"/>
    <s v="No"/>
    <n v="1"/>
    <n v="48.04"/>
    <n v="2978.32"/>
    <x v="0"/>
  </r>
  <r>
    <x v="1375"/>
    <s v="Male"/>
    <n v="34"/>
    <s v="No"/>
    <x v="6"/>
    <x v="1"/>
    <x v="1"/>
    <x v="0"/>
    <s v="Yes"/>
    <s v="No"/>
    <n v="4"/>
    <n v="36.659999999999997"/>
    <n v="1550.51"/>
    <x v="0"/>
  </r>
  <r>
    <x v="1376"/>
    <s v="Female"/>
    <n v="52"/>
    <s v="No"/>
    <x v="24"/>
    <x v="0"/>
    <x v="2"/>
    <x v="1"/>
    <s v="No"/>
    <s v="No"/>
    <n v="1"/>
    <n v="44.15"/>
    <n v="2454.5700000000002"/>
    <x v="0"/>
  </r>
  <r>
    <x v="1377"/>
    <s v="Male"/>
    <n v="66"/>
    <s v="Yes"/>
    <x v="60"/>
    <x v="0"/>
    <x v="0"/>
    <x v="2"/>
    <s v="No"/>
    <s v="Yes"/>
    <n v="3"/>
    <n v="82.51"/>
    <n v="4874.34"/>
    <x v="0"/>
  </r>
  <r>
    <x v="1378"/>
    <s v="Female"/>
    <n v="28"/>
    <s v="No"/>
    <x v="38"/>
    <x v="2"/>
    <x v="2"/>
    <x v="0"/>
    <s v="No"/>
    <s v="Yes"/>
    <n v="2"/>
    <n v="63.95"/>
    <n v="4226.5"/>
    <x v="0"/>
  </r>
  <r>
    <x v="1379"/>
    <s v="Female"/>
    <n v="38"/>
    <s v="No"/>
    <x v="12"/>
    <x v="0"/>
    <x v="2"/>
    <x v="1"/>
    <s v="No"/>
    <s v="No"/>
    <n v="5"/>
    <n v="60.1"/>
    <n v="255.31"/>
    <x v="0"/>
  </r>
  <r>
    <x v="1380"/>
    <s v="Female"/>
    <n v="69"/>
    <s v="Yes"/>
    <x v="34"/>
    <x v="0"/>
    <x v="1"/>
    <x v="1"/>
    <s v="Yes"/>
    <s v="Yes"/>
    <n v="1"/>
    <n v="27.8"/>
    <n v="1580.75"/>
    <x v="0"/>
  </r>
  <r>
    <x v="1381"/>
    <s v="Female"/>
    <n v="72"/>
    <s v="Yes"/>
    <x v="20"/>
    <x v="0"/>
    <x v="0"/>
    <x v="0"/>
    <s v="No"/>
    <s v="No"/>
    <n v="5"/>
    <n v="78.47"/>
    <n v="2289.88"/>
    <x v="0"/>
  </r>
  <r>
    <x v="1382"/>
    <s v="Male"/>
    <n v="70"/>
    <s v="Yes"/>
    <x v="2"/>
    <x v="1"/>
    <x v="2"/>
    <x v="1"/>
    <s v="No"/>
    <s v="No"/>
    <n v="3"/>
    <n v="51.98"/>
    <n v="109.02"/>
    <x v="0"/>
  </r>
  <r>
    <x v="1383"/>
    <s v="Female"/>
    <n v="43"/>
    <s v="No"/>
    <x v="38"/>
    <x v="0"/>
    <x v="2"/>
    <x v="1"/>
    <s v="No"/>
    <s v="Yes"/>
    <n v="3"/>
    <n v="46.19"/>
    <n v="3004.82"/>
    <x v="1"/>
  </r>
  <r>
    <x v="1384"/>
    <s v="Male"/>
    <n v="21"/>
    <s v="No"/>
    <x v="65"/>
    <x v="2"/>
    <x v="0"/>
    <x v="3"/>
    <s v="No"/>
    <s v="Yes"/>
    <n v="3"/>
    <n v="78"/>
    <n v="3947.47"/>
    <x v="0"/>
  </r>
  <r>
    <x v="1385"/>
    <s v="Female"/>
    <n v="51"/>
    <s v="No"/>
    <x v="14"/>
    <x v="0"/>
    <x v="0"/>
    <x v="2"/>
    <s v="No"/>
    <s v="No"/>
    <n v="2"/>
    <n v="62.12"/>
    <n v="554.42999999999995"/>
    <x v="1"/>
  </r>
  <r>
    <x v="1386"/>
    <s v="Male"/>
    <n v="69"/>
    <s v="Yes"/>
    <x v="71"/>
    <x v="0"/>
    <x v="0"/>
    <x v="0"/>
    <s v="No"/>
    <s v="Yes"/>
    <n v="3"/>
    <n v="71.16"/>
    <n v="2139.46"/>
    <x v="0"/>
  </r>
  <r>
    <x v="1387"/>
    <s v="Female"/>
    <n v="65"/>
    <s v="Yes"/>
    <x v="31"/>
    <x v="1"/>
    <x v="1"/>
    <x v="3"/>
    <s v="No"/>
    <s v="No"/>
    <n v="3"/>
    <n v="36.57"/>
    <n v="2396.0100000000002"/>
    <x v="0"/>
  </r>
  <r>
    <x v="1388"/>
    <s v="Male"/>
    <n v="35"/>
    <s v="No"/>
    <x v="11"/>
    <x v="1"/>
    <x v="1"/>
    <x v="2"/>
    <s v="No"/>
    <s v="No"/>
    <n v="8"/>
    <n v="47.8"/>
    <n v="2161.9699999999998"/>
    <x v="0"/>
  </r>
  <r>
    <x v="1389"/>
    <s v="Male"/>
    <n v="57"/>
    <s v="No"/>
    <x v="26"/>
    <x v="2"/>
    <x v="2"/>
    <x v="1"/>
    <s v="Yes"/>
    <s v="No"/>
    <n v="2"/>
    <n v="45.58"/>
    <n v="1056.32"/>
    <x v="0"/>
  </r>
  <r>
    <x v="1390"/>
    <s v="Female"/>
    <n v="52"/>
    <s v="No"/>
    <x v="58"/>
    <x v="2"/>
    <x v="0"/>
    <x v="2"/>
    <s v="No"/>
    <s v="No"/>
    <n v="7"/>
    <n v="83.12"/>
    <n v="2757.31"/>
    <x v="0"/>
  </r>
  <r>
    <x v="1391"/>
    <s v="Female"/>
    <n v="58"/>
    <s v="No"/>
    <x v="9"/>
    <x v="0"/>
    <x v="0"/>
    <x v="3"/>
    <s v="No"/>
    <s v="No"/>
    <n v="4"/>
    <n v="86.7"/>
    <n v="724.12"/>
    <x v="1"/>
  </r>
  <r>
    <x v="1392"/>
    <s v="Female"/>
    <n v="46"/>
    <s v="No"/>
    <x v="43"/>
    <x v="0"/>
    <x v="1"/>
    <x v="0"/>
    <s v="No"/>
    <s v="Yes"/>
    <n v="1"/>
    <n v="38.97"/>
    <n v="2099.9499999999998"/>
    <x v="0"/>
  </r>
  <r>
    <x v="1393"/>
    <s v="Female"/>
    <n v="69"/>
    <s v="Yes"/>
    <x v="56"/>
    <x v="0"/>
    <x v="1"/>
    <x v="2"/>
    <s v="No"/>
    <s v="No"/>
    <n v="2"/>
    <n v="27.47"/>
    <n v="1243.79"/>
    <x v="0"/>
  </r>
  <r>
    <x v="1394"/>
    <s v="Male"/>
    <n v="46"/>
    <s v="No"/>
    <x v="38"/>
    <x v="1"/>
    <x v="1"/>
    <x v="1"/>
    <s v="No"/>
    <s v="Yes"/>
    <n v="3"/>
    <n v="56.34"/>
    <n v="3418.91"/>
    <x v="0"/>
  </r>
  <r>
    <x v="1395"/>
    <s v="Female"/>
    <n v="55"/>
    <s v="No"/>
    <x v="49"/>
    <x v="2"/>
    <x v="2"/>
    <x v="1"/>
    <s v="Yes"/>
    <s v="Yes"/>
    <n v="5"/>
    <n v="56.46"/>
    <n v="2077.54"/>
    <x v="0"/>
  </r>
  <r>
    <x v="1396"/>
    <s v="Male"/>
    <n v="59"/>
    <s v="No"/>
    <x v="43"/>
    <x v="0"/>
    <x v="0"/>
    <x v="2"/>
    <s v="No"/>
    <s v="No"/>
    <n v="6"/>
    <n v="84.04"/>
    <n v="5061.96"/>
    <x v="0"/>
  </r>
  <r>
    <x v="1397"/>
    <s v="Male"/>
    <n v="38"/>
    <s v="No"/>
    <x v="59"/>
    <x v="0"/>
    <x v="1"/>
    <x v="0"/>
    <s v="No"/>
    <s v="Yes"/>
    <n v="1"/>
    <n v="32.450000000000003"/>
    <n v="1928.93"/>
    <x v="0"/>
  </r>
  <r>
    <x v="1398"/>
    <s v="Female"/>
    <n v="59"/>
    <s v="No"/>
    <x v="35"/>
    <x v="0"/>
    <x v="0"/>
    <x v="1"/>
    <s v="No"/>
    <s v="Yes"/>
    <n v="6"/>
    <n v="91.11"/>
    <n v="3892.36"/>
    <x v="0"/>
  </r>
  <r>
    <x v="1399"/>
    <s v="Male"/>
    <n v="30"/>
    <s v="No"/>
    <x v="63"/>
    <x v="2"/>
    <x v="0"/>
    <x v="1"/>
    <s v="Yes"/>
    <s v="Yes"/>
    <n v="5"/>
    <n v="80.77"/>
    <n v="2365.64"/>
    <x v="0"/>
  </r>
  <r>
    <x v="1400"/>
    <s v="Male"/>
    <n v="66"/>
    <s v="Yes"/>
    <x v="24"/>
    <x v="0"/>
    <x v="2"/>
    <x v="2"/>
    <s v="No"/>
    <s v="Yes"/>
    <n v="5"/>
    <n v="70.66"/>
    <n v="4103.8500000000004"/>
    <x v="0"/>
  </r>
  <r>
    <x v="1401"/>
    <s v="Male"/>
    <n v="58"/>
    <s v="No"/>
    <x v="57"/>
    <x v="0"/>
    <x v="0"/>
    <x v="2"/>
    <s v="Yes"/>
    <s v="No"/>
    <n v="5"/>
    <n v="91.39"/>
    <n v="6238.64"/>
    <x v="0"/>
  </r>
  <r>
    <x v="1402"/>
    <s v="Male"/>
    <n v="34"/>
    <s v="No"/>
    <x v="14"/>
    <x v="0"/>
    <x v="0"/>
    <x v="3"/>
    <s v="No"/>
    <s v="Yes"/>
    <n v="5"/>
    <n v="82.95"/>
    <n v="797.43"/>
    <x v="0"/>
  </r>
  <r>
    <x v="1403"/>
    <s v="Female"/>
    <n v="73"/>
    <s v="Yes"/>
    <x v="33"/>
    <x v="2"/>
    <x v="0"/>
    <x v="2"/>
    <s v="No"/>
    <s v="No"/>
    <n v="5"/>
    <n v="81.95"/>
    <n v="525.61"/>
    <x v="0"/>
  </r>
  <r>
    <x v="1404"/>
    <s v="Female"/>
    <n v="26"/>
    <s v="No"/>
    <x v="63"/>
    <x v="1"/>
    <x v="0"/>
    <x v="1"/>
    <s v="No"/>
    <s v="No"/>
    <n v="6"/>
    <n v="82.73"/>
    <n v="2366.96"/>
    <x v="0"/>
  </r>
  <r>
    <x v="1405"/>
    <s v="Female"/>
    <n v="58"/>
    <s v="No"/>
    <x v="43"/>
    <x v="1"/>
    <x v="1"/>
    <x v="1"/>
    <s v="No"/>
    <s v="No"/>
    <n v="4"/>
    <n v="33.72"/>
    <n v="1922.51"/>
    <x v="0"/>
  </r>
  <r>
    <x v="1406"/>
    <s v="Female"/>
    <n v="18"/>
    <s v="No"/>
    <x v="47"/>
    <x v="0"/>
    <x v="0"/>
    <x v="3"/>
    <s v="No"/>
    <s v="No"/>
    <n v="3"/>
    <n v="69.400000000000006"/>
    <n v="1143.44"/>
    <x v="1"/>
  </r>
  <r>
    <x v="1407"/>
    <s v="Male"/>
    <n v="19"/>
    <s v="No"/>
    <x v="17"/>
    <x v="0"/>
    <x v="0"/>
    <x v="3"/>
    <s v="No"/>
    <s v="No"/>
    <n v="7"/>
    <n v="94.81"/>
    <n v="1603.31"/>
    <x v="0"/>
  </r>
  <r>
    <x v="1408"/>
    <s v="Male"/>
    <n v="65"/>
    <s v="Yes"/>
    <x v="4"/>
    <x v="1"/>
    <x v="0"/>
    <x v="1"/>
    <s v="No"/>
    <s v="Yes"/>
    <n v="5"/>
    <n v="83"/>
    <n v="251.71"/>
    <x v="0"/>
  </r>
  <r>
    <x v="1409"/>
    <s v="Female"/>
    <n v="46"/>
    <s v="No"/>
    <x v="19"/>
    <x v="2"/>
    <x v="0"/>
    <x v="1"/>
    <s v="Yes"/>
    <s v="No"/>
    <n v="1"/>
    <n v="65.290000000000006"/>
    <n v="1281.04"/>
    <x v="0"/>
  </r>
  <r>
    <x v="1410"/>
    <s v="Female"/>
    <n v="50"/>
    <s v="No"/>
    <x v="59"/>
    <x v="0"/>
    <x v="0"/>
    <x v="2"/>
    <s v="No"/>
    <s v="No"/>
    <n v="5"/>
    <n v="79"/>
    <n v="5341.82"/>
    <x v="0"/>
  </r>
  <r>
    <x v="1411"/>
    <s v="Female"/>
    <n v="27"/>
    <s v="No"/>
    <x v="58"/>
    <x v="0"/>
    <x v="2"/>
    <x v="2"/>
    <s v="No"/>
    <s v="No"/>
    <n v="6"/>
    <n v="63.15"/>
    <n v="2286.09"/>
    <x v="0"/>
  </r>
  <r>
    <x v="1412"/>
    <s v="Male"/>
    <n v="67"/>
    <s v="Yes"/>
    <x v="38"/>
    <x v="0"/>
    <x v="0"/>
    <x v="3"/>
    <s v="Yes"/>
    <s v="No"/>
    <n v="1"/>
    <n v="66.680000000000007"/>
    <n v="4078.33"/>
    <x v="0"/>
  </r>
  <r>
    <x v="1413"/>
    <s v="Female"/>
    <n v="75"/>
    <s v="Yes"/>
    <x v="55"/>
    <x v="0"/>
    <x v="2"/>
    <x v="1"/>
    <s v="Yes"/>
    <s v="Yes"/>
    <n v="4"/>
    <n v="58.13"/>
    <n v="2378.12"/>
    <x v="0"/>
  </r>
  <r>
    <x v="1414"/>
    <s v="Female"/>
    <n v="57"/>
    <s v="No"/>
    <x v="55"/>
    <x v="2"/>
    <x v="1"/>
    <x v="2"/>
    <s v="No"/>
    <s v="No"/>
    <n v="2"/>
    <n v="32.99"/>
    <n v="1296.78"/>
    <x v="0"/>
  </r>
  <r>
    <x v="1415"/>
    <s v="Female"/>
    <n v="38"/>
    <s v="No"/>
    <x v="31"/>
    <x v="0"/>
    <x v="2"/>
    <x v="2"/>
    <s v="Yes"/>
    <s v="Yes"/>
    <n v="2"/>
    <n v="47.89"/>
    <n v="3134.76"/>
    <x v="0"/>
  </r>
  <r>
    <x v="1416"/>
    <s v="Male"/>
    <n v="45"/>
    <s v="No"/>
    <x v="21"/>
    <x v="0"/>
    <x v="0"/>
    <x v="0"/>
    <s v="Yes"/>
    <s v="No"/>
    <n v="2"/>
    <n v="66.3"/>
    <n v="895.17"/>
    <x v="0"/>
  </r>
  <r>
    <x v="1417"/>
    <s v="Male"/>
    <n v="28"/>
    <s v="No"/>
    <x v="15"/>
    <x v="0"/>
    <x v="0"/>
    <x v="2"/>
    <s v="No"/>
    <s v="No"/>
    <n v="5"/>
    <n v="83.06"/>
    <n v="859.83"/>
    <x v="1"/>
  </r>
  <r>
    <x v="1418"/>
    <s v="Male"/>
    <n v="72"/>
    <s v="Yes"/>
    <x v="62"/>
    <x v="0"/>
    <x v="1"/>
    <x v="2"/>
    <s v="No"/>
    <s v="No"/>
    <n v="1"/>
    <n v="33.549999999999997"/>
    <n v="1814.97"/>
    <x v="0"/>
  </r>
  <r>
    <x v="1419"/>
    <s v="Male"/>
    <n v="51"/>
    <s v="No"/>
    <x v="17"/>
    <x v="0"/>
    <x v="2"/>
    <x v="2"/>
    <s v="No"/>
    <s v="No"/>
    <n v="6"/>
    <n v="63.44"/>
    <n v="1024.07"/>
    <x v="1"/>
  </r>
  <r>
    <x v="1420"/>
    <s v="Male"/>
    <n v="25"/>
    <s v="No"/>
    <x v="9"/>
    <x v="0"/>
    <x v="1"/>
    <x v="2"/>
    <s v="Yes"/>
    <s v="No"/>
    <n v="4"/>
    <n v="24.29"/>
    <n v="183.99"/>
    <x v="1"/>
  </r>
  <r>
    <x v="1421"/>
    <s v="Male"/>
    <n v="39"/>
    <s v="No"/>
    <x v="24"/>
    <x v="0"/>
    <x v="1"/>
    <x v="3"/>
    <s v="Yes"/>
    <s v="No"/>
    <n v="2"/>
    <n v="23.43"/>
    <n v="1366.27"/>
    <x v="0"/>
  </r>
  <r>
    <x v="1422"/>
    <s v="Male"/>
    <n v="25"/>
    <s v="No"/>
    <x v="44"/>
    <x v="1"/>
    <x v="1"/>
    <x v="3"/>
    <s v="No"/>
    <s v="Yes"/>
    <n v="4"/>
    <n v="48.52"/>
    <n v="2830.13"/>
    <x v="0"/>
  </r>
  <r>
    <x v="1423"/>
    <s v="Male"/>
    <n v="66"/>
    <s v="Yes"/>
    <x v="6"/>
    <x v="0"/>
    <x v="1"/>
    <x v="0"/>
    <s v="Yes"/>
    <s v="No"/>
    <n v="4"/>
    <n v="47.96"/>
    <n v="1852.1"/>
    <x v="0"/>
  </r>
  <r>
    <x v="1424"/>
    <s v="Female"/>
    <n v="32"/>
    <s v="No"/>
    <x v="24"/>
    <x v="0"/>
    <x v="2"/>
    <x v="3"/>
    <s v="No"/>
    <s v="No"/>
    <n v="6"/>
    <n v="71.53"/>
    <n v="4106.57"/>
    <x v="0"/>
  </r>
  <r>
    <x v="1425"/>
    <s v="Female"/>
    <n v="34"/>
    <s v="No"/>
    <x v="2"/>
    <x v="2"/>
    <x v="0"/>
    <x v="2"/>
    <s v="Yes"/>
    <s v="No"/>
    <n v="6"/>
    <n v="90.59"/>
    <n v="170.22"/>
    <x v="1"/>
  </r>
  <r>
    <x v="1426"/>
    <s v="Male"/>
    <n v="40"/>
    <s v="No"/>
    <x v="69"/>
    <x v="1"/>
    <x v="1"/>
    <x v="2"/>
    <s v="No"/>
    <s v="No"/>
    <n v="4"/>
    <n v="48.12"/>
    <n v="474.52"/>
    <x v="0"/>
  </r>
  <r>
    <x v="1427"/>
    <s v="Male"/>
    <n v="41"/>
    <s v="No"/>
    <x v="35"/>
    <x v="1"/>
    <x v="2"/>
    <x v="0"/>
    <s v="No"/>
    <s v="No"/>
    <n v="5"/>
    <n v="60.6"/>
    <n v="2702.18"/>
    <x v="0"/>
  </r>
  <r>
    <x v="1428"/>
    <s v="Female"/>
    <n v="62"/>
    <s v="Yes"/>
    <x v="15"/>
    <x v="0"/>
    <x v="0"/>
    <x v="3"/>
    <s v="Yes"/>
    <s v="No"/>
    <n v="3"/>
    <n v="75.97"/>
    <n v="784.4"/>
    <x v="1"/>
  </r>
  <r>
    <x v="1429"/>
    <s v="Male"/>
    <n v="36"/>
    <s v="No"/>
    <x v="2"/>
    <x v="0"/>
    <x v="2"/>
    <x v="0"/>
    <s v="No"/>
    <s v="Yes"/>
    <n v="4"/>
    <n v="53.6"/>
    <n v="109.17"/>
    <x v="0"/>
  </r>
  <r>
    <x v="1430"/>
    <s v="Male"/>
    <n v="22"/>
    <s v="No"/>
    <x v="32"/>
    <x v="0"/>
    <x v="2"/>
    <x v="3"/>
    <s v="Yes"/>
    <s v="No"/>
    <n v="3"/>
    <n v="53.77"/>
    <n v="2644.53"/>
    <x v="0"/>
  </r>
  <r>
    <x v="1431"/>
    <s v="Male"/>
    <n v="49"/>
    <s v="No"/>
    <x v="1"/>
    <x v="0"/>
    <x v="1"/>
    <x v="3"/>
    <s v="No"/>
    <s v="No"/>
    <n v="3"/>
    <n v="50.27"/>
    <n v="620.44000000000005"/>
    <x v="0"/>
  </r>
  <r>
    <x v="1432"/>
    <s v="Female"/>
    <n v="61"/>
    <s v="Yes"/>
    <x v="45"/>
    <x v="0"/>
    <x v="2"/>
    <x v="1"/>
    <s v="No"/>
    <s v="No"/>
    <n v="3"/>
    <n v="49.21"/>
    <n v="1098.3"/>
    <x v="0"/>
  </r>
  <r>
    <x v="1433"/>
    <s v="Female"/>
    <n v="18"/>
    <s v="No"/>
    <x v="68"/>
    <x v="2"/>
    <x v="0"/>
    <x v="3"/>
    <s v="No"/>
    <s v="No"/>
    <n v="4"/>
    <n v="70.84"/>
    <n v="1289.0999999999999"/>
    <x v="1"/>
  </r>
  <r>
    <x v="1434"/>
    <s v="Female"/>
    <n v="40"/>
    <s v="No"/>
    <x v="38"/>
    <x v="0"/>
    <x v="1"/>
    <x v="1"/>
    <s v="No"/>
    <s v="Yes"/>
    <n v="4"/>
    <n v="39.64"/>
    <n v="2502.04"/>
    <x v="0"/>
  </r>
  <r>
    <x v="1435"/>
    <s v="Female"/>
    <n v="54"/>
    <s v="No"/>
    <x v="38"/>
    <x v="0"/>
    <x v="1"/>
    <x v="1"/>
    <s v="No"/>
    <s v="No"/>
    <n v="3"/>
    <n v="34.200000000000003"/>
    <n v="2185.0300000000002"/>
    <x v="0"/>
  </r>
  <r>
    <x v="1436"/>
    <s v="Female"/>
    <n v="25"/>
    <s v="No"/>
    <x v="52"/>
    <x v="1"/>
    <x v="2"/>
    <x v="2"/>
    <s v="Yes"/>
    <s v="No"/>
    <n v="4"/>
    <n v="60.86"/>
    <n v="2407.75"/>
    <x v="0"/>
  </r>
  <r>
    <x v="1437"/>
    <s v="Male"/>
    <n v="30"/>
    <s v="No"/>
    <x v="51"/>
    <x v="0"/>
    <x v="0"/>
    <x v="1"/>
    <s v="Yes"/>
    <s v="No"/>
    <n v="3"/>
    <n v="80.55"/>
    <n v="5082.84"/>
    <x v="0"/>
  </r>
  <r>
    <x v="1438"/>
    <s v="Female"/>
    <n v="25"/>
    <s v="No"/>
    <x v="52"/>
    <x v="1"/>
    <x v="0"/>
    <x v="0"/>
    <s v="No"/>
    <s v="No"/>
    <n v="5"/>
    <n v="80.38"/>
    <n v="3281.81"/>
    <x v="0"/>
  </r>
  <r>
    <x v="1439"/>
    <s v="Male"/>
    <n v="74"/>
    <s v="Yes"/>
    <x v="51"/>
    <x v="1"/>
    <x v="2"/>
    <x v="1"/>
    <s v="No"/>
    <s v="Yes"/>
    <n v="7"/>
    <n v="85.75"/>
    <n v="6061.14"/>
    <x v="0"/>
  </r>
  <r>
    <x v="1440"/>
    <s v="Male"/>
    <n v="40"/>
    <s v="No"/>
    <x v="31"/>
    <x v="1"/>
    <x v="0"/>
    <x v="1"/>
    <s v="Yes"/>
    <s v="Yes"/>
    <n v="4"/>
    <n v="87.61"/>
    <n v="5397.5"/>
    <x v="0"/>
  </r>
  <r>
    <x v="1441"/>
    <s v="Female"/>
    <n v="60"/>
    <s v="Yes"/>
    <x v="8"/>
    <x v="2"/>
    <x v="0"/>
    <x v="2"/>
    <s v="Yes"/>
    <s v="No"/>
    <n v="6"/>
    <n v="81.66"/>
    <n v="86.76"/>
    <x v="0"/>
  </r>
  <r>
    <x v="1442"/>
    <s v="Female"/>
    <n v="18"/>
    <s v="No"/>
    <x v="56"/>
    <x v="0"/>
    <x v="2"/>
    <x v="0"/>
    <s v="No"/>
    <s v="Yes"/>
    <n v="4"/>
    <n v="58.45"/>
    <n v="2580.77"/>
    <x v="0"/>
  </r>
  <r>
    <x v="1443"/>
    <s v="Male"/>
    <n v="62"/>
    <s v="Yes"/>
    <x v="23"/>
    <x v="0"/>
    <x v="2"/>
    <x v="2"/>
    <s v="No"/>
    <s v="No"/>
    <n v="4"/>
    <n v="62.7"/>
    <n v="1624.78"/>
    <x v="1"/>
  </r>
  <r>
    <x v="1444"/>
    <s v="Male"/>
    <n v="68"/>
    <s v="Yes"/>
    <x v="19"/>
    <x v="2"/>
    <x v="0"/>
    <x v="0"/>
    <s v="No"/>
    <s v="Yes"/>
    <n v="2"/>
    <n v="65.2"/>
    <n v="1418.94"/>
    <x v="0"/>
  </r>
  <r>
    <x v="1445"/>
    <s v="Male"/>
    <n v="41"/>
    <s v="No"/>
    <x v="21"/>
    <x v="1"/>
    <x v="0"/>
    <x v="1"/>
    <s v="No"/>
    <s v="Yes"/>
    <n v="5"/>
    <n v="68.55"/>
    <n v="954.36"/>
    <x v="0"/>
  </r>
  <r>
    <x v="1446"/>
    <s v="Female"/>
    <n v="52"/>
    <s v="No"/>
    <x v="5"/>
    <x v="0"/>
    <x v="0"/>
    <x v="0"/>
    <s v="No"/>
    <s v="No"/>
    <n v="3"/>
    <n v="88.51"/>
    <n v="2260.48"/>
    <x v="0"/>
  </r>
  <r>
    <x v="1447"/>
    <s v="Female"/>
    <n v="41"/>
    <s v="No"/>
    <x v="3"/>
    <x v="2"/>
    <x v="2"/>
    <x v="3"/>
    <s v="Yes"/>
    <s v="No"/>
    <n v="4"/>
    <n v="51.25"/>
    <n v="367.01"/>
    <x v="0"/>
  </r>
  <r>
    <x v="1448"/>
    <s v="Female"/>
    <n v="34"/>
    <s v="No"/>
    <x v="46"/>
    <x v="0"/>
    <x v="0"/>
    <x v="3"/>
    <s v="Yes"/>
    <s v="Yes"/>
    <n v="3"/>
    <n v="80.97"/>
    <n v="1870.67"/>
    <x v="1"/>
  </r>
  <r>
    <x v="1449"/>
    <s v="Female"/>
    <n v="22"/>
    <s v="No"/>
    <x v="53"/>
    <x v="2"/>
    <x v="0"/>
    <x v="2"/>
    <s v="Yes"/>
    <s v="Yes"/>
    <n v="5"/>
    <n v="87.9"/>
    <n v="4960.63"/>
    <x v="0"/>
  </r>
  <r>
    <x v="1450"/>
    <s v="Female"/>
    <n v="37"/>
    <s v="No"/>
    <x v="12"/>
    <x v="0"/>
    <x v="2"/>
    <x v="3"/>
    <s v="No"/>
    <s v="Yes"/>
    <n v="7"/>
    <n v="65.290000000000006"/>
    <n v="251.82"/>
    <x v="1"/>
  </r>
  <r>
    <x v="1451"/>
    <s v="Male"/>
    <n v="38"/>
    <s v="No"/>
    <x v="45"/>
    <x v="0"/>
    <x v="1"/>
    <x v="0"/>
    <s v="No"/>
    <s v="No"/>
    <n v="6"/>
    <n v="62.72"/>
    <n v="1356.87"/>
    <x v="0"/>
  </r>
  <r>
    <x v="1452"/>
    <s v="Female"/>
    <n v="57"/>
    <s v="No"/>
    <x v="0"/>
    <x v="2"/>
    <x v="2"/>
    <x v="2"/>
    <s v="No"/>
    <s v="Yes"/>
    <n v="2"/>
    <n v="51.45"/>
    <n v="3456.2"/>
    <x v="0"/>
  </r>
  <r>
    <x v="1453"/>
    <s v="Male"/>
    <n v="75"/>
    <s v="Yes"/>
    <x v="7"/>
    <x v="0"/>
    <x v="0"/>
    <x v="2"/>
    <s v="Yes"/>
    <s v="No"/>
    <n v="5"/>
    <n v="83.96"/>
    <n v="2805.13"/>
    <x v="0"/>
  </r>
  <r>
    <x v="1454"/>
    <s v="Male"/>
    <n v="48"/>
    <s v="No"/>
    <x v="23"/>
    <x v="0"/>
    <x v="0"/>
    <x v="0"/>
    <s v="No"/>
    <s v="No"/>
    <n v="3"/>
    <n v="64.23"/>
    <n v="1918.93"/>
    <x v="1"/>
  </r>
  <r>
    <x v="1455"/>
    <s v="Male"/>
    <n v="63"/>
    <s v="Yes"/>
    <x v="9"/>
    <x v="0"/>
    <x v="1"/>
    <x v="1"/>
    <s v="No"/>
    <s v="No"/>
    <n v="5"/>
    <n v="30.22"/>
    <n v="244.95"/>
    <x v="0"/>
  </r>
  <r>
    <x v="1456"/>
    <s v="Female"/>
    <n v="53"/>
    <s v="No"/>
    <x v="8"/>
    <x v="2"/>
    <x v="0"/>
    <x v="3"/>
    <s v="No"/>
    <s v="Yes"/>
    <n v="2"/>
    <n v="69.3"/>
    <n v="73.95"/>
    <x v="1"/>
  </r>
  <r>
    <x v="1457"/>
    <s v="Female"/>
    <n v="28"/>
    <s v="No"/>
    <x v="67"/>
    <x v="2"/>
    <x v="2"/>
    <x v="0"/>
    <s v="Yes"/>
    <s v="No"/>
    <n v="2"/>
    <n v="60.08"/>
    <n v="2319.0100000000002"/>
    <x v="0"/>
  </r>
  <r>
    <x v="1458"/>
    <s v="Female"/>
    <n v="69"/>
    <s v="Yes"/>
    <x v="18"/>
    <x v="1"/>
    <x v="0"/>
    <x v="2"/>
    <s v="No"/>
    <s v="No"/>
    <n v="5"/>
    <n v="69.97"/>
    <n v="4477.5"/>
    <x v="0"/>
  </r>
  <r>
    <x v="1459"/>
    <s v="Male"/>
    <n v="32"/>
    <s v="No"/>
    <x v="46"/>
    <x v="1"/>
    <x v="0"/>
    <x v="0"/>
    <s v="Yes"/>
    <s v="Yes"/>
    <n v="7"/>
    <n v="92.02"/>
    <n v="1869.55"/>
    <x v="0"/>
  </r>
  <r>
    <x v="1460"/>
    <s v="Male"/>
    <n v="36"/>
    <s v="No"/>
    <x v="0"/>
    <x v="2"/>
    <x v="1"/>
    <x v="1"/>
    <s v="No"/>
    <s v="Yes"/>
    <n v="2"/>
    <n v="33.57"/>
    <n v="2287.14"/>
    <x v="0"/>
  </r>
  <r>
    <x v="1461"/>
    <s v="Male"/>
    <n v="24"/>
    <s v="No"/>
    <x v="19"/>
    <x v="0"/>
    <x v="2"/>
    <x v="2"/>
    <s v="No"/>
    <s v="No"/>
    <n v="5"/>
    <n v="71.69"/>
    <n v="1398.89"/>
    <x v="1"/>
  </r>
  <r>
    <x v="1462"/>
    <s v="Male"/>
    <n v="68"/>
    <s v="Yes"/>
    <x v="39"/>
    <x v="0"/>
    <x v="2"/>
    <x v="2"/>
    <s v="Yes"/>
    <s v="Yes"/>
    <n v="1"/>
    <n v="54.12"/>
    <n v="1840.33"/>
    <x v="0"/>
  </r>
  <r>
    <x v="1463"/>
    <s v="Male"/>
    <n v="45"/>
    <s v="No"/>
    <x v="30"/>
    <x v="1"/>
    <x v="0"/>
    <x v="1"/>
    <s v="No"/>
    <s v="No"/>
    <n v="5"/>
    <n v="83.98"/>
    <n v="390.5"/>
    <x v="0"/>
  </r>
  <r>
    <x v="1464"/>
    <s v="Male"/>
    <n v="68"/>
    <s v="Yes"/>
    <x v="34"/>
    <x v="0"/>
    <x v="0"/>
    <x v="2"/>
    <s v="Yes"/>
    <s v="No"/>
    <n v="4"/>
    <n v="78.349999999999994"/>
    <n v="4451.1400000000003"/>
    <x v="0"/>
  </r>
  <r>
    <x v="1465"/>
    <s v="Female"/>
    <n v="60"/>
    <s v="Yes"/>
    <x v="16"/>
    <x v="0"/>
    <x v="2"/>
    <x v="0"/>
    <s v="No"/>
    <s v="No"/>
    <n v="5"/>
    <n v="57.96"/>
    <n v="2628.06"/>
    <x v="0"/>
  </r>
  <r>
    <x v="1466"/>
    <s v="Female"/>
    <n v="75"/>
    <s v="Yes"/>
    <x v="32"/>
    <x v="0"/>
    <x v="2"/>
    <x v="0"/>
    <s v="Yes"/>
    <s v="No"/>
    <n v="2"/>
    <n v="42.98"/>
    <n v="2154.12"/>
    <x v="0"/>
  </r>
  <r>
    <x v="1467"/>
    <s v="Female"/>
    <n v="22"/>
    <s v="No"/>
    <x v="11"/>
    <x v="0"/>
    <x v="0"/>
    <x v="2"/>
    <s v="No"/>
    <s v="No"/>
    <n v="5"/>
    <n v="78.62"/>
    <n v="3602.97"/>
    <x v="0"/>
  </r>
  <r>
    <x v="1468"/>
    <s v="Female"/>
    <n v="22"/>
    <s v="No"/>
    <x v="33"/>
    <x v="2"/>
    <x v="0"/>
    <x v="3"/>
    <s v="No"/>
    <s v="Yes"/>
    <n v="5"/>
    <n v="75.25"/>
    <n v="468.3"/>
    <x v="0"/>
  </r>
  <r>
    <x v="1469"/>
    <s v="Male"/>
    <n v="47"/>
    <s v="No"/>
    <x v="64"/>
    <x v="0"/>
    <x v="0"/>
    <x v="1"/>
    <s v="No"/>
    <s v="Yes"/>
    <n v="6"/>
    <n v="86.26"/>
    <n v="4900.3999999999996"/>
    <x v="0"/>
  </r>
  <r>
    <x v="1470"/>
    <s v="Male"/>
    <n v="71"/>
    <s v="Yes"/>
    <x v="24"/>
    <x v="1"/>
    <x v="1"/>
    <x v="0"/>
    <s v="No"/>
    <s v="No"/>
    <n v="3"/>
    <n v="36.76"/>
    <n v="2235.38"/>
    <x v="0"/>
  </r>
  <r>
    <x v="1471"/>
    <s v="Female"/>
    <n v="49"/>
    <s v="No"/>
    <x v="63"/>
    <x v="0"/>
    <x v="2"/>
    <x v="3"/>
    <s v="No"/>
    <s v="No"/>
    <n v="2"/>
    <n v="49.08"/>
    <n v="1476.33"/>
    <x v="0"/>
  </r>
  <r>
    <x v="1472"/>
    <s v="Male"/>
    <n v="25"/>
    <s v="No"/>
    <x v="57"/>
    <x v="0"/>
    <x v="1"/>
    <x v="1"/>
    <s v="Yes"/>
    <s v="No"/>
    <n v="1"/>
    <n v="29.77"/>
    <n v="2190.41"/>
    <x v="1"/>
  </r>
  <r>
    <x v="1473"/>
    <s v="Female"/>
    <n v="27"/>
    <s v="No"/>
    <x v="68"/>
    <x v="0"/>
    <x v="0"/>
    <x v="3"/>
    <s v="No"/>
    <s v="No"/>
    <n v="3"/>
    <n v="71.790000000000006"/>
    <n v="1382.41"/>
    <x v="1"/>
  </r>
  <r>
    <x v="1474"/>
    <s v="Female"/>
    <n v="55"/>
    <s v="No"/>
    <x v="2"/>
    <x v="1"/>
    <x v="1"/>
    <x v="3"/>
    <s v="No"/>
    <s v="Yes"/>
    <n v="3"/>
    <n v="42.89"/>
    <n v="82.17"/>
    <x v="0"/>
  </r>
  <r>
    <x v="1475"/>
    <s v="Female"/>
    <n v="64"/>
    <s v="Yes"/>
    <x v="9"/>
    <x v="1"/>
    <x v="0"/>
    <x v="0"/>
    <s v="No"/>
    <s v="Yes"/>
    <n v="8"/>
    <n v="96.6"/>
    <n v="744.38"/>
    <x v="0"/>
  </r>
  <r>
    <x v="1476"/>
    <s v="Male"/>
    <n v="49"/>
    <s v="No"/>
    <x v="62"/>
    <x v="2"/>
    <x v="2"/>
    <x v="3"/>
    <s v="No"/>
    <s v="No"/>
    <n v="3"/>
    <n v="51.61"/>
    <n v="2605.9899999999998"/>
    <x v="0"/>
  </r>
  <r>
    <x v="1477"/>
    <s v="Female"/>
    <n v="65"/>
    <s v="Yes"/>
    <x v="52"/>
    <x v="1"/>
    <x v="1"/>
    <x v="2"/>
    <s v="No"/>
    <s v="Yes"/>
    <n v="4"/>
    <n v="32.83"/>
    <n v="1266.02"/>
    <x v="0"/>
  </r>
  <r>
    <x v="1478"/>
    <s v="Female"/>
    <n v="45"/>
    <s v="No"/>
    <x v="11"/>
    <x v="1"/>
    <x v="0"/>
    <x v="0"/>
    <s v="No"/>
    <s v="No"/>
    <n v="5"/>
    <n v="82.43"/>
    <n v="3890.29"/>
    <x v="0"/>
  </r>
  <r>
    <x v="1479"/>
    <s v="Female"/>
    <n v="34"/>
    <s v="No"/>
    <x v="5"/>
    <x v="1"/>
    <x v="0"/>
    <x v="0"/>
    <s v="No"/>
    <s v="No"/>
    <n v="3"/>
    <n v="82.99"/>
    <n v="2239.37"/>
    <x v="0"/>
  </r>
  <r>
    <x v="1480"/>
    <s v="Male"/>
    <n v="48"/>
    <s v="No"/>
    <x v="28"/>
    <x v="2"/>
    <x v="0"/>
    <x v="1"/>
    <s v="No"/>
    <s v="No"/>
    <n v="3"/>
    <n v="79.13"/>
    <n v="1498.99"/>
    <x v="0"/>
  </r>
  <r>
    <x v="1481"/>
    <s v="Male"/>
    <n v="25"/>
    <s v="No"/>
    <x v="1"/>
    <x v="1"/>
    <x v="0"/>
    <x v="3"/>
    <s v="Yes"/>
    <s v="No"/>
    <n v="4"/>
    <n v="84.31"/>
    <n v="1035.8499999999999"/>
    <x v="1"/>
  </r>
  <r>
    <x v="1482"/>
    <s v="Female"/>
    <n v="57"/>
    <s v="No"/>
    <x v="66"/>
    <x v="0"/>
    <x v="2"/>
    <x v="2"/>
    <s v="No"/>
    <s v="Yes"/>
    <n v="6"/>
    <n v="72.069999999999993"/>
    <n v="3158.02"/>
    <x v="0"/>
  </r>
  <r>
    <x v="1483"/>
    <s v="Male"/>
    <n v="42"/>
    <s v="No"/>
    <x v="31"/>
    <x v="0"/>
    <x v="2"/>
    <x v="1"/>
    <s v="No"/>
    <s v="Yes"/>
    <n v="3"/>
    <n v="63.51"/>
    <n v="3728.31"/>
    <x v="0"/>
  </r>
  <r>
    <x v="1484"/>
    <s v="Male"/>
    <n v="26"/>
    <s v="No"/>
    <x v="71"/>
    <x v="1"/>
    <x v="2"/>
    <x v="0"/>
    <s v="No"/>
    <s v="No"/>
    <n v="4"/>
    <n v="65.03"/>
    <n v="2004.78"/>
    <x v="0"/>
  </r>
  <r>
    <x v="1485"/>
    <s v="Male"/>
    <n v="19"/>
    <s v="No"/>
    <x v="31"/>
    <x v="1"/>
    <x v="2"/>
    <x v="0"/>
    <s v="No"/>
    <s v="No"/>
    <n v="4"/>
    <n v="60.04"/>
    <n v="3893.5"/>
    <x v="0"/>
  </r>
  <r>
    <x v="1486"/>
    <s v="Male"/>
    <n v="32"/>
    <s v="No"/>
    <x v="51"/>
    <x v="0"/>
    <x v="2"/>
    <x v="3"/>
    <s v="Yes"/>
    <s v="No"/>
    <n v="4"/>
    <n v="56.15"/>
    <n v="3926.68"/>
    <x v="0"/>
  </r>
  <r>
    <x v="1487"/>
    <s v="Male"/>
    <n v="67"/>
    <s v="Yes"/>
    <x v="39"/>
    <x v="2"/>
    <x v="0"/>
    <x v="1"/>
    <s v="No"/>
    <s v="No"/>
    <n v="4"/>
    <n v="85.13"/>
    <n v="2849.38"/>
    <x v="0"/>
  </r>
  <r>
    <x v="1488"/>
    <s v="Male"/>
    <n v="20"/>
    <s v="No"/>
    <x v="48"/>
    <x v="2"/>
    <x v="0"/>
    <x v="2"/>
    <s v="No"/>
    <s v="No"/>
    <n v="4"/>
    <n v="62.07"/>
    <n v="987.49"/>
    <x v="0"/>
  </r>
  <r>
    <x v="1489"/>
    <s v="Male"/>
    <n v="66"/>
    <s v="Yes"/>
    <x v="17"/>
    <x v="0"/>
    <x v="1"/>
    <x v="1"/>
    <s v="No"/>
    <s v="Yes"/>
    <n v="6"/>
    <n v="57.87"/>
    <n v="861.82"/>
    <x v="1"/>
  </r>
  <r>
    <x v="1490"/>
    <s v="Male"/>
    <n v="53"/>
    <s v="No"/>
    <x v="21"/>
    <x v="2"/>
    <x v="0"/>
    <x v="3"/>
    <s v="Yes"/>
    <s v="Yes"/>
    <n v="4"/>
    <n v="83.83"/>
    <n v="1074.78"/>
    <x v="1"/>
  </r>
  <r>
    <x v="1491"/>
    <s v="Male"/>
    <n v="21"/>
    <s v="No"/>
    <x v="39"/>
    <x v="0"/>
    <x v="2"/>
    <x v="0"/>
    <s v="Yes"/>
    <s v="No"/>
    <n v="1"/>
    <n v="58.47"/>
    <n v="1908.97"/>
    <x v="0"/>
  </r>
  <r>
    <x v="1492"/>
    <s v="Male"/>
    <n v="31"/>
    <s v="No"/>
    <x v="24"/>
    <x v="0"/>
    <x v="0"/>
    <x v="3"/>
    <s v="No"/>
    <s v="Yes"/>
    <n v="4"/>
    <n v="71.16"/>
    <n v="4483.41"/>
    <x v="0"/>
  </r>
  <r>
    <x v="1493"/>
    <s v="Female"/>
    <n v="58"/>
    <s v="No"/>
    <x v="19"/>
    <x v="0"/>
    <x v="2"/>
    <x v="1"/>
    <s v="No"/>
    <s v="No"/>
    <n v="5"/>
    <n v="71.13"/>
    <n v="1383.96"/>
    <x v="1"/>
  </r>
  <r>
    <x v="1494"/>
    <s v="Female"/>
    <n v="58"/>
    <s v="No"/>
    <x v="62"/>
    <x v="0"/>
    <x v="2"/>
    <x v="3"/>
    <s v="No"/>
    <s v="No"/>
    <n v="6"/>
    <n v="71.64"/>
    <n v="3652.69"/>
    <x v="1"/>
  </r>
  <r>
    <x v="1495"/>
    <s v="Male"/>
    <n v="42"/>
    <s v="No"/>
    <x v="20"/>
    <x v="2"/>
    <x v="0"/>
    <x v="1"/>
    <s v="Yes"/>
    <s v="Yes"/>
    <n v="3"/>
    <n v="70.75"/>
    <n v="2263.4499999999998"/>
    <x v="0"/>
  </r>
  <r>
    <x v="1496"/>
    <s v="Female"/>
    <n v="75"/>
    <s v="Yes"/>
    <x v="11"/>
    <x v="0"/>
    <x v="0"/>
    <x v="1"/>
    <s v="No"/>
    <s v="No"/>
    <n v="4"/>
    <n v="78.05"/>
    <n v="3795.65"/>
    <x v="0"/>
  </r>
  <r>
    <x v="1497"/>
    <s v="Female"/>
    <n v="72"/>
    <s v="Yes"/>
    <x v="39"/>
    <x v="0"/>
    <x v="2"/>
    <x v="3"/>
    <s v="Yes"/>
    <s v="No"/>
    <n v="2"/>
    <n v="49.56"/>
    <n v="1816.53"/>
    <x v="0"/>
  </r>
  <r>
    <x v="1498"/>
    <s v="Male"/>
    <n v="67"/>
    <s v="Yes"/>
    <x v="52"/>
    <x v="0"/>
    <x v="0"/>
    <x v="3"/>
    <s v="Yes"/>
    <s v="No"/>
    <n v="6"/>
    <n v="84.45"/>
    <n v="2960.8"/>
    <x v="1"/>
  </r>
  <r>
    <x v="1499"/>
    <s v="Male"/>
    <n v="27"/>
    <s v="No"/>
    <x v="71"/>
    <x v="0"/>
    <x v="0"/>
    <x v="1"/>
    <s v="No"/>
    <s v="Yes"/>
    <n v="2"/>
    <n v="61.56"/>
    <n v="1883.66"/>
    <x v="1"/>
  </r>
  <r>
    <x v="1500"/>
    <s v="Male"/>
    <n v="38"/>
    <s v="No"/>
    <x v="70"/>
    <x v="0"/>
    <x v="2"/>
    <x v="1"/>
    <s v="No"/>
    <s v="No"/>
    <n v="2"/>
    <n v="59.22"/>
    <n v="1531.45"/>
    <x v="1"/>
  </r>
  <r>
    <x v="1501"/>
    <s v="Female"/>
    <n v="53"/>
    <s v="No"/>
    <x v="65"/>
    <x v="1"/>
    <x v="0"/>
    <x v="2"/>
    <s v="Yes"/>
    <s v="No"/>
    <n v="5"/>
    <n v="76.38"/>
    <n v="3790.42"/>
    <x v="0"/>
  </r>
  <r>
    <x v="1502"/>
    <s v="Female"/>
    <n v="29"/>
    <s v="No"/>
    <x v="10"/>
    <x v="0"/>
    <x v="1"/>
    <x v="2"/>
    <s v="No"/>
    <s v="No"/>
    <n v="4"/>
    <n v="33.65"/>
    <n v="1137.05"/>
    <x v="0"/>
  </r>
  <r>
    <x v="1503"/>
    <s v="Male"/>
    <n v="44"/>
    <s v="No"/>
    <x v="60"/>
    <x v="2"/>
    <x v="2"/>
    <x v="1"/>
    <s v="Yes"/>
    <s v="Yes"/>
    <n v="2"/>
    <n v="59.39"/>
    <n v="3508.72"/>
    <x v="0"/>
  </r>
  <r>
    <x v="1504"/>
    <s v="Male"/>
    <n v="57"/>
    <s v="No"/>
    <x v="43"/>
    <x v="2"/>
    <x v="0"/>
    <x v="3"/>
    <s v="Yes"/>
    <s v="No"/>
    <n v="5"/>
    <n v="73.180000000000007"/>
    <n v="4370.1000000000004"/>
    <x v="0"/>
  </r>
  <r>
    <x v="1505"/>
    <s v="Male"/>
    <n v="19"/>
    <s v="No"/>
    <x v="4"/>
    <x v="0"/>
    <x v="2"/>
    <x v="0"/>
    <s v="Yes"/>
    <s v="No"/>
    <n v="5"/>
    <n v="60.88"/>
    <n v="177.6"/>
    <x v="0"/>
  </r>
  <r>
    <x v="1506"/>
    <s v="Female"/>
    <n v="71"/>
    <s v="Yes"/>
    <x v="25"/>
    <x v="2"/>
    <x v="2"/>
    <x v="3"/>
    <s v="No"/>
    <s v="No"/>
    <n v="8"/>
    <n v="68.040000000000006"/>
    <n v="4550.99"/>
    <x v="0"/>
  </r>
  <r>
    <x v="1507"/>
    <s v="Female"/>
    <n v="30"/>
    <s v="No"/>
    <x v="69"/>
    <x v="0"/>
    <x v="0"/>
    <x v="2"/>
    <s v="Yes"/>
    <s v="No"/>
    <n v="2"/>
    <n v="82.46"/>
    <n v="768.04"/>
    <x v="1"/>
  </r>
  <r>
    <x v="1508"/>
    <s v="Female"/>
    <n v="70"/>
    <s v="Yes"/>
    <x v="26"/>
    <x v="0"/>
    <x v="0"/>
    <x v="1"/>
    <s v="No"/>
    <s v="No"/>
    <n v="3"/>
    <n v="83.01"/>
    <n v="2051.27"/>
    <x v="1"/>
  </r>
  <r>
    <x v="1509"/>
    <s v="Female"/>
    <n v="49"/>
    <s v="No"/>
    <x v="27"/>
    <x v="0"/>
    <x v="0"/>
    <x v="2"/>
    <s v="Yes"/>
    <s v="No"/>
    <n v="4"/>
    <n v="73.25"/>
    <n v="5312.05"/>
    <x v="0"/>
  </r>
  <r>
    <x v="1510"/>
    <s v="Male"/>
    <n v="48"/>
    <s v="No"/>
    <x v="31"/>
    <x v="0"/>
    <x v="0"/>
    <x v="0"/>
    <s v="Yes"/>
    <s v="Yes"/>
    <n v="4"/>
    <n v="72.02"/>
    <n v="4377.8"/>
    <x v="0"/>
  </r>
  <r>
    <x v="1511"/>
    <s v="Male"/>
    <n v="33"/>
    <s v="No"/>
    <x v="63"/>
    <x v="0"/>
    <x v="0"/>
    <x v="3"/>
    <s v="Yes"/>
    <s v="No"/>
    <n v="2"/>
    <n v="76.37"/>
    <n v="2360.37"/>
    <x v="0"/>
  </r>
  <r>
    <x v="1512"/>
    <s v="Male"/>
    <n v="49"/>
    <s v="No"/>
    <x v="13"/>
    <x v="1"/>
    <x v="0"/>
    <x v="3"/>
    <s v="No"/>
    <s v="Yes"/>
    <n v="3"/>
    <n v="78.03"/>
    <n v="1557.8"/>
    <x v="0"/>
  </r>
  <r>
    <x v="1513"/>
    <s v="Male"/>
    <n v="49"/>
    <s v="No"/>
    <x v="66"/>
    <x v="0"/>
    <x v="0"/>
    <x v="2"/>
    <s v="No"/>
    <s v="No"/>
    <n v="6"/>
    <n v="84.52"/>
    <n v="3915.91"/>
    <x v="0"/>
  </r>
  <r>
    <x v="1514"/>
    <s v="Female"/>
    <n v="51"/>
    <s v="No"/>
    <x v="36"/>
    <x v="1"/>
    <x v="2"/>
    <x v="1"/>
    <s v="No"/>
    <s v="No"/>
    <n v="2"/>
    <n v="47.87"/>
    <n v="3385.73"/>
    <x v="0"/>
  </r>
  <r>
    <x v="1515"/>
    <s v="Female"/>
    <n v="28"/>
    <s v="No"/>
    <x v="31"/>
    <x v="0"/>
    <x v="2"/>
    <x v="1"/>
    <s v="No"/>
    <s v="Yes"/>
    <n v="6"/>
    <n v="65.36"/>
    <n v="4118.68"/>
    <x v="0"/>
  </r>
  <r>
    <x v="1516"/>
    <s v="Male"/>
    <n v="27"/>
    <s v="No"/>
    <x v="66"/>
    <x v="1"/>
    <x v="2"/>
    <x v="1"/>
    <s v="No"/>
    <s v="No"/>
    <n v="2"/>
    <n v="57.31"/>
    <n v="2610.6999999999998"/>
    <x v="0"/>
  </r>
  <r>
    <x v="1517"/>
    <s v="Male"/>
    <n v="32"/>
    <s v="No"/>
    <x v="26"/>
    <x v="0"/>
    <x v="2"/>
    <x v="2"/>
    <s v="No"/>
    <s v="No"/>
    <n v="5"/>
    <n v="73.989999999999995"/>
    <n v="1923.17"/>
    <x v="1"/>
  </r>
  <r>
    <x v="1518"/>
    <s v="Female"/>
    <n v="34"/>
    <s v="No"/>
    <x v="28"/>
    <x v="0"/>
    <x v="1"/>
    <x v="3"/>
    <s v="Yes"/>
    <s v="Yes"/>
    <n v="7"/>
    <n v="65.760000000000005"/>
    <n v="1358"/>
    <x v="0"/>
  </r>
  <r>
    <x v="1519"/>
    <s v="Male"/>
    <n v="57"/>
    <s v="No"/>
    <x v="11"/>
    <x v="0"/>
    <x v="2"/>
    <x v="3"/>
    <s v="No"/>
    <s v="No"/>
    <n v="4"/>
    <n v="53.86"/>
    <n v="2674.45"/>
    <x v="0"/>
  </r>
  <r>
    <x v="1520"/>
    <s v="Female"/>
    <n v="35"/>
    <s v="No"/>
    <x v="70"/>
    <x v="0"/>
    <x v="2"/>
    <x v="1"/>
    <s v="No"/>
    <s v="No"/>
    <n v="4"/>
    <n v="59.41"/>
    <n v="1476.27"/>
    <x v="0"/>
  </r>
  <r>
    <x v="1521"/>
    <s v="Male"/>
    <n v="72"/>
    <s v="Yes"/>
    <x v="15"/>
    <x v="0"/>
    <x v="0"/>
    <x v="2"/>
    <s v="No"/>
    <s v="No"/>
    <n v="4"/>
    <n v="88.4"/>
    <n v="953.64"/>
    <x v="0"/>
  </r>
  <r>
    <x v="1522"/>
    <s v="Male"/>
    <n v="26"/>
    <s v="No"/>
    <x v="60"/>
    <x v="2"/>
    <x v="1"/>
    <x v="2"/>
    <s v="No"/>
    <s v="No"/>
    <n v="4"/>
    <n v="34.909999999999997"/>
    <n v="1896.57"/>
    <x v="0"/>
  </r>
  <r>
    <x v="1523"/>
    <s v="Male"/>
    <n v="42"/>
    <s v="No"/>
    <x v="23"/>
    <x v="0"/>
    <x v="0"/>
    <x v="3"/>
    <s v="No"/>
    <s v="No"/>
    <n v="7"/>
    <n v="86.23"/>
    <n v="2334.89"/>
    <x v="1"/>
  </r>
  <r>
    <x v="1524"/>
    <s v="Male"/>
    <n v="57"/>
    <s v="No"/>
    <x v="25"/>
    <x v="1"/>
    <x v="0"/>
    <x v="1"/>
    <s v="No"/>
    <s v="No"/>
    <n v="8"/>
    <n v="100.58"/>
    <n v="6549.45"/>
    <x v="0"/>
  </r>
  <r>
    <x v="1525"/>
    <s v="Male"/>
    <n v="31"/>
    <s v="No"/>
    <x v="18"/>
    <x v="1"/>
    <x v="2"/>
    <x v="1"/>
    <s v="No"/>
    <s v="No"/>
    <n v="5"/>
    <n v="59.72"/>
    <n v="3737.34"/>
    <x v="1"/>
  </r>
  <r>
    <x v="1526"/>
    <s v="Male"/>
    <n v="75"/>
    <s v="Yes"/>
    <x v="24"/>
    <x v="2"/>
    <x v="0"/>
    <x v="3"/>
    <s v="No"/>
    <s v="No"/>
    <n v="3"/>
    <n v="64.67"/>
    <n v="4059.69"/>
    <x v="0"/>
  </r>
  <r>
    <x v="1527"/>
    <s v="Male"/>
    <n v="42"/>
    <s v="No"/>
    <x v="30"/>
    <x v="0"/>
    <x v="0"/>
    <x v="3"/>
    <s v="No"/>
    <s v="No"/>
    <n v="7"/>
    <n v="85.21"/>
    <n v="436.36"/>
    <x v="1"/>
  </r>
  <r>
    <x v="1528"/>
    <s v="Female"/>
    <n v="67"/>
    <s v="Yes"/>
    <x v="42"/>
    <x v="0"/>
    <x v="2"/>
    <x v="1"/>
    <s v="No"/>
    <s v="No"/>
    <n v="7"/>
    <n v="77.930000000000007"/>
    <n v="3692.2"/>
    <x v="0"/>
  </r>
  <r>
    <x v="1529"/>
    <s v="Female"/>
    <n v="39"/>
    <s v="No"/>
    <x v="19"/>
    <x v="2"/>
    <x v="2"/>
    <x v="3"/>
    <s v="No"/>
    <s v="No"/>
    <n v="5"/>
    <n v="64.739999999999995"/>
    <n v="1427.23"/>
    <x v="0"/>
  </r>
  <r>
    <x v="1530"/>
    <s v="Female"/>
    <n v="69"/>
    <s v="Yes"/>
    <x v="1"/>
    <x v="1"/>
    <x v="2"/>
    <x v="1"/>
    <s v="No"/>
    <s v="No"/>
    <n v="5"/>
    <n v="52.06"/>
    <n v="668.24"/>
    <x v="0"/>
  </r>
  <r>
    <x v="1531"/>
    <s v="Female"/>
    <n v="47"/>
    <s v="No"/>
    <x v="32"/>
    <x v="0"/>
    <x v="1"/>
    <x v="2"/>
    <s v="Yes"/>
    <s v="No"/>
    <n v="2"/>
    <n v="28.74"/>
    <n v="1512.74"/>
    <x v="0"/>
  </r>
  <r>
    <x v="1532"/>
    <s v="Female"/>
    <n v="37"/>
    <s v="No"/>
    <x v="12"/>
    <x v="0"/>
    <x v="0"/>
    <x v="3"/>
    <s v="No"/>
    <s v="No"/>
    <n v="2"/>
    <n v="83.76"/>
    <n v="347.24"/>
    <x v="0"/>
  </r>
  <r>
    <x v="1533"/>
    <s v="Male"/>
    <n v="38"/>
    <s v="No"/>
    <x v="55"/>
    <x v="0"/>
    <x v="0"/>
    <x v="1"/>
    <s v="Yes"/>
    <s v="No"/>
    <n v="5"/>
    <n v="82.51"/>
    <n v="3271.42"/>
    <x v="0"/>
  </r>
  <r>
    <x v="1534"/>
    <s v="Male"/>
    <n v="61"/>
    <s v="Yes"/>
    <x v="52"/>
    <x v="1"/>
    <x v="2"/>
    <x v="3"/>
    <s v="No"/>
    <s v="No"/>
    <n v="6"/>
    <n v="65.3"/>
    <n v="2421.4499999999998"/>
    <x v="0"/>
  </r>
  <r>
    <x v="1535"/>
    <s v="Female"/>
    <n v="49"/>
    <s v="No"/>
    <x v="26"/>
    <x v="1"/>
    <x v="0"/>
    <x v="0"/>
    <s v="No"/>
    <s v="No"/>
    <n v="4"/>
    <n v="79.06"/>
    <n v="1997.15"/>
    <x v="0"/>
  </r>
  <r>
    <x v="1536"/>
    <s v="Male"/>
    <n v="68"/>
    <s v="Yes"/>
    <x v="54"/>
    <x v="0"/>
    <x v="2"/>
    <x v="1"/>
    <s v="No"/>
    <s v="Yes"/>
    <n v="4"/>
    <n v="60.44"/>
    <n v="788.87"/>
    <x v="0"/>
  </r>
  <r>
    <x v="1537"/>
    <s v="Female"/>
    <n v="63"/>
    <s v="Yes"/>
    <x v="10"/>
    <x v="1"/>
    <x v="0"/>
    <x v="2"/>
    <s v="No"/>
    <s v="No"/>
    <n v="8"/>
    <n v="92.26"/>
    <n v="2766.33"/>
    <x v="0"/>
  </r>
  <r>
    <x v="1538"/>
    <s v="Female"/>
    <n v="66"/>
    <s v="Yes"/>
    <x v="15"/>
    <x v="1"/>
    <x v="2"/>
    <x v="1"/>
    <s v="No"/>
    <s v="No"/>
    <n v="6"/>
    <n v="76.38"/>
    <n v="898.56"/>
    <x v="0"/>
  </r>
  <r>
    <x v="1539"/>
    <s v="Male"/>
    <n v="73"/>
    <s v="Yes"/>
    <x v="31"/>
    <x v="0"/>
    <x v="2"/>
    <x v="1"/>
    <s v="Yes"/>
    <s v="No"/>
    <n v="2"/>
    <n v="47.7"/>
    <n v="3004.06"/>
    <x v="0"/>
  </r>
  <r>
    <x v="1540"/>
    <s v="Male"/>
    <n v="38"/>
    <s v="No"/>
    <x v="68"/>
    <x v="1"/>
    <x v="2"/>
    <x v="1"/>
    <s v="No"/>
    <s v="No"/>
    <n v="4"/>
    <n v="65.959999999999994"/>
    <n v="1144.55"/>
    <x v="0"/>
  </r>
  <r>
    <x v="1541"/>
    <s v="Male"/>
    <n v="52"/>
    <s v="No"/>
    <x v="5"/>
    <x v="2"/>
    <x v="2"/>
    <x v="1"/>
    <s v="No"/>
    <s v="No"/>
    <n v="4"/>
    <n v="71.760000000000005"/>
    <n v="1884"/>
    <x v="0"/>
  </r>
  <r>
    <x v="1542"/>
    <s v="Female"/>
    <n v="75"/>
    <s v="Yes"/>
    <x v="60"/>
    <x v="0"/>
    <x v="2"/>
    <x v="1"/>
    <s v="No"/>
    <s v="No"/>
    <n v="1"/>
    <n v="49.64"/>
    <n v="2679.72"/>
    <x v="0"/>
  </r>
  <r>
    <x v="1543"/>
    <s v="Male"/>
    <n v="49"/>
    <s v="No"/>
    <x v="62"/>
    <x v="2"/>
    <x v="0"/>
    <x v="1"/>
    <s v="No"/>
    <s v="No"/>
    <n v="4"/>
    <n v="71.67"/>
    <n v="3607.05"/>
    <x v="0"/>
  </r>
  <r>
    <x v="1544"/>
    <s v="Female"/>
    <n v="47"/>
    <s v="No"/>
    <x v="19"/>
    <x v="0"/>
    <x v="0"/>
    <x v="3"/>
    <s v="No"/>
    <s v="No"/>
    <n v="4"/>
    <n v="80.319999999999993"/>
    <n v="1751.27"/>
    <x v="1"/>
  </r>
  <r>
    <x v="1545"/>
    <s v="Female"/>
    <n v="72"/>
    <s v="Yes"/>
    <x v="35"/>
    <x v="0"/>
    <x v="0"/>
    <x v="1"/>
    <s v="Yes"/>
    <s v="No"/>
    <n v="5"/>
    <n v="79.05"/>
    <n v="3298.35"/>
    <x v="1"/>
  </r>
  <r>
    <x v="1546"/>
    <s v="Female"/>
    <n v="56"/>
    <s v="No"/>
    <x v="30"/>
    <x v="0"/>
    <x v="0"/>
    <x v="3"/>
    <s v="No"/>
    <s v="No"/>
    <n v="7"/>
    <n v="97.29"/>
    <n v="510.2"/>
    <x v="1"/>
  </r>
  <r>
    <x v="1547"/>
    <s v="Male"/>
    <n v="66"/>
    <s v="Yes"/>
    <x v="41"/>
    <x v="0"/>
    <x v="0"/>
    <x v="1"/>
    <s v="Yes"/>
    <s v="No"/>
    <n v="4"/>
    <n v="80.45"/>
    <n v="3480.98"/>
    <x v="0"/>
  </r>
  <r>
    <x v="1548"/>
    <s v="Male"/>
    <n v="29"/>
    <s v="No"/>
    <x v="24"/>
    <x v="0"/>
    <x v="2"/>
    <x v="1"/>
    <s v="No"/>
    <s v="No"/>
    <n v="3"/>
    <n v="54.17"/>
    <n v="3266.82"/>
    <x v="0"/>
  </r>
  <r>
    <x v="1549"/>
    <s v="Female"/>
    <n v="58"/>
    <s v="No"/>
    <x v="62"/>
    <x v="0"/>
    <x v="0"/>
    <x v="1"/>
    <s v="No"/>
    <s v="Yes"/>
    <n v="1"/>
    <n v="59.94"/>
    <n v="3376.51"/>
    <x v="0"/>
  </r>
  <r>
    <x v="1550"/>
    <s v="Male"/>
    <n v="64"/>
    <s v="Yes"/>
    <x v="46"/>
    <x v="2"/>
    <x v="2"/>
    <x v="2"/>
    <s v="Yes"/>
    <s v="Yes"/>
    <n v="5"/>
    <n v="49.97"/>
    <n v="1041.6199999999999"/>
    <x v="0"/>
  </r>
  <r>
    <x v="1551"/>
    <s v="Male"/>
    <n v="35"/>
    <s v="No"/>
    <x v="61"/>
    <x v="0"/>
    <x v="1"/>
    <x v="3"/>
    <s v="No"/>
    <s v="No"/>
    <n v="4"/>
    <n v="35.32"/>
    <n v="2323.69"/>
    <x v="0"/>
  </r>
  <r>
    <x v="1552"/>
    <s v="Male"/>
    <n v="38"/>
    <s v="No"/>
    <x v="59"/>
    <x v="1"/>
    <x v="0"/>
    <x v="2"/>
    <s v="No"/>
    <s v="No"/>
    <n v="8"/>
    <n v="99.56"/>
    <n v="6552.09"/>
    <x v="0"/>
  </r>
  <r>
    <x v="1553"/>
    <s v="Female"/>
    <n v="30"/>
    <s v="No"/>
    <x v="57"/>
    <x v="0"/>
    <x v="0"/>
    <x v="1"/>
    <s v="No"/>
    <s v="No"/>
    <n v="3"/>
    <n v="83.28"/>
    <n v="6065.73"/>
    <x v="0"/>
  </r>
  <r>
    <x v="1554"/>
    <s v="Female"/>
    <n v="38"/>
    <s v="No"/>
    <x v="12"/>
    <x v="2"/>
    <x v="0"/>
    <x v="2"/>
    <s v="Yes"/>
    <s v="No"/>
    <n v="4"/>
    <n v="76.83"/>
    <n v="288.5"/>
    <x v="1"/>
  </r>
  <r>
    <x v="1555"/>
    <s v="Male"/>
    <n v="25"/>
    <s v="No"/>
    <x v="61"/>
    <x v="1"/>
    <x v="2"/>
    <x v="1"/>
    <s v="Yes"/>
    <s v="Yes"/>
    <n v="3"/>
    <n v="48.39"/>
    <n v="3067.03"/>
    <x v="0"/>
  </r>
  <r>
    <x v="1556"/>
    <s v="Female"/>
    <n v="63"/>
    <s v="Yes"/>
    <x v="48"/>
    <x v="0"/>
    <x v="0"/>
    <x v="1"/>
    <s v="No"/>
    <s v="Yes"/>
    <n v="5"/>
    <n v="84.33"/>
    <n v="1229.54"/>
    <x v="1"/>
  </r>
  <r>
    <x v="1557"/>
    <s v="Male"/>
    <n v="57"/>
    <s v="No"/>
    <x v="46"/>
    <x v="1"/>
    <x v="0"/>
    <x v="3"/>
    <s v="Yes"/>
    <s v="No"/>
    <n v="6"/>
    <n v="91.82"/>
    <n v="2043.48"/>
    <x v="1"/>
  </r>
  <r>
    <x v="1558"/>
    <s v="Male"/>
    <n v="63"/>
    <s v="Yes"/>
    <x v="37"/>
    <x v="0"/>
    <x v="2"/>
    <x v="0"/>
    <s v="No"/>
    <s v="Yes"/>
    <n v="6"/>
    <n v="72.44"/>
    <n v="3549.17"/>
    <x v="0"/>
  </r>
  <r>
    <x v="1559"/>
    <s v="Male"/>
    <n v="24"/>
    <s v="No"/>
    <x v="16"/>
    <x v="1"/>
    <x v="0"/>
    <x v="2"/>
    <s v="No"/>
    <s v="No"/>
    <n v="5"/>
    <n v="84.36"/>
    <n v="3924.39"/>
    <x v="0"/>
  </r>
  <r>
    <x v="1560"/>
    <s v="Male"/>
    <n v="40"/>
    <s v="No"/>
    <x v="54"/>
    <x v="0"/>
    <x v="2"/>
    <x v="1"/>
    <s v="Yes"/>
    <s v="No"/>
    <n v="1"/>
    <n v="61.49"/>
    <n v="895.96"/>
    <x v="0"/>
  </r>
  <r>
    <x v="1561"/>
    <s v="Female"/>
    <n v="61"/>
    <s v="Yes"/>
    <x v="32"/>
    <x v="1"/>
    <x v="2"/>
    <x v="2"/>
    <s v="No"/>
    <s v="No"/>
    <n v="8"/>
    <n v="83.88"/>
    <n v="3924.89"/>
    <x v="0"/>
  </r>
  <r>
    <x v="1562"/>
    <s v="Female"/>
    <n v="49"/>
    <s v="No"/>
    <x v="28"/>
    <x v="1"/>
    <x v="2"/>
    <x v="3"/>
    <s v="No"/>
    <s v="Yes"/>
    <n v="4"/>
    <n v="50.44"/>
    <n v="1069.83"/>
    <x v="1"/>
  </r>
  <r>
    <x v="1563"/>
    <s v="Female"/>
    <n v="28"/>
    <s v="No"/>
    <x v="32"/>
    <x v="0"/>
    <x v="0"/>
    <x v="3"/>
    <s v="No"/>
    <s v="Yes"/>
    <n v="5"/>
    <n v="72.73"/>
    <n v="3657.81"/>
    <x v="0"/>
  </r>
  <r>
    <x v="1564"/>
    <s v="Male"/>
    <n v="39"/>
    <s v="No"/>
    <x v="7"/>
    <x v="0"/>
    <x v="1"/>
    <x v="1"/>
    <s v="No"/>
    <s v="No"/>
    <n v="5"/>
    <n v="37.090000000000003"/>
    <n v="1133.4000000000001"/>
    <x v="0"/>
  </r>
  <r>
    <x v="1565"/>
    <s v="Male"/>
    <n v="39"/>
    <s v="No"/>
    <x v="24"/>
    <x v="2"/>
    <x v="2"/>
    <x v="1"/>
    <s v="No"/>
    <s v="No"/>
    <n v="4"/>
    <n v="67.180000000000007"/>
    <n v="4054.44"/>
    <x v="0"/>
  </r>
  <r>
    <x v="1566"/>
    <s v="Male"/>
    <n v="60"/>
    <s v="Yes"/>
    <x v="66"/>
    <x v="0"/>
    <x v="0"/>
    <x v="2"/>
    <s v="No"/>
    <s v="Yes"/>
    <n v="6"/>
    <n v="75.040000000000006"/>
    <n v="3235.68"/>
    <x v="0"/>
  </r>
  <r>
    <x v="1567"/>
    <s v="Female"/>
    <n v="42"/>
    <s v="No"/>
    <x v="1"/>
    <x v="0"/>
    <x v="0"/>
    <x v="0"/>
    <s v="No"/>
    <s v="No"/>
    <n v="5"/>
    <n v="86.2"/>
    <n v="988.12"/>
    <x v="1"/>
  </r>
  <r>
    <x v="1568"/>
    <s v="Male"/>
    <n v="39"/>
    <s v="No"/>
    <x v="6"/>
    <x v="0"/>
    <x v="0"/>
    <x v="3"/>
    <s v="Yes"/>
    <s v="Yes"/>
    <n v="5"/>
    <n v="81.81"/>
    <n v="3410.85"/>
    <x v="0"/>
  </r>
  <r>
    <x v="1569"/>
    <s v="Female"/>
    <n v="45"/>
    <s v="No"/>
    <x v="28"/>
    <x v="0"/>
    <x v="1"/>
    <x v="2"/>
    <s v="No"/>
    <s v="No"/>
    <n v="2"/>
    <n v="24.29"/>
    <n v="519.5"/>
    <x v="0"/>
  </r>
  <r>
    <x v="1570"/>
    <s v="Female"/>
    <n v="46"/>
    <s v="No"/>
    <x v="52"/>
    <x v="2"/>
    <x v="1"/>
    <x v="1"/>
    <s v="No"/>
    <s v="Yes"/>
    <n v="1"/>
    <n v="30.74"/>
    <n v="1134.98"/>
    <x v="1"/>
  </r>
  <r>
    <x v="1571"/>
    <s v="Female"/>
    <n v="30"/>
    <s v="No"/>
    <x v="4"/>
    <x v="0"/>
    <x v="2"/>
    <x v="3"/>
    <s v="No"/>
    <s v="No"/>
    <n v="4"/>
    <n v="57.76"/>
    <n v="173.11"/>
    <x v="0"/>
  </r>
  <r>
    <x v="1572"/>
    <s v="Female"/>
    <n v="35"/>
    <s v="No"/>
    <x v="23"/>
    <x v="0"/>
    <x v="1"/>
    <x v="3"/>
    <s v="No"/>
    <s v="No"/>
    <n v="3"/>
    <n v="42.65"/>
    <n v="1123.1500000000001"/>
    <x v="0"/>
  </r>
  <r>
    <x v="1573"/>
    <s v="Female"/>
    <n v="19"/>
    <s v="No"/>
    <x v="64"/>
    <x v="1"/>
    <x v="0"/>
    <x v="1"/>
    <s v="No"/>
    <s v="Yes"/>
    <n v="4"/>
    <n v="67.61"/>
    <n v="4046.53"/>
    <x v="0"/>
  </r>
  <r>
    <x v="1574"/>
    <s v="Female"/>
    <n v="46"/>
    <s v="No"/>
    <x v="21"/>
    <x v="2"/>
    <x v="0"/>
    <x v="1"/>
    <s v="No"/>
    <s v="No"/>
    <n v="6"/>
    <n v="80.75"/>
    <n v="1019.31"/>
    <x v="0"/>
  </r>
  <r>
    <x v="1575"/>
    <s v="Male"/>
    <n v="38"/>
    <s v="No"/>
    <x v="36"/>
    <x v="0"/>
    <x v="1"/>
    <x v="0"/>
    <s v="Yes"/>
    <s v="No"/>
    <n v="2"/>
    <n v="26.89"/>
    <n v="1688.07"/>
    <x v="0"/>
  </r>
  <r>
    <x v="1576"/>
    <s v="Male"/>
    <n v="32"/>
    <s v="No"/>
    <x v="67"/>
    <x v="0"/>
    <x v="2"/>
    <x v="0"/>
    <s v="Yes"/>
    <s v="No"/>
    <n v="3"/>
    <n v="59.63"/>
    <n v="2198.6999999999998"/>
    <x v="0"/>
  </r>
  <r>
    <x v="1577"/>
    <s v="Female"/>
    <n v="69"/>
    <s v="Yes"/>
    <x v="65"/>
    <x v="2"/>
    <x v="2"/>
    <x v="3"/>
    <s v="Yes"/>
    <s v="Yes"/>
    <n v="5"/>
    <n v="61.34"/>
    <n v="2786.02"/>
    <x v="0"/>
  </r>
  <r>
    <x v="1578"/>
    <s v="Female"/>
    <n v="44"/>
    <s v="No"/>
    <x v="36"/>
    <x v="1"/>
    <x v="2"/>
    <x v="1"/>
    <s v="No"/>
    <s v="No"/>
    <n v="5"/>
    <n v="71.27"/>
    <n v="4517.8"/>
    <x v="0"/>
  </r>
  <r>
    <x v="1579"/>
    <s v="Male"/>
    <n v="67"/>
    <s v="Yes"/>
    <x v="58"/>
    <x v="0"/>
    <x v="1"/>
    <x v="2"/>
    <s v="No"/>
    <s v="Yes"/>
    <n v="1"/>
    <n v="26.21"/>
    <n v="878.29"/>
    <x v="0"/>
  </r>
  <r>
    <x v="1580"/>
    <s v="Female"/>
    <n v="48"/>
    <s v="No"/>
    <x v="62"/>
    <x v="0"/>
    <x v="2"/>
    <x v="1"/>
    <s v="No"/>
    <s v="No"/>
    <n v="4"/>
    <n v="60.54"/>
    <n v="3074.25"/>
    <x v="0"/>
  </r>
  <r>
    <x v="1581"/>
    <s v="Female"/>
    <n v="32"/>
    <s v="No"/>
    <x v="29"/>
    <x v="0"/>
    <x v="1"/>
    <x v="3"/>
    <s v="No"/>
    <s v="No"/>
    <n v="3"/>
    <n v="47.39"/>
    <n v="1155.68"/>
    <x v="1"/>
  </r>
  <r>
    <x v="1582"/>
    <s v="Male"/>
    <n v="68"/>
    <s v="Yes"/>
    <x v="50"/>
    <x v="0"/>
    <x v="2"/>
    <x v="3"/>
    <s v="No"/>
    <s v="No"/>
    <n v="4"/>
    <n v="46.59"/>
    <n v="3554.36"/>
    <x v="0"/>
  </r>
  <r>
    <x v="1583"/>
    <s v="Female"/>
    <n v="40"/>
    <s v="No"/>
    <x v="6"/>
    <x v="0"/>
    <x v="0"/>
    <x v="1"/>
    <s v="No"/>
    <s v="No"/>
    <n v="5"/>
    <n v="83.2"/>
    <n v="3557.2"/>
    <x v="0"/>
  </r>
  <r>
    <x v="1584"/>
    <s v="Female"/>
    <n v="41"/>
    <s v="No"/>
    <x v="66"/>
    <x v="2"/>
    <x v="1"/>
    <x v="1"/>
    <s v="No"/>
    <s v="No"/>
    <n v="4"/>
    <n v="40.78"/>
    <n v="1746.39"/>
    <x v="0"/>
  </r>
  <r>
    <x v="1585"/>
    <s v="Female"/>
    <n v="61"/>
    <s v="Yes"/>
    <x v="46"/>
    <x v="0"/>
    <x v="0"/>
    <x v="2"/>
    <s v="No"/>
    <s v="No"/>
    <n v="5"/>
    <n v="77.489999999999995"/>
    <n v="1740.35"/>
    <x v="1"/>
  </r>
  <r>
    <x v="1586"/>
    <s v="Male"/>
    <n v="30"/>
    <s v="No"/>
    <x v="28"/>
    <x v="1"/>
    <x v="1"/>
    <x v="2"/>
    <s v="Yes"/>
    <s v="Yes"/>
    <n v="3"/>
    <n v="35.85"/>
    <n v="739.47"/>
    <x v="0"/>
  </r>
  <r>
    <x v="1587"/>
    <s v="Male"/>
    <n v="39"/>
    <s v="No"/>
    <x v="9"/>
    <x v="0"/>
    <x v="2"/>
    <x v="1"/>
    <s v="Yes"/>
    <s v="Yes"/>
    <n v="4"/>
    <n v="61.19"/>
    <n v="481.01"/>
    <x v="1"/>
  </r>
  <r>
    <x v="1588"/>
    <s v="Male"/>
    <n v="60"/>
    <s v="Yes"/>
    <x v="63"/>
    <x v="1"/>
    <x v="2"/>
    <x v="0"/>
    <s v="No"/>
    <s v="No"/>
    <n v="5"/>
    <n v="57.78"/>
    <n v="1640.82"/>
    <x v="0"/>
  </r>
  <r>
    <x v="1589"/>
    <s v="Female"/>
    <n v="54"/>
    <s v="No"/>
    <x v="6"/>
    <x v="1"/>
    <x v="2"/>
    <x v="0"/>
    <s v="No"/>
    <s v="No"/>
    <n v="6"/>
    <n v="67.39"/>
    <n v="2771.32"/>
    <x v="0"/>
  </r>
  <r>
    <x v="1590"/>
    <s v="Female"/>
    <n v="50"/>
    <s v="No"/>
    <x v="20"/>
    <x v="0"/>
    <x v="0"/>
    <x v="1"/>
    <s v="No"/>
    <s v="Yes"/>
    <n v="5"/>
    <n v="75.86"/>
    <n v="2230.91"/>
    <x v="1"/>
  </r>
  <r>
    <x v="1591"/>
    <s v="Male"/>
    <n v="73"/>
    <s v="Yes"/>
    <x v="60"/>
    <x v="0"/>
    <x v="0"/>
    <x v="3"/>
    <s v="No"/>
    <s v="No"/>
    <n v="4"/>
    <n v="77.569999999999993"/>
    <n v="4321.6499999999996"/>
    <x v="0"/>
  </r>
  <r>
    <x v="1592"/>
    <s v="Female"/>
    <n v="20"/>
    <s v="No"/>
    <x v="17"/>
    <x v="0"/>
    <x v="1"/>
    <x v="2"/>
    <s v="Yes"/>
    <s v="No"/>
    <n v="4"/>
    <n v="47.5"/>
    <n v="761.85"/>
    <x v="0"/>
  </r>
  <r>
    <x v="1593"/>
    <s v="Female"/>
    <n v="71"/>
    <s v="Yes"/>
    <x v="16"/>
    <x v="2"/>
    <x v="1"/>
    <x v="1"/>
    <s v="No"/>
    <s v="No"/>
    <n v="4"/>
    <n v="47.83"/>
    <n v="2208.79"/>
    <x v="0"/>
  </r>
  <r>
    <x v="1594"/>
    <s v="Female"/>
    <n v="36"/>
    <s v="No"/>
    <x v="38"/>
    <x v="2"/>
    <x v="0"/>
    <x v="2"/>
    <s v="No"/>
    <s v="Yes"/>
    <n v="2"/>
    <n v="79.209999999999994"/>
    <n v="5169.82"/>
    <x v="0"/>
  </r>
  <r>
    <x v="1595"/>
    <s v="Female"/>
    <n v="40"/>
    <s v="No"/>
    <x v="3"/>
    <x v="0"/>
    <x v="1"/>
    <x v="1"/>
    <s v="Yes"/>
    <s v="No"/>
    <n v="5"/>
    <n v="44.29"/>
    <n v="320.14999999999998"/>
    <x v="1"/>
  </r>
  <r>
    <x v="1596"/>
    <s v="Female"/>
    <n v="46"/>
    <s v="No"/>
    <x v="56"/>
    <x v="0"/>
    <x v="1"/>
    <x v="3"/>
    <s v="No"/>
    <s v="Yes"/>
    <n v="7"/>
    <n v="50.71"/>
    <n v="2450.15"/>
    <x v="0"/>
  </r>
  <r>
    <x v="1597"/>
    <s v="Male"/>
    <n v="47"/>
    <s v="No"/>
    <x v="24"/>
    <x v="0"/>
    <x v="2"/>
    <x v="0"/>
    <s v="No"/>
    <s v="Yes"/>
    <n v="1"/>
    <n v="52.17"/>
    <n v="3221.33"/>
    <x v="0"/>
  </r>
  <r>
    <x v="1598"/>
    <s v="Female"/>
    <n v="56"/>
    <s v="No"/>
    <x v="64"/>
    <x v="1"/>
    <x v="0"/>
    <x v="0"/>
    <s v="No"/>
    <s v="No"/>
    <n v="3"/>
    <n v="83.17"/>
    <n v="4393.5600000000004"/>
    <x v="0"/>
  </r>
  <r>
    <x v="1599"/>
    <s v="Male"/>
    <n v="61"/>
    <s v="Yes"/>
    <x v="11"/>
    <x v="0"/>
    <x v="1"/>
    <x v="0"/>
    <s v="Yes"/>
    <s v="Yes"/>
    <n v="7"/>
    <n v="53.58"/>
    <n v="2669.97"/>
    <x v="0"/>
  </r>
  <r>
    <x v="1600"/>
    <s v="Female"/>
    <n v="64"/>
    <s v="Yes"/>
    <x v="5"/>
    <x v="0"/>
    <x v="2"/>
    <x v="1"/>
    <s v="No"/>
    <s v="Yes"/>
    <n v="5"/>
    <n v="73.59"/>
    <n v="2039.59"/>
    <x v="0"/>
  </r>
  <r>
    <x v="1601"/>
    <s v="Male"/>
    <n v="42"/>
    <s v="No"/>
    <x v="53"/>
    <x v="0"/>
    <x v="1"/>
    <x v="3"/>
    <s v="No"/>
    <s v="Yes"/>
    <n v="2"/>
    <n v="37.97"/>
    <n v="2059.4299999999998"/>
    <x v="0"/>
  </r>
  <r>
    <x v="1602"/>
    <s v="Female"/>
    <n v="54"/>
    <s v="No"/>
    <x v="39"/>
    <x v="0"/>
    <x v="1"/>
    <x v="3"/>
    <s v="Yes"/>
    <s v="No"/>
    <n v="6"/>
    <n v="45"/>
    <n v="1570.15"/>
    <x v="0"/>
  </r>
  <r>
    <x v="1603"/>
    <s v="Male"/>
    <n v="64"/>
    <s v="Yes"/>
    <x v="42"/>
    <x v="1"/>
    <x v="1"/>
    <x v="1"/>
    <s v="No"/>
    <s v="Yes"/>
    <n v="4"/>
    <n v="37.85"/>
    <n v="1795.21"/>
    <x v="0"/>
  </r>
  <r>
    <x v="1604"/>
    <s v="Female"/>
    <n v="25"/>
    <s v="No"/>
    <x v="67"/>
    <x v="0"/>
    <x v="2"/>
    <x v="2"/>
    <s v="No"/>
    <s v="Yes"/>
    <n v="5"/>
    <n v="62.72"/>
    <n v="2488.2800000000002"/>
    <x v="0"/>
  </r>
  <r>
    <x v="1605"/>
    <s v="Male"/>
    <n v="59"/>
    <s v="No"/>
    <x v="44"/>
    <x v="1"/>
    <x v="0"/>
    <x v="1"/>
    <s v="No"/>
    <s v="No"/>
    <n v="3"/>
    <n v="64.010000000000005"/>
    <n v="3854.01"/>
    <x v="0"/>
  </r>
  <r>
    <x v="1606"/>
    <s v="Female"/>
    <n v="75"/>
    <s v="Yes"/>
    <x v="9"/>
    <x v="0"/>
    <x v="0"/>
    <x v="3"/>
    <s v="No"/>
    <s v="No"/>
    <n v="4"/>
    <n v="75.13"/>
    <n v="599.77"/>
    <x v="1"/>
  </r>
  <r>
    <x v="1607"/>
    <s v="Male"/>
    <n v="33"/>
    <s v="No"/>
    <x v="28"/>
    <x v="0"/>
    <x v="0"/>
    <x v="1"/>
    <s v="Yes"/>
    <s v="No"/>
    <n v="7"/>
    <n v="98.99"/>
    <n v="1871.65"/>
    <x v="1"/>
  </r>
  <r>
    <x v="1608"/>
    <s v="Female"/>
    <n v="25"/>
    <s v="No"/>
    <x v="53"/>
    <x v="1"/>
    <x v="0"/>
    <x v="1"/>
    <s v="No"/>
    <s v="No"/>
    <n v="6"/>
    <n v="96.42"/>
    <n v="5375.56"/>
    <x v="1"/>
  </r>
  <r>
    <x v="1609"/>
    <s v="Male"/>
    <n v="18"/>
    <s v="No"/>
    <x v="1"/>
    <x v="2"/>
    <x v="2"/>
    <x v="1"/>
    <s v="No"/>
    <s v="No"/>
    <n v="5"/>
    <n v="65"/>
    <n v="771.35"/>
    <x v="1"/>
  </r>
  <r>
    <x v="1610"/>
    <s v="Male"/>
    <n v="61"/>
    <s v="Yes"/>
    <x v="65"/>
    <x v="1"/>
    <x v="2"/>
    <x v="3"/>
    <s v="Yes"/>
    <s v="No"/>
    <n v="2"/>
    <n v="54.18"/>
    <n v="2608.14"/>
    <x v="0"/>
  </r>
  <r>
    <x v="1611"/>
    <s v="Female"/>
    <n v="22"/>
    <s v="No"/>
    <x v="47"/>
    <x v="0"/>
    <x v="1"/>
    <x v="3"/>
    <s v="No"/>
    <s v="Yes"/>
    <n v="3"/>
    <n v="34.83"/>
    <n v="607.78"/>
    <x v="0"/>
  </r>
  <r>
    <x v="1612"/>
    <s v="Female"/>
    <n v="20"/>
    <s v="No"/>
    <x v="59"/>
    <x v="0"/>
    <x v="0"/>
    <x v="0"/>
    <s v="No"/>
    <s v="No"/>
    <n v="3"/>
    <n v="70.52"/>
    <n v="4700.08"/>
    <x v="0"/>
  </r>
  <r>
    <x v="1613"/>
    <s v="Male"/>
    <n v="18"/>
    <s v="No"/>
    <x v="55"/>
    <x v="2"/>
    <x v="2"/>
    <x v="1"/>
    <s v="No"/>
    <s v="No"/>
    <n v="6"/>
    <n v="70.989999999999995"/>
    <n v="2773.03"/>
    <x v="0"/>
  </r>
  <r>
    <x v="1614"/>
    <s v="Female"/>
    <n v="21"/>
    <s v="No"/>
    <x v="63"/>
    <x v="0"/>
    <x v="0"/>
    <x v="0"/>
    <s v="No"/>
    <s v="Yes"/>
    <n v="1"/>
    <n v="63.92"/>
    <n v="1933.03"/>
    <x v="1"/>
  </r>
  <r>
    <x v="1615"/>
    <s v="Male"/>
    <n v="57"/>
    <s v="No"/>
    <x v="13"/>
    <x v="0"/>
    <x v="0"/>
    <x v="3"/>
    <s v="Yes"/>
    <s v="No"/>
    <n v="3"/>
    <n v="86.83"/>
    <n v="1711.52"/>
    <x v="0"/>
  </r>
  <r>
    <x v="1616"/>
    <s v="Male"/>
    <n v="52"/>
    <s v="No"/>
    <x v="15"/>
    <x v="2"/>
    <x v="0"/>
    <x v="3"/>
    <s v="No"/>
    <s v="Yes"/>
    <n v="1"/>
    <n v="69.86"/>
    <n v="779.43"/>
    <x v="0"/>
  </r>
  <r>
    <x v="1617"/>
    <s v="Male"/>
    <n v="49"/>
    <s v="No"/>
    <x v="32"/>
    <x v="2"/>
    <x v="2"/>
    <x v="1"/>
    <s v="Yes"/>
    <s v="No"/>
    <n v="6"/>
    <n v="70.12"/>
    <n v="3415.36"/>
    <x v="0"/>
  </r>
  <r>
    <x v="1618"/>
    <s v="Female"/>
    <n v="59"/>
    <s v="No"/>
    <x v="57"/>
    <x v="2"/>
    <x v="0"/>
    <x v="1"/>
    <s v="Yes"/>
    <s v="No"/>
    <n v="3"/>
    <n v="67.58"/>
    <n v="4540.8500000000004"/>
    <x v="0"/>
  </r>
  <r>
    <x v="1619"/>
    <s v="Male"/>
    <n v="51"/>
    <s v="No"/>
    <x v="43"/>
    <x v="2"/>
    <x v="2"/>
    <x v="3"/>
    <s v="No"/>
    <s v="No"/>
    <n v="5"/>
    <n v="46.77"/>
    <n v="2540.1999999999998"/>
    <x v="0"/>
  </r>
  <r>
    <x v="1620"/>
    <s v="Male"/>
    <n v="60"/>
    <s v="Yes"/>
    <x v="22"/>
    <x v="2"/>
    <x v="0"/>
    <x v="1"/>
    <s v="No"/>
    <s v="Yes"/>
    <n v="5"/>
    <n v="86.12"/>
    <n v="2694.39"/>
    <x v="0"/>
  </r>
  <r>
    <x v="1621"/>
    <s v="Female"/>
    <n v="42"/>
    <s v="No"/>
    <x v="28"/>
    <x v="0"/>
    <x v="1"/>
    <x v="1"/>
    <s v="No"/>
    <s v="Yes"/>
    <n v="3"/>
    <n v="33.520000000000003"/>
    <n v="638.91"/>
    <x v="0"/>
  </r>
  <r>
    <x v="1622"/>
    <s v="Female"/>
    <n v="27"/>
    <s v="No"/>
    <x v="32"/>
    <x v="0"/>
    <x v="1"/>
    <x v="1"/>
    <s v="Yes"/>
    <s v="Yes"/>
    <n v="4"/>
    <n v="47.89"/>
    <n v="2360.5300000000002"/>
    <x v="0"/>
  </r>
  <r>
    <x v="1623"/>
    <s v="Female"/>
    <n v="38"/>
    <s v="No"/>
    <x v="69"/>
    <x v="1"/>
    <x v="1"/>
    <x v="0"/>
    <s v="No"/>
    <s v="Yes"/>
    <n v="4"/>
    <n v="34.61"/>
    <n v="331.9"/>
    <x v="0"/>
  </r>
  <r>
    <x v="1624"/>
    <s v="Female"/>
    <n v="63"/>
    <s v="Yes"/>
    <x v="10"/>
    <x v="0"/>
    <x v="1"/>
    <x v="0"/>
    <s v="No"/>
    <s v="No"/>
    <n v="4"/>
    <n v="37.28"/>
    <n v="1156.5"/>
    <x v="0"/>
  </r>
  <r>
    <x v="1625"/>
    <s v="Male"/>
    <n v="56"/>
    <s v="No"/>
    <x v="40"/>
    <x v="0"/>
    <x v="1"/>
    <x v="3"/>
    <s v="No"/>
    <s v="No"/>
    <n v="2"/>
    <n v="40.840000000000003"/>
    <n v="2086.46"/>
    <x v="0"/>
  </r>
  <r>
    <x v="1626"/>
    <s v="Male"/>
    <n v="44"/>
    <s v="No"/>
    <x v="48"/>
    <x v="0"/>
    <x v="1"/>
    <x v="1"/>
    <s v="No"/>
    <s v="No"/>
    <n v="3"/>
    <n v="40.06"/>
    <n v="582.47"/>
    <x v="0"/>
  </r>
  <r>
    <x v="1627"/>
    <s v="Male"/>
    <n v="44"/>
    <s v="No"/>
    <x v="4"/>
    <x v="0"/>
    <x v="2"/>
    <x v="3"/>
    <s v="No"/>
    <s v="No"/>
    <n v="6"/>
    <n v="59.99"/>
    <n v="186.44"/>
    <x v="0"/>
  </r>
  <r>
    <x v="1628"/>
    <s v="Male"/>
    <n v="19"/>
    <s v="No"/>
    <x v="67"/>
    <x v="1"/>
    <x v="0"/>
    <x v="1"/>
    <s v="No"/>
    <s v="No"/>
    <n v="6"/>
    <n v="87.24"/>
    <n v="3223.61"/>
    <x v="0"/>
  </r>
  <r>
    <x v="1629"/>
    <s v="Female"/>
    <n v="58"/>
    <s v="No"/>
    <x v="6"/>
    <x v="0"/>
    <x v="0"/>
    <x v="2"/>
    <s v="Yes"/>
    <s v="No"/>
    <n v="2"/>
    <n v="84.33"/>
    <n v="3113.78"/>
    <x v="0"/>
  </r>
  <r>
    <x v="1630"/>
    <s v="Male"/>
    <n v="65"/>
    <s v="Yes"/>
    <x v="50"/>
    <x v="0"/>
    <x v="0"/>
    <x v="3"/>
    <s v="No"/>
    <s v="Yes"/>
    <n v="4"/>
    <n v="80.010000000000005"/>
    <n v="5508.79"/>
    <x v="0"/>
  </r>
  <r>
    <x v="1631"/>
    <s v="Male"/>
    <n v="30"/>
    <s v="No"/>
    <x v="6"/>
    <x v="0"/>
    <x v="2"/>
    <x v="3"/>
    <s v="No"/>
    <s v="No"/>
    <n v="6"/>
    <n v="65.959999999999994"/>
    <n v="2726.91"/>
    <x v="0"/>
  </r>
  <r>
    <x v="1632"/>
    <s v="Female"/>
    <n v="26"/>
    <s v="No"/>
    <x v="64"/>
    <x v="1"/>
    <x v="2"/>
    <x v="1"/>
    <s v="No"/>
    <s v="No"/>
    <n v="4"/>
    <n v="65.27"/>
    <n v="3538.7"/>
    <x v="0"/>
  </r>
  <r>
    <x v="1633"/>
    <s v="Male"/>
    <n v="69"/>
    <s v="Yes"/>
    <x v="45"/>
    <x v="0"/>
    <x v="1"/>
    <x v="1"/>
    <s v="Yes"/>
    <s v="No"/>
    <n v="4"/>
    <n v="43.47"/>
    <n v="1067.02"/>
    <x v="1"/>
  </r>
  <r>
    <x v="1634"/>
    <s v="Male"/>
    <n v="53"/>
    <s v="No"/>
    <x v="15"/>
    <x v="0"/>
    <x v="1"/>
    <x v="0"/>
    <s v="No"/>
    <s v="No"/>
    <n v="4"/>
    <n v="51.11"/>
    <n v="581.34"/>
    <x v="0"/>
  </r>
  <r>
    <x v="1635"/>
    <s v="Male"/>
    <n v="39"/>
    <s v="No"/>
    <x v="59"/>
    <x v="1"/>
    <x v="0"/>
    <x v="3"/>
    <s v="No"/>
    <s v="No"/>
    <n v="5"/>
    <n v="88.29"/>
    <n v="5460.64"/>
    <x v="0"/>
  </r>
  <r>
    <x v="1636"/>
    <s v="Male"/>
    <n v="59"/>
    <s v="No"/>
    <x v="9"/>
    <x v="0"/>
    <x v="2"/>
    <x v="1"/>
    <s v="No"/>
    <s v="Yes"/>
    <n v="5"/>
    <n v="69.349999999999994"/>
    <n v="556.26"/>
    <x v="1"/>
  </r>
  <r>
    <x v="1637"/>
    <s v="Male"/>
    <n v="43"/>
    <s v="No"/>
    <x v="64"/>
    <x v="0"/>
    <x v="1"/>
    <x v="2"/>
    <s v="No"/>
    <s v="No"/>
    <n v="2"/>
    <n v="43.45"/>
    <n v="2498.31"/>
    <x v="0"/>
  </r>
  <r>
    <x v="1638"/>
    <s v="Male"/>
    <n v="75"/>
    <s v="Yes"/>
    <x v="34"/>
    <x v="0"/>
    <x v="0"/>
    <x v="2"/>
    <s v="No"/>
    <s v="Yes"/>
    <n v="3"/>
    <n v="72.91"/>
    <n v="4159.9799999999996"/>
    <x v="0"/>
  </r>
  <r>
    <x v="1639"/>
    <s v="Female"/>
    <n v="71"/>
    <s v="Yes"/>
    <x v="69"/>
    <x v="0"/>
    <x v="2"/>
    <x v="3"/>
    <s v="No"/>
    <s v="No"/>
    <n v="6"/>
    <n v="62.81"/>
    <n v="602.59"/>
    <x v="1"/>
  </r>
  <r>
    <x v="1640"/>
    <s v="Female"/>
    <n v="29"/>
    <s v="No"/>
    <x v="49"/>
    <x v="2"/>
    <x v="0"/>
    <x v="2"/>
    <s v="No"/>
    <s v="No"/>
    <n v="3"/>
    <n v="65.58"/>
    <n v="2560.54"/>
    <x v="0"/>
  </r>
  <r>
    <x v="1641"/>
    <s v="Male"/>
    <n v="34"/>
    <s v="No"/>
    <x v="23"/>
    <x v="0"/>
    <x v="2"/>
    <x v="1"/>
    <s v="Yes"/>
    <s v="No"/>
    <n v="5"/>
    <n v="61.52"/>
    <n v="1839.67"/>
    <x v="0"/>
  </r>
  <r>
    <x v="1642"/>
    <s v="Male"/>
    <n v="31"/>
    <s v="No"/>
    <x v="65"/>
    <x v="1"/>
    <x v="0"/>
    <x v="1"/>
    <s v="No"/>
    <s v="No"/>
    <n v="2"/>
    <n v="61.84"/>
    <n v="2954.53"/>
    <x v="1"/>
  </r>
  <r>
    <x v="1643"/>
    <s v="Female"/>
    <n v="31"/>
    <s v="No"/>
    <x v="58"/>
    <x v="0"/>
    <x v="1"/>
    <x v="1"/>
    <s v="No"/>
    <s v="No"/>
    <n v="4"/>
    <n v="43.56"/>
    <n v="1543.6"/>
    <x v="1"/>
  </r>
  <r>
    <x v="1644"/>
    <s v="Male"/>
    <n v="74"/>
    <s v="Yes"/>
    <x v="21"/>
    <x v="0"/>
    <x v="2"/>
    <x v="3"/>
    <s v="No"/>
    <s v="Yes"/>
    <n v="3"/>
    <n v="50.71"/>
    <n v="626.6"/>
    <x v="0"/>
  </r>
  <r>
    <x v="1645"/>
    <s v="Male"/>
    <n v="51"/>
    <s v="No"/>
    <x v="58"/>
    <x v="1"/>
    <x v="0"/>
    <x v="1"/>
    <s v="No"/>
    <s v="Yes"/>
    <n v="5"/>
    <n v="89.74"/>
    <n v="3278.82"/>
    <x v="0"/>
  </r>
  <r>
    <x v="1646"/>
    <s v="Male"/>
    <n v="70"/>
    <s v="Yes"/>
    <x v="29"/>
    <x v="0"/>
    <x v="0"/>
    <x v="2"/>
    <s v="Yes"/>
    <s v="No"/>
    <n v="3"/>
    <n v="80.45"/>
    <n v="2172.0700000000002"/>
    <x v="0"/>
  </r>
  <r>
    <x v="1647"/>
    <s v="Female"/>
    <n v="74"/>
    <s v="Yes"/>
    <x v="12"/>
    <x v="0"/>
    <x v="2"/>
    <x v="1"/>
    <s v="No"/>
    <s v="Yes"/>
    <n v="6"/>
    <n v="64.27"/>
    <n v="254.64"/>
    <x v="0"/>
  </r>
  <r>
    <x v="1648"/>
    <s v="Male"/>
    <n v="37"/>
    <s v="No"/>
    <x v="59"/>
    <x v="0"/>
    <x v="1"/>
    <x v="1"/>
    <s v="No"/>
    <s v="Yes"/>
    <n v="4"/>
    <n v="47.83"/>
    <n v="3183.69"/>
    <x v="0"/>
  </r>
  <r>
    <x v="1649"/>
    <s v="Female"/>
    <n v="28"/>
    <s v="No"/>
    <x v="52"/>
    <x v="0"/>
    <x v="2"/>
    <x v="2"/>
    <s v="No"/>
    <s v="Yes"/>
    <n v="6"/>
    <n v="68.040000000000006"/>
    <n v="2503.86"/>
    <x v="0"/>
  </r>
  <r>
    <x v="1650"/>
    <s v="Male"/>
    <n v="33"/>
    <s v="No"/>
    <x v="46"/>
    <x v="1"/>
    <x v="2"/>
    <x v="1"/>
    <s v="Yes"/>
    <s v="No"/>
    <n v="4"/>
    <n v="46.6"/>
    <n v="1059.1500000000001"/>
    <x v="0"/>
  </r>
  <r>
    <x v="1651"/>
    <s v="Female"/>
    <n v="68"/>
    <s v="Yes"/>
    <x v="2"/>
    <x v="0"/>
    <x v="0"/>
    <x v="1"/>
    <s v="No"/>
    <s v="Yes"/>
    <n v="3"/>
    <n v="68.08"/>
    <n v="130.9"/>
    <x v="1"/>
  </r>
  <r>
    <x v="1652"/>
    <s v="Female"/>
    <n v="48"/>
    <s v="No"/>
    <x v="71"/>
    <x v="2"/>
    <x v="2"/>
    <x v="3"/>
    <s v="No"/>
    <s v="No"/>
    <n v="3"/>
    <n v="49.93"/>
    <n v="1617.33"/>
    <x v="0"/>
  </r>
  <r>
    <x v="1653"/>
    <s v="Male"/>
    <n v="72"/>
    <s v="Yes"/>
    <x v="15"/>
    <x v="1"/>
    <x v="2"/>
    <x v="1"/>
    <s v="No"/>
    <s v="No"/>
    <n v="3"/>
    <n v="55.07"/>
    <n v="637.82000000000005"/>
    <x v="0"/>
  </r>
  <r>
    <x v="1654"/>
    <s v="Female"/>
    <n v="23"/>
    <s v="No"/>
    <x v="16"/>
    <x v="0"/>
    <x v="2"/>
    <x v="1"/>
    <s v="No"/>
    <s v="No"/>
    <n v="4"/>
    <n v="56"/>
    <n v="2698.71"/>
    <x v="0"/>
  </r>
  <r>
    <x v="1655"/>
    <s v="Male"/>
    <n v="73"/>
    <s v="Yes"/>
    <x v="38"/>
    <x v="0"/>
    <x v="0"/>
    <x v="1"/>
    <s v="No"/>
    <s v="Yes"/>
    <n v="5"/>
    <n v="79.3"/>
    <n v="4692.7700000000004"/>
    <x v="1"/>
  </r>
  <r>
    <x v="1656"/>
    <s v="Female"/>
    <n v="36"/>
    <s v="No"/>
    <x v="25"/>
    <x v="0"/>
    <x v="2"/>
    <x v="0"/>
    <s v="No"/>
    <s v="No"/>
    <n v="1"/>
    <n v="51.07"/>
    <n v="3633.35"/>
    <x v="0"/>
  </r>
  <r>
    <x v="1657"/>
    <s v="Male"/>
    <n v="54"/>
    <s v="No"/>
    <x v="59"/>
    <x v="1"/>
    <x v="2"/>
    <x v="2"/>
    <s v="No"/>
    <s v="No"/>
    <n v="5"/>
    <n v="68.510000000000005"/>
    <n v="4411.68"/>
    <x v="0"/>
  </r>
  <r>
    <x v="1658"/>
    <s v="Male"/>
    <n v="75"/>
    <s v="Yes"/>
    <x v="69"/>
    <x v="0"/>
    <x v="1"/>
    <x v="2"/>
    <s v="No"/>
    <s v="No"/>
    <n v="4"/>
    <n v="36.67"/>
    <n v="395.22"/>
    <x v="0"/>
  </r>
  <r>
    <x v="1659"/>
    <s v="Female"/>
    <n v="21"/>
    <s v="No"/>
    <x v="6"/>
    <x v="2"/>
    <x v="1"/>
    <x v="1"/>
    <s v="No"/>
    <s v="No"/>
    <n v="4"/>
    <n v="35.049999999999997"/>
    <n v="1370.95"/>
    <x v="0"/>
  </r>
  <r>
    <x v="1660"/>
    <s v="Male"/>
    <n v="64"/>
    <s v="Yes"/>
    <x v="70"/>
    <x v="0"/>
    <x v="2"/>
    <x v="0"/>
    <s v="No"/>
    <s v="No"/>
    <n v="5"/>
    <n v="71.849999999999994"/>
    <n v="1799.24"/>
    <x v="0"/>
  </r>
  <r>
    <x v="1661"/>
    <s v="Male"/>
    <n v="21"/>
    <s v="No"/>
    <x v="35"/>
    <x v="2"/>
    <x v="2"/>
    <x v="0"/>
    <s v="No"/>
    <s v="Yes"/>
    <n v="1"/>
    <n v="66.08"/>
    <n v="2847.08"/>
    <x v="0"/>
  </r>
  <r>
    <x v="1662"/>
    <s v="Female"/>
    <n v="37"/>
    <s v="No"/>
    <x v="34"/>
    <x v="0"/>
    <x v="0"/>
    <x v="2"/>
    <s v="Yes"/>
    <s v="No"/>
    <n v="8"/>
    <n v="88.41"/>
    <n v="5217.0600000000004"/>
    <x v="0"/>
  </r>
  <r>
    <x v="1663"/>
    <s v="Male"/>
    <n v="27"/>
    <s v="No"/>
    <x v="38"/>
    <x v="2"/>
    <x v="1"/>
    <x v="1"/>
    <s v="No"/>
    <s v="Yes"/>
    <n v="2"/>
    <n v="39.24"/>
    <n v="2281.4499999999998"/>
    <x v="0"/>
  </r>
  <r>
    <x v="1664"/>
    <s v="Male"/>
    <n v="41"/>
    <s v="No"/>
    <x v="47"/>
    <x v="0"/>
    <x v="0"/>
    <x v="0"/>
    <s v="No"/>
    <s v="Yes"/>
    <n v="4"/>
    <n v="78.03"/>
    <n v="1271.26"/>
    <x v="0"/>
  </r>
  <r>
    <x v="1665"/>
    <s v="Female"/>
    <n v="71"/>
    <s v="Yes"/>
    <x v="61"/>
    <x v="0"/>
    <x v="0"/>
    <x v="3"/>
    <s v="Yes"/>
    <s v="No"/>
    <n v="3"/>
    <n v="79.73"/>
    <n v="4904.24"/>
    <x v="0"/>
  </r>
  <r>
    <x v="1666"/>
    <s v="Female"/>
    <n v="52"/>
    <s v="No"/>
    <x v="44"/>
    <x v="0"/>
    <x v="0"/>
    <x v="2"/>
    <s v="Yes"/>
    <s v="No"/>
    <n v="4"/>
    <n v="72.33"/>
    <n v="3898"/>
    <x v="0"/>
  </r>
  <r>
    <x v="1667"/>
    <s v="Male"/>
    <n v="43"/>
    <s v="No"/>
    <x v="60"/>
    <x v="0"/>
    <x v="1"/>
    <x v="1"/>
    <s v="Yes"/>
    <s v="Yes"/>
    <n v="2"/>
    <n v="24.24"/>
    <n v="1228.47"/>
    <x v="0"/>
  </r>
  <r>
    <x v="1668"/>
    <s v="Male"/>
    <n v="54"/>
    <s v="No"/>
    <x v="53"/>
    <x v="2"/>
    <x v="0"/>
    <x v="1"/>
    <s v="No"/>
    <s v="No"/>
    <n v="7"/>
    <n v="83.14"/>
    <n v="4613.54"/>
    <x v="1"/>
  </r>
  <r>
    <x v="1669"/>
    <s v="Female"/>
    <n v="55"/>
    <s v="No"/>
    <x v="64"/>
    <x v="0"/>
    <x v="2"/>
    <x v="1"/>
    <s v="No"/>
    <s v="No"/>
    <n v="4"/>
    <n v="55.05"/>
    <n v="3066.98"/>
    <x v="0"/>
  </r>
  <r>
    <x v="1670"/>
    <s v="Female"/>
    <n v="38"/>
    <s v="No"/>
    <x v="14"/>
    <x v="0"/>
    <x v="2"/>
    <x v="1"/>
    <s v="Yes"/>
    <s v="Yes"/>
    <n v="1"/>
    <n v="45.36"/>
    <n v="428.11"/>
    <x v="1"/>
  </r>
  <r>
    <x v="1671"/>
    <s v="Male"/>
    <n v="71"/>
    <s v="Yes"/>
    <x v="46"/>
    <x v="1"/>
    <x v="0"/>
    <x v="3"/>
    <s v="No"/>
    <s v="No"/>
    <n v="3"/>
    <n v="81.62"/>
    <n v="1827.98"/>
    <x v="1"/>
  </r>
  <r>
    <x v="1672"/>
    <s v="Female"/>
    <n v="57"/>
    <s v="No"/>
    <x v="21"/>
    <x v="0"/>
    <x v="0"/>
    <x v="3"/>
    <s v="No"/>
    <s v="No"/>
    <n v="5"/>
    <n v="77.17"/>
    <n v="1056.3900000000001"/>
    <x v="1"/>
  </r>
  <r>
    <x v="1673"/>
    <s v="Male"/>
    <n v="56"/>
    <s v="No"/>
    <x v="11"/>
    <x v="0"/>
    <x v="1"/>
    <x v="3"/>
    <s v="No"/>
    <s v="No"/>
    <n v="1"/>
    <n v="24.54"/>
    <n v="1178.6300000000001"/>
    <x v="0"/>
  </r>
  <r>
    <x v="1674"/>
    <s v="Male"/>
    <n v="38"/>
    <s v="No"/>
    <x v="68"/>
    <x v="1"/>
    <x v="1"/>
    <x v="1"/>
    <s v="No"/>
    <s v="Yes"/>
    <n v="2"/>
    <n v="47.56"/>
    <n v="800.47"/>
    <x v="0"/>
  </r>
  <r>
    <x v="1675"/>
    <s v="Male"/>
    <n v="27"/>
    <s v="No"/>
    <x v="6"/>
    <x v="0"/>
    <x v="0"/>
    <x v="1"/>
    <s v="No"/>
    <s v="Yes"/>
    <n v="3"/>
    <n v="75.37"/>
    <n v="3071.12"/>
    <x v="0"/>
  </r>
  <r>
    <x v="1676"/>
    <s v="Male"/>
    <n v="55"/>
    <s v="No"/>
    <x v="47"/>
    <x v="2"/>
    <x v="1"/>
    <x v="1"/>
    <s v="No"/>
    <s v="Yes"/>
    <n v="3"/>
    <n v="39"/>
    <n v="681.86"/>
    <x v="0"/>
  </r>
  <r>
    <x v="1677"/>
    <s v="Male"/>
    <n v="63"/>
    <s v="Yes"/>
    <x v="48"/>
    <x v="0"/>
    <x v="2"/>
    <x v="1"/>
    <s v="Yes"/>
    <s v="Yes"/>
    <n v="4"/>
    <n v="64.22"/>
    <n v="982.8"/>
    <x v="1"/>
  </r>
  <r>
    <x v="1678"/>
    <s v="Female"/>
    <n v="21"/>
    <s v="No"/>
    <x v="48"/>
    <x v="0"/>
    <x v="0"/>
    <x v="2"/>
    <s v="Yes"/>
    <s v="No"/>
    <n v="3"/>
    <n v="71.33"/>
    <n v="1121.54"/>
    <x v="0"/>
  </r>
  <r>
    <x v="1679"/>
    <s v="Female"/>
    <n v="74"/>
    <s v="Yes"/>
    <x v="18"/>
    <x v="1"/>
    <x v="2"/>
    <x v="1"/>
    <s v="No"/>
    <s v="No"/>
    <n v="4"/>
    <n v="58.87"/>
    <n v="3846.18"/>
    <x v="0"/>
  </r>
  <r>
    <x v="1680"/>
    <s v="Female"/>
    <n v="62"/>
    <s v="Yes"/>
    <x v="49"/>
    <x v="1"/>
    <x v="1"/>
    <x v="1"/>
    <s v="No"/>
    <s v="No"/>
    <n v="2"/>
    <n v="30.74"/>
    <n v="1185.94"/>
    <x v="0"/>
  </r>
  <r>
    <x v="1681"/>
    <s v="Female"/>
    <n v="37"/>
    <s v="No"/>
    <x v="21"/>
    <x v="0"/>
    <x v="2"/>
    <x v="0"/>
    <s v="No"/>
    <s v="No"/>
    <n v="2"/>
    <n v="50.42"/>
    <n v="688.93"/>
    <x v="0"/>
  </r>
  <r>
    <x v="1682"/>
    <s v="Male"/>
    <n v="34"/>
    <s v="No"/>
    <x v="10"/>
    <x v="1"/>
    <x v="0"/>
    <x v="0"/>
    <s v="Yes"/>
    <s v="Yes"/>
    <n v="5"/>
    <n v="88.9"/>
    <n v="2932.1"/>
    <x v="0"/>
  </r>
  <r>
    <x v="1683"/>
    <s v="Male"/>
    <n v="72"/>
    <s v="Yes"/>
    <x v="14"/>
    <x v="0"/>
    <x v="1"/>
    <x v="0"/>
    <s v="Yes"/>
    <s v="No"/>
    <n v="3"/>
    <n v="41.72"/>
    <n v="352.67"/>
    <x v="0"/>
  </r>
  <r>
    <x v="1684"/>
    <s v="Male"/>
    <n v="24"/>
    <s v="No"/>
    <x v="6"/>
    <x v="0"/>
    <x v="2"/>
    <x v="2"/>
    <s v="No"/>
    <s v="No"/>
    <n v="2"/>
    <n v="35.020000000000003"/>
    <n v="1409.74"/>
    <x v="0"/>
  </r>
  <r>
    <x v="1685"/>
    <s v="Male"/>
    <n v="21"/>
    <s v="No"/>
    <x v="28"/>
    <x v="2"/>
    <x v="0"/>
    <x v="1"/>
    <s v="No"/>
    <s v="Yes"/>
    <n v="7"/>
    <n v="97.99"/>
    <n v="2031.47"/>
    <x v="0"/>
  </r>
  <r>
    <x v="1686"/>
    <s v="Female"/>
    <n v="46"/>
    <s v="No"/>
    <x v="18"/>
    <x v="0"/>
    <x v="2"/>
    <x v="3"/>
    <s v="No"/>
    <s v="Yes"/>
    <n v="1"/>
    <n v="44.58"/>
    <n v="2832.49"/>
    <x v="0"/>
  </r>
  <r>
    <x v="1687"/>
    <s v="Male"/>
    <n v="31"/>
    <s v="No"/>
    <x v="35"/>
    <x v="0"/>
    <x v="2"/>
    <x v="1"/>
    <s v="No"/>
    <s v="No"/>
    <n v="5"/>
    <n v="65.760000000000005"/>
    <n v="3101.32"/>
    <x v="0"/>
  </r>
  <r>
    <x v="1688"/>
    <s v="Male"/>
    <n v="20"/>
    <s v="No"/>
    <x v="52"/>
    <x v="2"/>
    <x v="1"/>
    <x v="1"/>
    <s v="No"/>
    <s v="No"/>
    <n v="3"/>
    <n v="34.15"/>
    <n v="1214.96"/>
    <x v="0"/>
  </r>
  <r>
    <x v="1689"/>
    <s v="Female"/>
    <n v="41"/>
    <s v="No"/>
    <x v="34"/>
    <x v="2"/>
    <x v="2"/>
    <x v="2"/>
    <s v="No"/>
    <s v="No"/>
    <n v="7"/>
    <n v="70.64"/>
    <n v="4389.17"/>
    <x v="1"/>
  </r>
  <r>
    <x v="1690"/>
    <s v="Female"/>
    <n v="54"/>
    <s v="No"/>
    <x v="57"/>
    <x v="0"/>
    <x v="0"/>
    <x v="1"/>
    <s v="No"/>
    <s v="Yes"/>
    <n v="5"/>
    <n v="92.21"/>
    <n v="6886.77"/>
    <x v="0"/>
  </r>
  <r>
    <x v="1691"/>
    <s v="Female"/>
    <n v="33"/>
    <s v="No"/>
    <x v="11"/>
    <x v="0"/>
    <x v="2"/>
    <x v="3"/>
    <s v="Yes"/>
    <s v="Yes"/>
    <n v="6"/>
    <n v="69.349999999999994"/>
    <n v="3436.73"/>
    <x v="0"/>
  </r>
  <r>
    <x v="1692"/>
    <s v="Female"/>
    <n v="75"/>
    <s v="Yes"/>
    <x v="68"/>
    <x v="1"/>
    <x v="2"/>
    <x v="1"/>
    <s v="No"/>
    <s v="No"/>
    <n v="7"/>
    <n v="79.849999999999994"/>
    <n v="1410.99"/>
    <x v="1"/>
  </r>
  <r>
    <x v="1693"/>
    <s v="Male"/>
    <n v="72"/>
    <s v="Yes"/>
    <x v="17"/>
    <x v="2"/>
    <x v="0"/>
    <x v="0"/>
    <s v="No"/>
    <s v="No"/>
    <n v="6"/>
    <n v="86.64"/>
    <n v="1360.84"/>
    <x v="0"/>
  </r>
  <r>
    <x v="1694"/>
    <s v="Male"/>
    <n v="69"/>
    <s v="Yes"/>
    <x v="60"/>
    <x v="2"/>
    <x v="2"/>
    <x v="2"/>
    <s v="No"/>
    <s v="Yes"/>
    <n v="3"/>
    <n v="53.92"/>
    <n v="3006.68"/>
    <x v="0"/>
  </r>
  <r>
    <x v="1695"/>
    <s v="Female"/>
    <n v="21"/>
    <s v="No"/>
    <x v="49"/>
    <x v="0"/>
    <x v="1"/>
    <x v="2"/>
    <s v="No"/>
    <s v="No"/>
    <n v="5"/>
    <n v="45.09"/>
    <n v="1729.56"/>
    <x v="0"/>
  </r>
  <r>
    <x v="1696"/>
    <s v="Male"/>
    <n v="73"/>
    <s v="Yes"/>
    <x v="27"/>
    <x v="0"/>
    <x v="0"/>
    <x v="2"/>
    <s v="No"/>
    <s v="No"/>
    <n v="4"/>
    <n v="70.11"/>
    <n v="5059.7700000000004"/>
    <x v="0"/>
  </r>
  <r>
    <x v="1697"/>
    <s v="Male"/>
    <n v="41"/>
    <s v="No"/>
    <x v="24"/>
    <x v="0"/>
    <x v="2"/>
    <x v="3"/>
    <s v="Yes"/>
    <s v="No"/>
    <n v="3"/>
    <n v="36.159999999999997"/>
    <n v="2000.29"/>
    <x v="0"/>
  </r>
  <r>
    <x v="1698"/>
    <s v="Male"/>
    <n v="51"/>
    <s v="No"/>
    <x v="38"/>
    <x v="1"/>
    <x v="0"/>
    <x v="1"/>
    <s v="Yes"/>
    <s v="Yes"/>
    <n v="4"/>
    <n v="73.53"/>
    <n v="4660.3599999999997"/>
    <x v="0"/>
  </r>
  <r>
    <x v="1699"/>
    <s v="Female"/>
    <n v="47"/>
    <s v="No"/>
    <x v="21"/>
    <x v="1"/>
    <x v="0"/>
    <x v="3"/>
    <s v="Yes"/>
    <s v="No"/>
    <n v="2"/>
    <n v="78.19"/>
    <n v="956.96"/>
    <x v="0"/>
  </r>
  <r>
    <x v="1700"/>
    <s v="Male"/>
    <n v="35"/>
    <s v="No"/>
    <x v="33"/>
    <x v="1"/>
    <x v="0"/>
    <x v="3"/>
    <s v="Yes"/>
    <s v="No"/>
    <n v="1"/>
    <n v="76.94"/>
    <n v="464.61"/>
    <x v="1"/>
  </r>
  <r>
    <x v="1701"/>
    <s v="Female"/>
    <n v="36"/>
    <s v="No"/>
    <x v="34"/>
    <x v="2"/>
    <x v="0"/>
    <x v="1"/>
    <s v="No"/>
    <s v="No"/>
    <n v="2"/>
    <n v="56.98"/>
    <n v="3536.72"/>
    <x v="0"/>
  </r>
  <r>
    <x v="1702"/>
    <s v="Male"/>
    <n v="48"/>
    <s v="No"/>
    <x v="54"/>
    <x v="0"/>
    <x v="1"/>
    <x v="0"/>
    <s v="No"/>
    <s v="Yes"/>
    <n v="5"/>
    <n v="54.01"/>
    <n v="715.67"/>
    <x v="0"/>
  </r>
  <r>
    <x v="1703"/>
    <s v="Male"/>
    <n v="36"/>
    <s v="No"/>
    <x v="62"/>
    <x v="0"/>
    <x v="0"/>
    <x v="2"/>
    <s v="Yes"/>
    <s v="Yes"/>
    <n v="2"/>
    <n v="66.849999999999994"/>
    <n v="3727.75"/>
    <x v="1"/>
  </r>
  <r>
    <x v="1704"/>
    <s v="Male"/>
    <n v="66"/>
    <s v="Yes"/>
    <x v="12"/>
    <x v="0"/>
    <x v="2"/>
    <x v="0"/>
    <s v="No"/>
    <s v="No"/>
    <n v="6"/>
    <n v="57.02"/>
    <n v="214.94"/>
    <x v="1"/>
  </r>
  <r>
    <x v="1705"/>
    <s v="Female"/>
    <n v="63"/>
    <s v="Yes"/>
    <x v="49"/>
    <x v="0"/>
    <x v="0"/>
    <x v="1"/>
    <s v="No"/>
    <s v="No"/>
    <n v="3"/>
    <n v="82.41"/>
    <n v="3275.98"/>
    <x v="0"/>
  </r>
  <r>
    <x v="1706"/>
    <s v="Male"/>
    <n v="36"/>
    <s v="No"/>
    <x v="50"/>
    <x v="0"/>
    <x v="1"/>
    <x v="2"/>
    <s v="No"/>
    <s v="No"/>
    <n v="1"/>
    <n v="25.46"/>
    <n v="1834.75"/>
    <x v="0"/>
  </r>
  <r>
    <x v="1707"/>
    <s v="Female"/>
    <n v="39"/>
    <s v="No"/>
    <x v="26"/>
    <x v="0"/>
    <x v="2"/>
    <x v="1"/>
    <s v="No"/>
    <s v="No"/>
    <n v="6"/>
    <n v="85.31"/>
    <n v="2063.85"/>
    <x v="1"/>
  </r>
  <r>
    <x v="1708"/>
    <s v="Female"/>
    <n v="41"/>
    <s v="No"/>
    <x v="10"/>
    <x v="1"/>
    <x v="2"/>
    <x v="1"/>
    <s v="No"/>
    <s v="Yes"/>
    <n v="3"/>
    <n v="50.29"/>
    <n v="1509.26"/>
    <x v="0"/>
  </r>
  <r>
    <x v="1709"/>
    <s v="Female"/>
    <n v="62"/>
    <s v="Yes"/>
    <x v="24"/>
    <x v="2"/>
    <x v="0"/>
    <x v="3"/>
    <s v="Yes"/>
    <s v="No"/>
    <n v="1"/>
    <n v="65.069999999999993"/>
    <n v="3984.01"/>
    <x v="0"/>
  </r>
  <r>
    <x v="1710"/>
    <s v="Male"/>
    <n v="29"/>
    <s v="No"/>
    <x v="18"/>
    <x v="0"/>
    <x v="0"/>
    <x v="0"/>
    <s v="No"/>
    <s v="No"/>
    <n v="4"/>
    <n v="72.16"/>
    <n v="4460.1099999999997"/>
    <x v="0"/>
  </r>
  <r>
    <x v="1711"/>
    <s v="Male"/>
    <n v="47"/>
    <s v="No"/>
    <x v="52"/>
    <x v="0"/>
    <x v="0"/>
    <x v="3"/>
    <s v="Yes"/>
    <s v="No"/>
    <n v="8"/>
    <n v="96.05"/>
    <n v="3408.44"/>
    <x v="0"/>
  </r>
  <r>
    <x v="1712"/>
    <s v="Male"/>
    <n v="75"/>
    <s v="Yes"/>
    <x v="53"/>
    <x v="0"/>
    <x v="1"/>
    <x v="1"/>
    <s v="No"/>
    <s v="Yes"/>
    <n v="1"/>
    <n v="34.58"/>
    <n v="1912.73"/>
    <x v="0"/>
  </r>
  <r>
    <x v="1713"/>
    <s v="Male"/>
    <n v="55"/>
    <s v="No"/>
    <x v="51"/>
    <x v="1"/>
    <x v="2"/>
    <x v="1"/>
    <s v="No"/>
    <s v="No"/>
    <n v="8"/>
    <n v="62.89"/>
    <n v="4033.55"/>
    <x v="0"/>
  </r>
  <r>
    <x v="1714"/>
    <s v="Female"/>
    <n v="70"/>
    <s v="Yes"/>
    <x v="23"/>
    <x v="1"/>
    <x v="2"/>
    <x v="1"/>
    <s v="No"/>
    <s v="No"/>
    <n v="5"/>
    <n v="67.59"/>
    <n v="1964.12"/>
    <x v="0"/>
  </r>
  <r>
    <x v="1715"/>
    <s v="Female"/>
    <n v="48"/>
    <s v="No"/>
    <x v="4"/>
    <x v="1"/>
    <x v="2"/>
    <x v="2"/>
    <s v="No"/>
    <s v="No"/>
    <n v="3"/>
    <n v="52.14"/>
    <n v="158.04"/>
    <x v="1"/>
  </r>
  <r>
    <x v="1716"/>
    <s v="Female"/>
    <n v="53"/>
    <s v="No"/>
    <x v="46"/>
    <x v="0"/>
    <x v="0"/>
    <x v="0"/>
    <s v="No"/>
    <s v="No"/>
    <n v="3"/>
    <n v="68.97"/>
    <n v="1443.18"/>
    <x v="1"/>
  </r>
  <r>
    <x v="1717"/>
    <s v="Male"/>
    <n v="36"/>
    <s v="No"/>
    <x v="52"/>
    <x v="0"/>
    <x v="2"/>
    <x v="1"/>
    <s v="Yes"/>
    <s v="No"/>
    <n v="2"/>
    <n v="41.19"/>
    <n v="1459.14"/>
    <x v="0"/>
  </r>
  <r>
    <x v="1718"/>
    <s v="Female"/>
    <n v="65"/>
    <s v="Yes"/>
    <x v="50"/>
    <x v="0"/>
    <x v="2"/>
    <x v="1"/>
    <s v="No"/>
    <s v="No"/>
    <n v="3"/>
    <n v="61.85"/>
    <n v="4519.6400000000003"/>
    <x v="1"/>
  </r>
  <r>
    <x v="1719"/>
    <s v="Male"/>
    <n v="62"/>
    <s v="Yes"/>
    <x v="50"/>
    <x v="1"/>
    <x v="2"/>
    <x v="1"/>
    <s v="No"/>
    <s v="No"/>
    <n v="7"/>
    <n v="73.010000000000005"/>
    <n v="4857.3900000000003"/>
    <x v="0"/>
  </r>
  <r>
    <x v="1720"/>
    <s v="Female"/>
    <n v="53"/>
    <s v="No"/>
    <x v="38"/>
    <x v="2"/>
    <x v="2"/>
    <x v="0"/>
    <s v="No"/>
    <s v="No"/>
    <n v="2"/>
    <n v="46.93"/>
    <n v="2707.36"/>
    <x v="0"/>
  </r>
  <r>
    <x v="1721"/>
    <s v="Male"/>
    <n v="47"/>
    <s v="No"/>
    <x v="44"/>
    <x v="2"/>
    <x v="0"/>
    <x v="1"/>
    <s v="Yes"/>
    <s v="No"/>
    <n v="4"/>
    <n v="84.46"/>
    <n v="4969.9799999999996"/>
    <x v="0"/>
  </r>
  <r>
    <x v="1722"/>
    <s v="Male"/>
    <n v="72"/>
    <s v="Yes"/>
    <x v="33"/>
    <x v="0"/>
    <x v="0"/>
    <x v="0"/>
    <s v="No"/>
    <s v="No"/>
    <n v="5"/>
    <n v="86.71"/>
    <n v="523.5"/>
    <x v="0"/>
  </r>
  <r>
    <x v="1723"/>
    <s v="Female"/>
    <n v="66"/>
    <s v="Yes"/>
    <x v="10"/>
    <x v="1"/>
    <x v="1"/>
    <x v="0"/>
    <s v="No"/>
    <s v="Yes"/>
    <n v="2"/>
    <n v="39.07"/>
    <n v="1215.49"/>
    <x v="0"/>
  </r>
  <r>
    <x v="1724"/>
    <s v="Female"/>
    <n v="72"/>
    <s v="Yes"/>
    <x v="69"/>
    <x v="2"/>
    <x v="2"/>
    <x v="2"/>
    <s v="No"/>
    <s v="Yes"/>
    <n v="1"/>
    <n v="58.48"/>
    <n v="588.47"/>
    <x v="0"/>
  </r>
  <r>
    <x v="1725"/>
    <s v="Female"/>
    <n v="50"/>
    <s v="No"/>
    <x v="4"/>
    <x v="0"/>
    <x v="0"/>
    <x v="3"/>
    <s v="No"/>
    <s v="No"/>
    <n v="4"/>
    <n v="80.52"/>
    <n v="245.1"/>
    <x v="0"/>
  </r>
  <r>
    <x v="1726"/>
    <s v="Female"/>
    <n v="35"/>
    <s v="No"/>
    <x v="24"/>
    <x v="0"/>
    <x v="1"/>
    <x v="0"/>
    <s v="No"/>
    <s v="No"/>
    <n v="4"/>
    <n v="54.53"/>
    <n v="3250.88"/>
    <x v="0"/>
  </r>
  <r>
    <x v="1727"/>
    <s v="Male"/>
    <n v="69"/>
    <s v="Yes"/>
    <x v="65"/>
    <x v="2"/>
    <x v="0"/>
    <x v="1"/>
    <s v="No"/>
    <s v="No"/>
    <n v="3"/>
    <n v="84.99"/>
    <n v="4259.5"/>
    <x v="1"/>
  </r>
  <r>
    <x v="1728"/>
    <s v="Female"/>
    <n v="66"/>
    <s v="Yes"/>
    <x v="24"/>
    <x v="0"/>
    <x v="1"/>
    <x v="3"/>
    <s v="No"/>
    <s v="Yes"/>
    <n v="5"/>
    <n v="50.48"/>
    <n v="3188.13"/>
    <x v="0"/>
  </r>
  <r>
    <x v="1729"/>
    <s v="Female"/>
    <n v="45"/>
    <s v="No"/>
    <x v="71"/>
    <x v="2"/>
    <x v="1"/>
    <x v="3"/>
    <s v="No"/>
    <s v="Yes"/>
    <n v="3"/>
    <n v="25.16"/>
    <n v="766.08"/>
    <x v="1"/>
  </r>
  <r>
    <x v="1730"/>
    <s v="Female"/>
    <n v="64"/>
    <s v="Yes"/>
    <x v="25"/>
    <x v="2"/>
    <x v="1"/>
    <x v="1"/>
    <s v="No"/>
    <s v="Yes"/>
    <n v="4"/>
    <n v="41.77"/>
    <n v="2790.43"/>
    <x v="1"/>
  </r>
  <r>
    <x v="1731"/>
    <s v="Male"/>
    <n v="28"/>
    <s v="No"/>
    <x v="38"/>
    <x v="1"/>
    <x v="1"/>
    <x v="2"/>
    <s v="Yes"/>
    <s v="No"/>
    <n v="3"/>
    <n v="38.72"/>
    <n v="2223.35"/>
    <x v="0"/>
  </r>
  <r>
    <x v="1732"/>
    <s v="Male"/>
    <n v="74"/>
    <s v="Yes"/>
    <x v="40"/>
    <x v="2"/>
    <x v="0"/>
    <x v="1"/>
    <s v="Yes"/>
    <s v="No"/>
    <n v="6"/>
    <n v="88.51"/>
    <n v="4342.62"/>
    <x v="0"/>
  </r>
  <r>
    <x v="1733"/>
    <s v="Female"/>
    <n v="71"/>
    <s v="Yes"/>
    <x v="41"/>
    <x v="1"/>
    <x v="0"/>
    <x v="1"/>
    <s v="No"/>
    <s v="No"/>
    <n v="1"/>
    <n v="66.23"/>
    <n v="2544.36"/>
    <x v="0"/>
  </r>
  <r>
    <x v="1734"/>
    <s v="Male"/>
    <n v="62"/>
    <s v="Yes"/>
    <x v="71"/>
    <x v="1"/>
    <x v="2"/>
    <x v="1"/>
    <s v="Yes"/>
    <s v="Yes"/>
    <n v="4"/>
    <n v="63.52"/>
    <n v="1917.28"/>
    <x v="0"/>
  </r>
  <r>
    <x v="1735"/>
    <s v="Female"/>
    <n v="50"/>
    <s v="No"/>
    <x v="46"/>
    <x v="0"/>
    <x v="0"/>
    <x v="2"/>
    <s v="No"/>
    <s v="No"/>
    <n v="3"/>
    <n v="80.45"/>
    <n v="1801.05"/>
    <x v="0"/>
  </r>
  <r>
    <x v="1736"/>
    <s v="Male"/>
    <n v="34"/>
    <s v="No"/>
    <x v="12"/>
    <x v="0"/>
    <x v="0"/>
    <x v="0"/>
    <s v="Yes"/>
    <s v="No"/>
    <n v="7"/>
    <n v="79.290000000000006"/>
    <n v="294.14"/>
    <x v="1"/>
  </r>
  <r>
    <x v="1737"/>
    <s v="Male"/>
    <n v="23"/>
    <s v="No"/>
    <x v="21"/>
    <x v="0"/>
    <x v="2"/>
    <x v="2"/>
    <s v="No"/>
    <s v="Yes"/>
    <n v="5"/>
    <n v="72.48"/>
    <n v="976.56"/>
    <x v="0"/>
  </r>
  <r>
    <x v="1738"/>
    <s v="Male"/>
    <n v="21"/>
    <s v="No"/>
    <x v="56"/>
    <x v="1"/>
    <x v="0"/>
    <x v="1"/>
    <s v="Yes"/>
    <s v="No"/>
    <n v="4"/>
    <n v="68.66"/>
    <n v="3039"/>
    <x v="0"/>
  </r>
  <r>
    <x v="1739"/>
    <s v="Male"/>
    <n v="37"/>
    <s v="No"/>
    <x v="55"/>
    <x v="0"/>
    <x v="1"/>
    <x v="0"/>
    <s v="No"/>
    <s v="Yes"/>
    <n v="2"/>
    <n v="30.16"/>
    <n v="1360.66"/>
    <x v="0"/>
  </r>
  <r>
    <x v="1740"/>
    <s v="Female"/>
    <n v="65"/>
    <s v="Yes"/>
    <x v="65"/>
    <x v="0"/>
    <x v="1"/>
    <x v="0"/>
    <s v="No"/>
    <s v="No"/>
    <n v="2"/>
    <n v="26.79"/>
    <n v="1327.07"/>
    <x v="0"/>
  </r>
  <r>
    <x v="1741"/>
    <s v="Female"/>
    <n v="64"/>
    <s v="Yes"/>
    <x v="28"/>
    <x v="0"/>
    <x v="1"/>
    <x v="2"/>
    <s v="No"/>
    <s v="No"/>
    <n v="6"/>
    <n v="43.95"/>
    <n v="917.16"/>
    <x v="0"/>
  </r>
  <r>
    <x v="1742"/>
    <s v="Female"/>
    <n v="44"/>
    <s v="No"/>
    <x v="62"/>
    <x v="1"/>
    <x v="2"/>
    <x v="1"/>
    <s v="No"/>
    <s v="No"/>
    <n v="2"/>
    <n v="58.61"/>
    <n v="3347.84"/>
    <x v="0"/>
  </r>
  <r>
    <x v="1743"/>
    <s v="Male"/>
    <n v="32"/>
    <s v="No"/>
    <x v="58"/>
    <x v="2"/>
    <x v="1"/>
    <x v="1"/>
    <s v="Yes"/>
    <s v="Yes"/>
    <n v="2"/>
    <n v="33.85"/>
    <n v="1294.42"/>
    <x v="0"/>
  </r>
  <r>
    <x v="1744"/>
    <s v="Female"/>
    <n v="23"/>
    <s v="No"/>
    <x v="8"/>
    <x v="2"/>
    <x v="1"/>
    <x v="1"/>
    <s v="Yes"/>
    <s v="Yes"/>
    <n v="5"/>
    <n v="49.78"/>
    <n v="49.93"/>
    <x v="1"/>
  </r>
  <r>
    <x v="1745"/>
    <s v="Female"/>
    <n v="64"/>
    <s v="Yes"/>
    <x v="48"/>
    <x v="0"/>
    <x v="2"/>
    <x v="2"/>
    <s v="No"/>
    <s v="No"/>
    <n v="1"/>
    <n v="51.42"/>
    <n v="758.56"/>
    <x v="0"/>
  </r>
  <r>
    <x v="1746"/>
    <s v="Female"/>
    <n v="31"/>
    <s v="No"/>
    <x v="47"/>
    <x v="2"/>
    <x v="0"/>
    <x v="0"/>
    <s v="No"/>
    <s v="Yes"/>
    <n v="5"/>
    <n v="69.59"/>
    <n v="1194.48"/>
    <x v="0"/>
  </r>
  <r>
    <x v="1747"/>
    <s v="Male"/>
    <n v="28"/>
    <s v="No"/>
    <x v="70"/>
    <x v="1"/>
    <x v="1"/>
    <x v="0"/>
    <s v="No"/>
    <s v="No"/>
    <n v="2"/>
    <n v="29.1"/>
    <n v="687.46"/>
    <x v="0"/>
  </r>
  <r>
    <x v="1748"/>
    <s v="Male"/>
    <n v="56"/>
    <s v="No"/>
    <x v="43"/>
    <x v="0"/>
    <x v="1"/>
    <x v="0"/>
    <s v="No"/>
    <s v="No"/>
    <n v="6"/>
    <n v="54.24"/>
    <n v="3015.41"/>
    <x v="0"/>
  </r>
  <r>
    <x v="1749"/>
    <s v="Male"/>
    <n v="26"/>
    <s v="No"/>
    <x v="50"/>
    <x v="1"/>
    <x v="2"/>
    <x v="2"/>
    <s v="No"/>
    <s v="No"/>
    <n v="1"/>
    <n v="51.6"/>
    <n v="3610.53"/>
    <x v="0"/>
  </r>
  <r>
    <x v="1750"/>
    <s v="Female"/>
    <n v="43"/>
    <s v="No"/>
    <x v="45"/>
    <x v="0"/>
    <x v="0"/>
    <x v="2"/>
    <s v="Yes"/>
    <s v="No"/>
    <n v="3"/>
    <n v="62.7"/>
    <n v="1380.44"/>
    <x v="0"/>
  </r>
  <r>
    <x v="1751"/>
    <s v="Female"/>
    <n v="33"/>
    <s v="No"/>
    <x v="16"/>
    <x v="2"/>
    <x v="2"/>
    <x v="3"/>
    <s v="No"/>
    <s v="No"/>
    <n v="3"/>
    <n v="62.21"/>
    <n v="2756.09"/>
    <x v="0"/>
  </r>
  <r>
    <x v="1752"/>
    <s v="Female"/>
    <n v="22"/>
    <s v="No"/>
    <x v="50"/>
    <x v="0"/>
    <x v="0"/>
    <x v="1"/>
    <s v="No"/>
    <s v="No"/>
    <n v="5"/>
    <n v="87.31"/>
    <n v="5877.57"/>
    <x v="0"/>
  </r>
  <r>
    <x v="1753"/>
    <s v="Male"/>
    <n v="74"/>
    <s v="Yes"/>
    <x v="9"/>
    <x v="0"/>
    <x v="1"/>
    <x v="1"/>
    <s v="No"/>
    <s v="No"/>
    <n v="5"/>
    <n v="38.26"/>
    <n v="302.48"/>
    <x v="1"/>
  </r>
  <r>
    <x v="1754"/>
    <s v="Male"/>
    <n v="69"/>
    <s v="Yes"/>
    <x v="24"/>
    <x v="1"/>
    <x v="1"/>
    <x v="2"/>
    <s v="No"/>
    <s v="Yes"/>
    <n v="4"/>
    <n v="43.86"/>
    <n v="2478.14"/>
    <x v="0"/>
  </r>
  <r>
    <x v="1755"/>
    <s v="Female"/>
    <n v="27"/>
    <s v="No"/>
    <x v="24"/>
    <x v="0"/>
    <x v="0"/>
    <x v="0"/>
    <s v="Yes"/>
    <s v="Yes"/>
    <n v="4"/>
    <n v="77.400000000000006"/>
    <n v="4528.87"/>
    <x v="1"/>
  </r>
  <r>
    <x v="1756"/>
    <s v="Male"/>
    <n v="67"/>
    <s v="Yes"/>
    <x v="21"/>
    <x v="0"/>
    <x v="2"/>
    <x v="1"/>
    <s v="No"/>
    <s v="Yes"/>
    <n v="4"/>
    <n v="62.44"/>
    <n v="849.67"/>
    <x v="1"/>
  </r>
  <r>
    <x v="1757"/>
    <s v="Male"/>
    <n v="20"/>
    <s v="No"/>
    <x v="49"/>
    <x v="1"/>
    <x v="0"/>
    <x v="0"/>
    <s v="Yes"/>
    <s v="No"/>
    <n v="3"/>
    <n v="62.4"/>
    <n v="2413.4699999999998"/>
    <x v="0"/>
  </r>
  <r>
    <x v="1758"/>
    <s v="Male"/>
    <n v="30"/>
    <s v="No"/>
    <x v="23"/>
    <x v="0"/>
    <x v="2"/>
    <x v="2"/>
    <s v="No"/>
    <s v="No"/>
    <n v="4"/>
    <n v="56.53"/>
    <n v="1697.97"/>
    <x v="0"/>
  </r>
  <r>
    <x v="1759"/>
    <s v="Male"/>
    <n v="60"/>
    <s v="Yes"/>
    <x v="31"/>
    <x v="1"/>
    <x v="0"/>
    <x v="0"/>
    <s v="No"/>
    <s v="No"/>
    <n v="4"/>
    <n v="87.27"/>
    <n v="5023.51"/>
    <x v="0"/>
  </r>
  <r>
    <x v="1760"/>
    <s v="Female"/>
    <n v="66"/>
    <s v="Yes"/>
    <x v="17"/>
    <x v="0"/>
    <x v="2"/>
    <x v="3"/>
    <s v="No"/>
    <s v="No"/>
    <n v="4"/>
    <n v="62.77"/>
    <n v="1060.5999999999999"/>
    <x v="0"/>
  </r>
  <r>
    <x v="1761"/>
    <s v="Male"/>
    <n v="47"/>
    <s v="No"/>
    <x v="2"/>
    <x v="1"/>
    <x v="0"/>
    <x v="2"/>
    <s v="No"/>
    <s v="No"/>
    <n v="5"/>
    <n v="88.54"/>
    <n v="169.95"/>
    <x v="0"/>
  </r>
  <r>
    <x v="1762"/>
    <s v="Male"/>
    <n v="71"/>
    <s v="Yes"/>
    <x v="47"/>
    <x v="1"/>
    <x v="0"/>
    <x v="0"/>
    <s v="Yes"/>
    <s v="No"/>
    <n v="4"/>
    <n v="77.37"/>
    <n v="1406.61"/>
    <x v="0"/>
  </r>
  <r>
    <x v="1763"/>
    <s v="Male"/>
    <n v="62"/>
    <s v="Yes"/>
    <x v="20"/>
    <x v="0"/>
    <x v="0"/>
    <x v="1"/>
    <s v="No"/>
    <s v="Yes"/>
    <n v="1"/>
    <n v="70.95"/>
    <n v="2035.58"/>
    <x v="0"/>
  </r>
  <r>
    <x v="1764"/>
    <s v="Male"/>
    <n v="23"/>
    <s v="No"/>
    <x v="21"/>
    <x v="1"/>
    <x v="0"/>
    <x v="2"/>
    <s v="No"/>
    <s v="No"/>
    <n v="2"/>
    <n v="69.86"/>
    <n v="944.07"/>
    <x v="0"/>
  </r>
  <r>
    <x v="1765"/>
    <s v="Female"/>
    <n v="34"/>
    <s v="No"/>
    <x v="21"/>
    <x v="1"/>
    <x v="2"/>
    <x v="2"/>
    <s v="No"/>
    <s v="No"/>
    <n v="4"/>
    <n v="52.53"/>
    <n v="635.04999999999995"/>
    <x v="0"/>
  </r>
  <r>
    <x v="1766"/>
    <s v="Female"/>
    <n v="62"/>
    <s v="Yes"/>
    <x v="66"/>
    <x v="1"/>
    <x v="0"/>
    <x v="2"/>
    <s v="Yes"/>
    <s v="No"/>
    <n v="4"/>
    <n v="77.23"/>
    <n v="3389.87"/>
    <x v="0"/>
  </r>
  <r>
    <x v="1767"/>
    <s v="Male"/>
    <n v="68"/>
    <s v="Yes"/>
    <x v="19"/>
    <x v="1"/>
    <x v="2"/>
    <x v="3"/>
    <s v="Yes"/>
    <s v="Yes"/>
    <n v="1"/>
    <n v="57.18"/>
    <n v="1146.73"/>
    <x v="0"/>
  </r>
  <r>
    <x v="1768"/>
    <s v="Male"/>
    <n v="70"/>
    <s v="Yes"/>
    <x v="60"/>
    <x v="2"/>
    <x v="1"/>
    <x v="1"/>
    <s v="Yes"/>
    <s v="No"/>
    <n v="3"/>
    <n v="44.93"/>
    <n v="2538.4299999999998"/>
    <x v="0"/>
  </r>
  <r>
    <x v="1769"/>
    <s v="Male"/>
    <n v="36"/>
    <s v="No"/>
    <x v="6"/>
    <x v="0"/>
    <x v="1"/>
    <x v="2"/>
    <s v="No"/>
    <s v="No"/>
    <n v="1"/>
    <n v="22.05"/>
    <n v="901.17"/>
    <x v="0"/>
  </r>
  <r>
    <x v="1770"/>
    <s v="Male"/>
    <n v="59"/>
    <s v="No"/>
    <x v="48"/>
    <x v="0"/>
    <x v="1"/>
    <x v="1"/>
    <s v="Yes"/>
    <s v="No"/>
    <n v="3"/>
    <n v="34.08"/>
    <n v="545.85"/>
    <x v="1"/>
  </r>
  <r>
    <x v="1771"/>
    <s v="Male"/>
    <n v="52"/>
    <s v="No"/>
    <x v="40"/>
    <x v="2"/>
    <x v="1"/>
    <x v="2"/>
    <s v="No"/>
    <s v="No"/>
    <n v="2"/>
    <n v="26.53"/>
    <n v="1407.52"/>
    <x v="0"/>
  </r>
  <r>
    <x v="1772"/>
    <s v="Male"/>
    <n v="63"/>
    <s v="Yes"/>
    <x v="53"/>
    <x v="0"/>
    <x v="0"/>
    <x v="2"/>
    <s v="No"/>
    <s v="No"/>
    <n v="5"/>
    <n v="84.26"/>
    <n v="4400.22"/>
    <x v="1"/>
  </r>
  <r>
    <x v="1773"/>
    <s v="Female"/>
    <n v="43"/>
    <s v="No"/>
    <x v="40"/>
    <x v="0"/>
    <x v="0"/>
    <x v="3"/>
    <s v="No"/>
    <s v="Yes"/>
    <n v="3"/>
    <n v="81.98"/>
    <n v="4053.95"/>
    <x v="0"/>
  </r>
  <r>
    <x v="1774"/>
    <s v="Male"/>
    <n v="68"/>
    <s v="Yes"/>
    <x v="20"/>
    <x v="0"/>
    <x v="2"/>
    <x v="2"/>
    <s v="No"/>
    <s v="Yes"/>
    <n v="8"/>
    <n v="89.22"/>
    <n v="2744.03"/>
    <x v="1"/>
  </r>
  <r>
    <x v="1775"/>
    <s v="Female"/>
    <n v="22"/>
    <s v="No"/>
    <x v="7"/>
    <x v="0"/>
    <x v="1"/>
    <x v="2"/>
    <s v="Yes"/>
    <s v="No"/>
    <n v="7"/>
    <n v="43.01"/>
    <n v="1332.21"/>
    <x v="0"/>
  </r>
  <r>
    <x v="1776"/>
    <s v="Female"/>
    <n v="46"/>
    <s v="No"/>
    <x v="44"/>
    <x v="0"/>
    <x v="1"/>
    <x v="1"/>
    <s v="No"/>
    <s v="Yes"/>
    <n v="5"/>
    <n v="51.01"/>
    <n v="3060.4"/>
    <x v="0"/>
  </r>
  <r>
    <x v="1777"/>
    <s v="Male"/>
    <n v="54"/>
    <s v="No"/>
    <x v="40"/>
    <x v="2"/>
    <x v="0"/>
    <x v="3"/>
    <s v="No"/>
    <s v="No"/>
    <n v="3"/>
    <n v="74.95"/>
    <n v="3739.84"/>
    <x v="0"/>
  </r>
  <r>
    <x v="1778"/>
    <s v="Female"/>
    <n v="37"/>
    <s v="No"/>
    <x v="14"/>
    <x v="0"/>
    <x v="0"/>
    <x v="1"/>
    <s v="No"/>
    <s v="No"/>
    <n v="3"/>
    <n v="72.430000000000007"/>
    <n v="654.39"/>
    <x v="1"/>
  </r>
  <r>
    <x v="1779"/>
    <s v="Female"/>
    <n v="66"/>
    <s v="Yes"/>
    <x v="62"/>
    <x v="0"/>
    <x v="0"/>
    <x v="0"/>
    <s v="No"/>
    <s v="No"/>
    <n v="3"/>
    <n v="68.45"/>
    <n v="3753.04"/>
    <x v="0"/>
  </r>
  <r>
    <x v="1780"/>
    <s v="Female"/>
    <n v="38"/>
    <s v="No"/>
    <x v="8"/>
    <x v="2"/>
    <x v="2"/>
    <x v="1"/>
    <s v="Yes"/>
    <s v="Yes"/>
    <n v="2"/>
    <n v="63.46"/>
    <n v="62.06"/>
    <x v="0"/>
  </r>
  <r>
    <x v="1781"/>
    <s v="Female"/>
    <n v="27"/>
    <s v="No"/>
    <x v="35"/>
    <x v="2"/>
    <x v="2"/>
    <x v="0"/>
    <s v="No"/>
    <s v="No"/>
    <n v="4"/>
    <n v="47.6"/>
    <n v="2149.31"/>
    <x v="0"/>
  </r>
  <r>
    <x v="1782"/>
    <s v="Female"/>
    <n v="22"/>
    <s v="No"/>
    <x v="14"/>
    <x v="0"/>
    <x v="0"/>
    <x v="2"/>
    <s v="No"/>
    <s v="Yes"/>
    <n v="4"/>
    <n v="75.569999999999993"/>
    <n v="652.95000000000005"/>
    <x v="0"/>
  </r>
  <r>
    <x v="1783"/>
    <s v="Female"/>
    <n v="53"/>
    <s v="No"/>
    <x v="10"/>
    <x v="0"/>
    <x v="2"/>
    <x v="2"/>
    <s v="No"/>
    <s v="No"/>
    <n v="4"/>
    <n v="61.57"/>
    <n v="1823.54"/>
    <x v="0"/>
  </r>
  <r>
    <x v="1784"/>
    <s v="Male"/>
    <n v="23"/>
    <s v="No"/>
    <x v="48"/>
    <x v="2"/>
    <x v="2"/>
    <x v="1"/>
    <s v="Yes"/>
    <s v="No"/>
    <n v="5"/>
    <n v="66.17"/>
    <n v="1065.49"/>
    <x v="0"/>
  </r>
  <r>
    <x v="1785"/>
    <s v="Female"/>
    <n v="43"/>
    <s v="No"/>
    <x v="1"/>
    <x v="1"/>
    <x v="2"/>
    <x v="3"/>
    <s v="Yes"/>
    <s v="No"/>
    <n v="4"/>
    <n v="67.73"/>
    <n v="789.36"/>
    <x v="0"/>
  </r>
  <r>
    <x v="1786"/>
    <s v="Female"/>
    <n v="21"/>
    <s v="No"/>
    <x v="44"/>
    <x v="1"/>
    <x v="0"/>
    <x v="0"/>
    <s v="No"/>
    <s v="Yes"/>
    <n v="4"/>
    <n v="72.84"/>
    <n v="4293.68"/>
    <x v="0"/>
  </r>
  <r>
    <x v="1787"/>
    <s v="Female"/>
    <n v="56"/>
    <s v="No"/>
    <x v="9"/>
    <x v="2"/>
    <x v="1"/>
    <x v="2"/>
    <s v="No"/>
    <s v="No"/>
    <n v="5"/>
    <n v="49.37"/>
    <n v="395.44"/>
    <x v="0"/>
  </r>
  <r>
    <x v="1788"/>
    <s v="Male"/>
    <n v="56"/>
    <s v="No"/>
    <x v="50"/>
    <x v="1"/>
    <x v="2"/>
    <x v="0"/>
    <s v="No"/>
    <s v="Yes"/>
    <n v="6"/>
    <n v="66.56"/>
    <n v="4921.8999999999996"/>
    <x v="0"/>
  </r>
  <r>
    <x v="1789"/>
    <s v="Female"/>
    <n v="67"/>
    <s v="Yes"/>
    <x v="5"/>
    <x v="0"/>
    <x v="1"/>
    <x v="3"/>
    <s v="No"/>
    <s v="No"/>
    <n v="3"/>
    <n v="37.28"/>
    <n v="943.9"/>
    <x v="0"/>
  </r>
  <r>
    <x v="1790"/>
    <s v="Male"/>
    <n v="52"/>
    <s v="No"/>
    <x v="38"/>
    <x v="1"/>
    <x v="1"/>
    <x v="2"/>
    <s v="No"/>
    <s v="No"/>
    <n v="3"/>
    <n v="33.78"/>
    <n v="2100.6799999999998"/>
    <x v="0"/>
  </r>
  <r>
    <x v="1791"/>
    <s v="Female"/>
    <n v="18"/>
    <s v="No"/>
    <x v="1"/>
    <x v="0"/>
    <x v="0"/>
    <x v="0"/>
    <s v="Yes"/>
    <s v="No"/>
    <n v="5"/>
    <n v="84.13"/>
    <n v="992.15"/>
    <x v="1"/>
  </r>
  <r>
    <x v="1792"/>
    <s v="Male"/>
    <n v="41"/>
    <s v="No"/>
    <x v="61"/>
    <x v="1"/>
    <x v="0"/>
    <x v="2"/>
    <s v="Yes"/>
    <s v="No"/>
    <n v="5"/>
    <n v="82"/>
    <n v="5288.94"/>
    <x v="0"/>
  </r>
  <r>
    <x v="1793"/>
    <s v="Male"/>
    <n v="74"/>
    <s v="Yes"/>
    <x v="55"/>
    <x v="1"/>
    <x v="2"/>
    <x v="2"/>
    <s v="No"/>
    <s v="No"/>
    <n v="4"/>
    <n v="56.51"/>
    <n v="2550.46"/>
    <x v="0"/>
  </r>
  <r>
    <x v="1794"/>
    <s v="Female"/>
    <n v="53"/>
    <s v="No"/>
    <x v="38"/>
    <x v="0"/>
    <x v="0"/>
    <x v="2"/>
    <s v="No"/>
    <s v="Yes"/>
    <n v="4"/>
    <n v="75.319999999999993"/>
    <n v="4398.08"/>
    <x v="1"/>
  </r>
  <r>
    <x v="1795"/>
    <s v="Female"/>
    <n v="23"/>
    <s v="No"/>
    <x v="15"/>
    <x v="0"/>
    <x v="1"/>
    <x v="1"/>
    <s v="No"/>
    <s v="No"/>
    <n v="2"/>
    <n v="35.61"/>
    <n v="407.67"/>
    <x v="1"/>
  </r>
  <r>
    <x v="1796"/>
    <s v="Male"/>
    <n v="58"/>
    <s v="No"/>
    <x v="66"/>
    <x v="0"/>
    <x v="2"/>
    <x v="0"/>
    <s v="No"/>
    <s v="Yes"/>
    <n v="2"/>
    <n v="41.68"/>
    <n v="1743.59"/>
    <x v="0"/>
  </r>
  <r>
    <x v="1797"/>
    <s v="Female"/>
    <n v="71"/>
    <s v="Yes"/>
    <x v="47"/>
    <x v="0"/>
    <x v="1"/>
    <x v="2"/>
    <s v="No"/>
    <s v="Yes"/>
    <n v="2"/>
    <n v="31.65"/>
    <n v="520"/>
    <x v="0"/>
  </r>
  <r>
    <x v="1798"/>
    <s v="Male"/>
    <n v="63"/>
    <s v="Yes"/>
    <x v="10"/>
    <x v="1"/>
    <x v="0"/>
    <x v="0"/>
    <s v="No"/>
    <s v="Yes"/>
    <n v="3"/>
    <n v="69.63"/>
    <n v="2146.44"/>
    <x v="0"/>
  </r>
  <r>
    <x v="1799"/>
    <s v="Male"/>
    <n v="61"/>
    <s v="Yes"/>
    <x v="6"/>
    <x v="0"/>
    <x v="0"/>
    <x v="3"/>
    <s v="Yes"/>
    <s v="Yes"/>
    <n v="1"/>
    <n v="66.14"/>
    <n v="2581.59"/>
    <x v="1"/>
  </r>
  <r>
    <x v="1800"/>
    <s v="Male"/>
    <n v="74"/>
    <s v="Yes"/>
    <x v="45"/>
    <x v="1"/>
    <x v="2"/>
    <x v="1"/>
    <s v="Yes"/>
    <s v="No"/>
    <n v="7"/>
    <n v="70.23"/>
    <n v="1578.36"/>
    <x v="0"/>
  </r>
  <r>
    <x v="1801"/>
    <s v="Male"/>
    <n v="48"/>
    <s v="No"/>
    <x v="64"/>
    <x v="0"/>
    <x v="0"/>
    <x v="1"/>
    <s v="No"/>
    <s v="No"/>
    <n v="3"/>
    <n v="81.069999999999993"/>
    <n v="4373.3900000000003"/>
    <x v="0"/>
  </r>
  <r>
    <x v="1802"/>
    <s v="Male"/>
    <n v="37"/>
    <s v="No"/>
    <x v="33"/>
    <x v="1"/>
    <x v="2"/>
    <x v="0"/>
    <s v="No"/>
    <s v="Yes"/>
    <n v="4"/>
    <n v="63.61"/>
    <n v="391.89"/>
    <x v="0"/>
  </r>
  <r>
    <x v="1803"/>
    <s v="Female"/>
    <n v="41"/>
    <s v="No"/>
    <x v="32"/>
    <x v="2"/>
    <x v="1"/>
    <x v="3"/>
    <s v="No"/>
    <s v="Yes"/>
    <n v="4"/>
    <n v="43.04"/>
    <n v="1996.27"/>
    <x v="0"/>
  </r>
  <r>
    <x v="1804"/>
    <s v="Male"/>
    <n v="42"/>
    <s v="No"/>
    <x v="67"/>
    <x v="1"/>
    <x v="0"/>
    <x v="0"/>
    <s v="Yes"/>
    <s v="No"/>
    <n v="3"/>
    <n v="76.209999999999994"/>
    <n v="2744.11"/>
    <x v="0"/>
  </r>
  <r>
    <x v="1805"/>
    <s v="Male"/>
    <n v="53"/>
    <s v="No"/>
    <x v="59"/>
    <x v="0"/>
    <x v="2"/>
    <x v="3"/>
    <s v="Yes"/>
    <s v="No"/>
    <n v="2"/>
    <n v="49.66"/>
    <n v="3066.47"/>
    <x v="0"/>
  </r>
  <r>
    <x v="1806"/>
    <s v="Female"/>
    <n v="38"/>
    <s v="No"/>
    <x v="62"/>
    <x v="2"/>
    <x v="0"/>
    <x v="0"/>
    <s v="No"/>
    <s v="No"/>
    <n v="2"/>
    <n v="69.53"/>
    <n v="3905.66"/>
    <x v="0"/>
  </r>
  <r>
    <x v="1807"/>
    <s v="Male"/>
    <n v="47"/>
    <s v="No"/>
    <x v="50"/>
    <x v="0"/>
    <x v="0"/>
    <x v="3"/>
    <s v="No"/>
    <s v="No"/>
    <n v="2"/>
    <n v="58.76"/>
    <n v="3991.43"/>
    <x v="0"/>
  </r>
  <r>
    <x v="1808"/>
    <s v="Female"/>
    <n v="41"/>
    <s v="No"/>
    <x v="65"/>
    <x v="0"/>
    <x v="1"/>
    <x v="3"/>
    <s v="No"/>
    <s v="No"/>
    <n v="7"/>
    <n v="58.14"/>
    <n v="3049.73"/>
    <x v="0"/>
  </r>
  <r>
    <x v="1809"/>
    <s v="Female"/>
    <n v="61"/>
    <s v="Yes"/>
    <x v="15"/>
    <x v="0"/>
    <x v="1"/>
    <x v="0"/>
    <s v="No"/>
    <s v="No"/>
    <n v="6"/>
    <n v="50.87"/>
    <n v="530.07000000000005"/>
    <x v="1"/>
  </r>
  <r>
    <x v="1810"/>
    <s v="Female"/>
    <n v="59"/>
    <s v="No"/>
    <x v="65"/>
    <x v="0"/>
    <x v="2"/>
    <x v="0"/>
    <s v="No"/>
    <s v="No"/>
    <n v="3"/>
    <n v="63.4"/>
    <n v="3042"/>
    <x v="1"/>
  </r>
  <r>
    <x v="1811"/>
    <s v="Male"/>
    <n v="47"/>
    <s v="No"/>
    <x v="19"/>
    <x v="2"/>
    <x v="1"/>
    <x v="1"/>
    <s v="Yes"/>
    <s v="Yes"/>
    <n v="4"/>
    <n v="37.119999999999997"/>
    <n v="742.07"/>
    <x v="0"/>
  </r>
  <r>
    <x v="1812"/>
    <s v="Male"/>
    <n v="39"/>
    <s v="No"/>
    <x v="36"/>
    <x v="0"/>
    <x v="2"/>
    <x v="0"/>
    <s v="Yes"/>
    <s v="No"/>
    <n v="2"/>
    <n v="59.82"/>
    <n v="3813.38"/>
    <x v="0"/>
  </r>
  <r>
    <x v="1813"/>
    <s v="Male"/>
    <n v="45"/>
    <s v="No"/>
    <x v="18"/>
    <x v="1"/>
    <x v="0"/>
    <x v="3"/>
    <s v="No"/>
    <s v="Yes"/>
    <n v="3"/>
    <n v="73.66"/>
    <n v="4834.3900000000003"/>
    <x v="0"/>
  </r>
  <r>
    <x v="1814"/>
    <s v="Female"/>
    <n v="24"/>
    <s v="No"/>
    <x v="23"/>
    <x v="1"/>
    <x v="0"/>
    <x v="0"/>
    <s v="No"/>
    <s v="No"/>
    <n v="4"/>
    <n v="74.989999999999995"/>
    <n v="2091.79"/>
    <x v="0"/>
  </r>
  <r>
    <x v="1815"/>
    <s v="Male"/>
    <n v="52"/>
    <s v="No"/>
    <x v="47"/>
    <x v="0"/>
    <x v="1"/>
    <x v="1"/>
    <s v="Yes"/>
    <s v="No"/>
    <n v="4"/>
    <n v="51.82"/>
    <n v="833.38"/>
    <x v="1"/>
  </r>
  <r>
    <x v="1816"/>
    <s v="Female"/>
    <n v="72"/>
    <s v="Yes"/>
    <x v="33"/>
    <x v="1"/>
    <x v="0"/>
    <x v="3"/>
    <s v="No"/>
    <s v="No"/>
    <n v="1"/>
    <n v="69.55"/>
    <n v="387.03"/>
    <x v="0"/>
  </r>
  <r>
    <x v="1817"/>
    <s v="Male"/>
    <n v="45"/>
    <s v="No"/>
    <x v="13"/>
    <x v="0"/>
    <x v="2"/>
    <x v="1"/>
    <s v="Yes"/>
    <s v="Yes"/>
    <n v="4"/>
    <n v="70.7"/>
    <n v="1285.25"/>
    <x v="0"/>
  </r>
  <r>
    <x v="1818"/>
    <s v="Female"/>
    <n v="31"/>
    <s v="No"/>
    <x v="64"/>
    <x v="0"/>
    <x v="2"/>
    <x v="2"/>
    <s v="No"/>
    <s v="No"/>
    <n v="4"/>
    <n v="60.19"/>
    <n v="3610.95"/>
    <x v="0"/>
  </r>
  <r>
    <x v="1819"/>
    <s v="Male"/>
    <n v="73"/>
    <s v="Yes"/>
    <x v="23"/>
    <x v="0"/>
    <x v="2"/>
    <x v="1"/>
    <s v="Yes"/>
    <s v="Yes"/>
    <n v="3"/>
    <n v="60.65"/>
    <n v="1792.03"/>
    <x v="0"/>
  </r>
  <r>
    <x v="1820"/>
    <s v="Male"/>
    <n v="27"/>
    <s v="No"/>
    <x v="36"/>
    <x v="2"/>
    <x v="2"/>
    <x v="2"/>
    <s v="No"/>
    <s v="Yes"/>
    <n v="2"/>
    <n v="58.2"/>
    <n v="3804.43"/>
    <x v="0"/>
  </r>
  <r>
    <x v="1821"/>
    <s v="Male"/>
    <n v="33"/>
    <s v="No"/>
    <x v="52"/>
    <x v="2"/>
    <x v="0"/>
    <x v="0"/>
    <s v="Yes"/>
    <s v="No"/>
    <n v="7"/>
    <n v="89.03"/>
    <n v="3373.39"/>
    <x v="1"/>
  </r>
  <r>
    <x v="1822"/>
    <s v="Female"/>
    <n v="33"/>
    <s v="No"/>
    <x v="67"/>
    <x v="0"/>
    <x v="0"/>
    <x v="0"/>
    <s v="No"/>
    <s v="Yes"/>
    <n v="2"/>
    <n v="73.42"/>
    <n v="2890.12"/>
    <x v="0"/>
  </r>
  <r>
    <x v="1823"/>
    <s v="Female"/>
    <n v="71"/>
    <s v="Yes"/>
    <x v="27"/>
    <x v="0"/>
    <x v="2"/>
    <x v="1"/>
    <s v="Yes"/>
    <s v="No"/>
    <n v="4"/>
    <n v="60.08"/>
    <n v="4145.1499999999996"/>
    <x v="0"/>
  </r>
  <r>
    <x v="1824"/>
    <s v="Male"/>
    <n v="48"/>
    <s v="No"/>
    <x v="65"/>
    <x v="1"/>
    <x v="2"/>
    <x v="1"/>
    <s v="No"/>
    <s v="No"/>
    <n v="5"/>
    <n v="68.83"/>
    <n v="3578.14"/>
    <x v="0"/>
  </r>
  <r>
    <x v="1825"/>
    <s v="Male"/>
    <n v="59"/>
    <s v="No"/>
    <x v="66"/>
    <x v="0"/>
    <x v="2"/>
    <x v="1"/>
    <s v="No"/>
    <s v="No"/>
    <n v="5"/>
    <n v="55.54"/>
    <n v="2385.1"/>
    <x v="0"/>
  </r>
  <r>
    <x v="1826"/>
    <s v="Female"/>
    <n v="42"/>
    <s v="No"/>
    <x v="58"/>
    <x v="2"/>
    <x v="2"/>
    <x v="1"/>
    <s v="Yes"/>
    <s v="No"/>
    <n v="4"/>
    <n v="63.21"/>
    <n v="2166.37"/>
    <x v="0"/>
  </r>
  <r>
    <x v="1827"/>
    <s v="Female"/>
    <n v="30"/>
    <s v="No"/>
    <x v="43"/>
    <x v="1"/>
    <x v="0"/>
    <x v="3"/>
    <s v="Yes"/>
    <s v="No"/>
    <n v="3"/>
    <n v="81.44"/>
    <n v="4894.2700000000004"/>
    <x v="0"/>
  </r>
  <r>
    <x v="1828"/>
    <s v="Female"/>
    <n v="23"/>
    <s v="No"/>
    <x v="21"/>
    <x v="0"/>
    <x v="1"/>
    <x v="1"/>
    <s v="No"/>
    <s v="No"/>
    <n v="4"/>
    <n v="36.22"/>
    <n v="472.85"/>
    <x v="0"/>
  </r>
  <r>
    <x v="1829"/>
    <s v="Male"/>
    <n v="61"/>
    <s v="Yes"/>
    <x v="40"/>
    <x v="2"/>
    <x v="2"/>
    <x v="2"/>
    <s v="No"/>
    <s v="No"/>
    <n v="6"/>
    <n v="60.83"/>
    <n v="3248.41"/>
    <x v="0"/>
  </r>
  <r>
    <x v="1830"/>
    <s v="Female"/>
    <n v="26"/>
    <s v="No"/>
    <x v="43"/>
    <x v="0"/>
    <x v="0"/>
    <x v="1"/>
    <s v="Yes"/>
    <s v="No"/>
    <n v="7"/>
    <n v="79.39"/>
    <n v="4352.09"/>
    <x v="0"/>
  </r>
  <r>
    <x v="1831"/>
    <s v="Male"/>
    <n v="62"/>
    <s v="Yes"/>
    <x v="10"/>
    <x v="2"/>
    <x v="2"/>
    <x v="2"/>
    <s v="Yes"/>
    <s v="No"/>
    <n v="4"/>
    <n v="73.55"/>
    <n v="2409.1799999999998"/>
    <x v="1"/>
  </r>
  <r>
    <x v="1832"/>
    <s v="Female"/>
    <n v="53"/>
    <s v="No"/>
    <x v="34"/>
    <x v="2"/>
    <x v="1"/>
    <x v="3"/>
    <s v="Yes"/>
    <s v="No"/>
    <n v="3"/>
    <n v="31.88"/>
    <n v="1876.77"/>
    <x v="0"/>
  </r>
  <r>
    <x v="1833"/>
    <s v="Male"/>
    <n v="73"/>
    <s v="Yes"/>
    <x v="43"/>
    <x v="0"/>
    <x v="1"/>
    <x v="1"/>
    <s v="Yes"/>
    <s v="Yes"/>
    <n v="2"/>
    <n v="42.93"/>
    <n v="2423.0100000000002"/>
    <x v="0"/>
  </r>
  <r>
    <x v="1834"/>
    <s v="Female"/>
    <n v="60"/>
    <s v="Yes"/>
    <x v="64"/>
    <x v="0"/>
    <x v="0"/>
    <x v="0"/>
    <s v="No"/>
    <s v="No"/>
    <n v="3"/>
    <n v="73.540000000000006"/>
    <n v="4231.2299999999996"/>
    <x v="0"/>
  </r>
  <r>
    <x v="1835"/>
    <s v="Female"/>
    <n v="37"/>
    <s v="No"/>
    <x v="23"/>
    <x v="2"/>
    <x v="2"/>
    <x v="1"/>
    <s v="No"/>
    <s v="No"/>
    <n v="2"/>
    <n v="58.69"/>
    <n v="1667.57"/>
    <x v="0"/>
  </r>
  <r>
    <x v="1836"/>
    <s v="Female"/>
    <n v="35"/>
    <s v="No"/>
    <x v="8"/>
    <x v="2"/>
    <x v="0"/>
    <x v="1"/>
    <s v="No"/>
    <s v="Yes"/>
    <n v="4"/>
    <n v="83.07"/>
    <n v="85.05"/>
    <x v="0"/>
  </r>
  <r>
    <x v="1837"/>
    <s v="Female"/>
    <n v="75"/>
    <s v="Yes"/>
    <x v="55"/>
    <x v="0"/>
    <x v="0"/>
    <x v="0"/>
    <s v="No"/>
    <s v="No"/>
    <n v="8"/>
    <n v="109.72"/>
    <n v="4951.34"/>
    <x v="0"/>
  </r>
  <r>
    <x v="1838"/>
    <s v="Female"/>
    <n v="60"/>
    <s v="Yes"/>
    <x v="11"/>
    <x v="2"/>
    <x v="2"/>
    <x v="3"/>
    <s v="No"/>
    <s v="No"/>
    <n v="8"/>
    <n v="85.12"/>
    <n v="4217.29"/>
    <x v="0"/>
  </r>
  <r>
    <x v="1839"/>
    <s v="Male"/>
    <n v="74"/>
    <s v="Yes"/>
    <x v="6"/>
    <x v="0"/>
    <x v="2"/>
    <x v="2"/>
    <s v="No"/>
    <s v="No"/>
    <n v="4"/>
    <n v="60.49"/>
    <n v="2474.15"/>
    <x v="0"/>
  </r>
  <r>
    <x v="1840"/>
    <s v="Female"/>
    <n v="38"/>
    <s v="No"/>
    <x v="18"/>
    <x v="0"/>
    <x v="2"/>
    <x v="0"/>
    <s v="No"/>
    <s v="No"/>
    <n v="3"/>
    <n v="57.17"/>
    <n v="3667.15"/>
    <x v="0"/>
  </r>
  <r>
    <x v="1841"/>
    <s v="Female"/>
    <n v="21"/>
    <s v="No"/>
    <x v="50"/>
    <x v="2"/>
    <x v="0"/>
    <x v="2"/>
    <s v="No"/>
    <s v="Yes"/>
    <n v="3"/>
    <n v="79.75"/>
    <n v="5648.95"/>
    <x v="0"/>
  </r>
  <r>
    <x v="1842"/>
    <s v="Female"/>
    <n v="67"/>
    <s v="Yes"/>
    <x v="12"/>
    <x v="0"/>
    <x v="0"/>
    <x v="2"/>
    <s v="No"/>
    <s v="No"/>
    <n v="3"/>
    <n v="93.77"/>
    <n v="395.44"/>
    <x v="0"/>
  </r>
  <r>
    <x v="1843"/>
    <s v="Male"/>
    <n v="50"/>
    <s v="No"/>
    <x v="52"/>
    <x v="2"/>
    <x v="2"/>
    <x v="2"/>
    <s v="Yes"/>
    <s v="No"/>
    <n v="6"/>
    <n v="67.47"/>
    <n v="2515.02"/>
    <x v="0"/>
  </r>
  <r>
    <x v="1844"/>
    <s v="Female"/>
    <n v="44"/>
    <s v="No"/>
    <x v="5"/>
    <x v="0"/>
    <x v="0"/>
    <x v="0"/>
    <s v="Yes"/>
    <s v="No"/>
    <n v="3"/>
    <n v="65.95"/>
    <n v="1837.7"/>
    <x v="0"/>
  </r>
  <r>
    <x v="1845"/>
    <s v="Male"/>
    <n v="24"/>
    <s v="No"/>
    <x v="14"/>
    <x v="1"/>
    <x v="0"/>
    <x v="1"/>
    <s v="Yes"/>
    <s v="No"/>
    <n v="7"/>
    <n v="92.71"/>
    <n v="806.77"/>
    <x v="1"/>
  </r>
  <r>
    <x v="1846"/>
    <s v="Female"/>
    <n v="23"/>
    <s v="No"/>
    <x v="17"/>
    <x v="0"/>
    <x v="0"/>
    <x v="1"/>
    <s v="Yes"/>
    <s v="Yes"/>
    <n v="3"/>
    <n v="70.52"/>
    <n v="1064.73"/>
    <x v="0"/>
  </r>
  <r>
    <x v="1847"/>
    <s v="Female"/>
    <n v="32"/>
    <s v="No"/>
    <x v="64"/>
    <x v="0"/>
    <x v="0"/>
    <x v="3"/>
    <s v="No"/>
    <s v="No"/>
    <n v="4"/>
    <n v="80.48"/>
    <n v="4239.8999999999996"/>
    <x v="0"/>
  </r>
  <r>
    <x v="1848"/>
    <s v="Male"/>
    <n v="35"/>
    <s v="No"/>
    <x v="71"/>
    <x v="1"/>
    <x v="0"/>
    <x v="0"/>
    <s v="No"/>
    <s v="Yes"/>
    <n v="7"/>
    <n v="99.06"/>
    <n v="3136.97"/>
    <x v="1"/>
  </r>
  <r>
    <x v="1849"/>
    <s v="Female"/>
    <n v="49"/>
    <s v="No"/>
    <x v="54"/>
    <x v="0"/>
    <x v="2"/>
    <x v="1"/>
    <s v="No"/>
    <s v="Yes"/>
    <n v="6"/>
    <n v="70.53"/>
    <n v="960.24"/>
    <x v="0"/>
  </r>
  <r>
    <x v="1850"/>
    <s v="Male"/>
    <n v="73"/>
    <s v="Yes"/>
    <x v="26"/>
    <x v="0"/>
    <x v="0"/>
    <x v="0"/>
    <s v="Yes"/>
    <s v="Yes"/>
    <n v="3"/>
    <n v="70.849999999999994"/>
    <n v="1707.5"/>
    <x v="0"/>
  </r>
  <r>
    <x v="1851"/>
    <s v="Male"/>
    <n v="28"/>
    <s v="No"/>
    <x v="22"/>
    <x v="0"/>
    <x v="0"/>
    <x v="1"/>
    <s v="No"/>
    <s v="Yes"/>
    <n v="3"/>
    <n v="73.58"/>
    <n v="2538.5700000000002"/>
    <x v="0"/>
  </r>
  <r>
    <x v="1852"/>
    <s v="Female"/>
    <n v="37"/>
    <s v="No"/>
    <x v="51"/>
    <x v="0"/>
    <x v="2"/>
    <x v="3"/>
    <s v="Yes"/>
    <s v="Yes"/>
    <n v="4"/>
    <n v="51.54"/>
    <n v="3191.11"/>
    <x v="0"/>
  </r>
  <r>
    <x v="1853"/>
    <s v="Male"/>
    <n v="41"/>
    <s v="No"/>
    <x v="70"/>
    <x v="2"/>
    <x v="0"/>
    <x v="1"/>
    <s v="No"/>
    <s v="No"/>
    <n v="4"/>
    <n v="87.93"/>
    <n v="2024.63"/>
    <x v="0"/>
  </r>
  <r>
    <x v="1854"/>
    <s v="Female"/>
    <n v="32"/>
    <s v="No"/>
    <x v="29"/>
    <x v="0"/>
    <x v="2"/>
    <x v="3"/>
    <s v="No"/>
    <s v="No"/>
    <n v="4"/>
    <n v="64.739999999999995"/>
    <n v="1640.3"/>
    <x v="0"/>
  </r>
  <r>
    <x v="1855"/>
    <s v="Female"/>
    <n v="65"/>
    <s v="Yes"/>
    <x v="28"/>
    <x v="1"/>
    <x v="0"/>
    <x v="2"/>
    <s v="Yes"/>
    <s v="Yes"/>
    <n v="3"/>
    <n v="67.38"/>
    <n v="1392.53"/>
    <x v="0"/>
  </r>
  <r>
    <x v="1856"/>
    <s v="Male"/>
    <n v="24"/>
    <s v="No"/>
    <x v="59"/>
    <x v="0"/>
    <x v="0"/>
    <x v="1"/>
    <s v="No"/>
    <s v="Yes"/>
    <n v="4"/>
    <n v="96.65"/>
    <n v="6230.14"/>
    <x v="1"/>
  </r>
  <r>
    <x v="1857"/>
    <s v="Male"/>
    <n v="38"/>
    <s v="No"/>
    <x v="69"/>
    <x v="0"/>
    <x v="0"/>
    <x v="0"/>
    <s v="No"/>
    <s v="No"/>
    <n v="4"/>
    <n v="77.48"/>
    <n v="818.93"/>
    <x v="1"/>
  </r>
  <r>
    <x v="1858"/>
    <s v="Male"/>
    <n v="59"/>
    <s v="No"/>
    <x v="51"/>
    <x v="0"/>
    <x v="0"/>
    <x v="2"/>
    <s v="Yes"/>
    <s v="No"/>
    <n v="5"/>
    <n v="85.07"/>
    <n v="5548.77"/>
    <x v="1"/>
  </r>
  <r>
    <x v="1859"/>
    <s v="Male"/>
    <n v="43"/>
    <s v="No"/>
    <x v="70"/>
    <x v="0"/>
    <x v="2"/>
    <x v="1"/>
    <s v="Yes"/>
    <s v="Yes"/>
    <n v="7"/>
    <n v="68.64"/>
    <n v="1593.71"/>
    <x v="0"/>
  </r>
  <r>
    <x v="1860"/>
    <s v="Female"/>
    <n v="61"/>
    <s v="Yes"/>
    <x v="30"/>
    <x v="0"/>
    <x v="1"/>
    <x v="1"/>
    <s v="No"/>
    <s v="No"/>
    <n v="4"/>
    <n v="43.94"/>
    <n v="203.29"/>
    <x v="0"/>
  </r>
  <r>
    <x v="1861"/>
    <s v="Female"/>
    <n v="73"/>
    <s v="Yes"/>
    <x v="51"/>
    <x v="1"/>
    <x v="0"/>
    <x v="1"/>
    <s v="Yes"/>
    <s v="No"/>
    <n v="8"/>
    <n v="95.66"/>
    <n v="6872.44"/>
    <x v="0"/>
  </r>
  <r>
    <x v="1862"/>
    <s v="Male"/>
    <n v="31"/>
    <s v="No"/>
    <x v="43"/>
    <x v="2"/>
    <x v="0"/>
    <x v="3"/>
    <s v="No"/>
    <s v="Yes"/>
    <n v="7"/>
    <n v="81.22"/>
    <n v="4711.88"/>
    <x v="0"/>
  </r>
  <r>
    <x v="1863"/>
    <s v="Female"/>
    <n v="74"/>
    <s v="Yes"/>
    <x v="5"/>
    <x v="0"/>
    <x v="2"/>
    <x v="3"/>
    <s v="No"/>
    <s v="No"/>
    <n v="4"/>
    <n v="67.209999999999994"/>
    <n v="1815.4"/>
    <x v="1"/>
  </r>
  <r>
    <x v="1864"/>
    <s v="Female"/>
    <n v="54"/>
    <s v="No"/>
    <x v="48"/>
    <x v="0"/>
    <x v="2"/>
    <x v="1"/>
    <s v="Yes"/>
    <s v="No"/>
    <n v="5"/>
    <n v="57.2"/>
    <n v="916.13"/>
    <x v="1"/>
  </r>
  <r>
    <x v="1865"/>
    <s v="Female"/>
    <n v="75"/>
    <s v="Yes"/>
    <x v="39"/>
    <x v="0"/>
    <x v="1"/>
    <x v="0"/>
    <s v="Yes"/>
    <s v="Yes"/>
    <n v="1"/>
    <n v="35.42"/>
    <n v="1198.03"/>
    <x v="0"/>
  </r>
  <r>
    <x v="1866"/>
    <s v="Female"/>
    <n v="38"/>
    <s v="No"/>
    <x v="53"/>
    <x v="0"/>
    <x v="0"/>
    <x v="1"/>
    <s v="No"/>
    <s v="No"/>
    <n v="4"/>
    <n v="77.38"/>
    <n v="3990.97"/>
    <x v="1"/>
  </r>
  <r>
    <x v="1867"/>
    <s v="Male"/>
    <n v="35"/>
    <s v="No"/>
    <x v="35"/>
    <x v="0"/>
    <x v="1"/>
    <x v="2"/>
    <s v="No"/>
    <s v="No"/>
    <n v="3"/>
    <n v="37.44"/>
    <n v="1688.57"/>
    <x v="1"/>
  </r>
  <r>
    <x v="1868"/>
    <s v="Male"/>
    <n v="22"/>
    <s v="No"/>
    <x v="29"/>
    <x v="0"/>
    <x v="0"/>
    <x v="1"/>
    <s v="No"/>
    <s v="Yes"/>
    <n v="6"/>
    <n v="90.37"/>
    <n v="2456.83"/>
    <x v="1"/>
  </r>
  <r>
    <x v="1869"/>
    <s v="Female"/>
    <n v="20"/>
    <s v="No"/>
    <x v="37"/>
    <x v="0"/>
    <x v="0"/>
    <x v="2"/>
    <s v="No"/>
    <s v="Yes"/>
    <n v="8"/>
    <n v="95.96"/>
    <n v="4653.95"/>
    <x v="0"/>
  </r>
  <r>
    <x v="1870"/>
    <s v="Male"/>
    <n v="40"/>
    <s v="No"/>
    <x v="22"/>
    <x v="0"/>
    <x v="1"/>
    <x v="0"/>
    <s v="No"/>
    <s v="Yes"/>
    <n v="4"/>
    <n v="46.21"/>
    <n v="1643.72"/>
    <x v="0"/>
  </r>
  <r>
    <x v="1871"/>
    <s v="Male"/>
    <n v="43"/>
    <s v="No"/>
    <x v="32"/>
    <x v="0"/>
    <x v="2"/>
    <x v="3"/>
    <s v="Yes"/>
    <s v="No"/>
    <n v="5"/>
    <n v="58.04"/>
    <n v="2936.87"/>
    <x v="0"/>
  </r>
  <r>
    <x v="1872"/>
    <s v="Male"/>
    <n v="54"/>
    <s v="No"/>
    <x v="1"/>
    <x v="0"/>
    <x v="2"/>
    <x v="0"/>
    <s v="No"/>
    <s v="Yes"/>
    <n v="5"/>
    <n v="70.260000000000005"/>
    <n v="892.06"/>
    <x v="0"/>
  </r>
  <r>
    <x v="1873"/>
    <s v="Female"/>
    <n v="41"/>
    <s v="No"/>
    <x v="12"/>
    <x v="0"/>
    <x v="2"/>
    <x v="3"/>
    <s v="No"/>
    <s v="No"/>
    <n v="6"/>
    <n v="59.79"/>
    <n v="241.08"/>
    <x v="1"/>
  </r>
  <r>
    <x v="1874"/>
    <s v="Female"/>
    <n v="66"/>
    <s v="Yes"/>
    <x v="11"/>
    <x v="0"/>
    <x v="2"/>
    <x v="0"/>
    <s v="No"/>
    <s v="Yes"/>
    <n v="2"/>
    <n v="44.61"/>
    <n v="2048.5500000000002"/>
    <x v="0"/>
  </r>
  <r>
    <x v="1875"/>
    <s v="Female"/>
    <n v="36"/>
    <s v="No"/>
    <x v="60"/>
    <x v="0"/>
    <x v="0"/>
    <x v="2"/>
    <s v="No"/>
    <s v="No"/>
    <n v="4"/>
    <n v="83.05"/>
    <n v="4598.2299999999996"/>
    <x v="0"/>
  </r>
  <r>
    <x v="1876"/>
    <s v="Male"/>
    <n v="68"/>
    <s v="Yes"/>
    <x v="8"/>
    <x v="0"/>
    <x v="2"/>
    <x v="0"/>
    <s v="No"/>
    <s v="No"/>
    <n v="4"/>
    <n v="66.349999999999994"/>
    <n v="68.61"/>
    <x v="1"/>
  </r>
  <r>
    <x v="1877"/>
    <s v="Female"/>
    <n v="42"/>
    <s v="No"/>
    <x v="36"/>
    <x v="0"/>
    <x v="0"/>
    <x v="0"/>
    <s v="No"/>
    <s v="No"/>
    <n v="4"/>
    <n v="80.989999999999995"/>
    <n v="5476.69"/>
    <x v="0"/>
  </r>
  <r>
    <x v="1878"/>
    <s v="Female"/>
    <n v="38"/>
    <s v="No"/>
    <x v="20"/>
    <x v="0"/>
    <x v="1"/>
    <x v="0"/>
    <s v="No"/>
    <s v="No"/>
    <n v="3"/>
    <n v="47.45"/>
    <n v="1364.97"/>
    <x v="0"/>
  </r>
  <r>
    <x v="1879"/>
    <s v="Male"/>
    <n v="29"/>
    <s v="No"/>
    <x v="4"/>
    <x v="0"/>
    <x v="1"/>
    <x v="2"/>
    <s v="No"/>
    <s v="No"/>
    <n v="6"/>
    <n v="43.16"/>
    <n v="119.97"/>
    <x v="0"/>
  </r>
  <r>
    <x v="1880"/>
    <s v="Female"/>
    <n v="74"/>
    <s v="Yes"/>
    <x v="19"/>
    <x v="0"/>
    <x v="0"/>
    <x v="3"/>
    <s v="Yes"/>
    <s v="No"/>
    <n v="4"/>
    <n v="70.84"/>
    <n v="1428.72"/>
    <x v="0"/>
  </r>
  <r>
    <x v="1881"/>
    <s v="Female"/>
    <n v="58"/>
    <s v="No"/>
    <x v="65"/>
    <x v="0"/>
    <x v="0"/>
    <x v="0"/>
    <s v="Yes"/>
    <s v="No"/>
    <n v="4"/>
    <n v="84.87"/>
    <n v="4480.7"/>
    <x v="0"/>
  </r>
  <r>
    <x v="1882"/>
    <s v="Male"/>
    <n v="50"/>
    <s v="No"/>
    <x v="38"/>
    <x v="0"/>
    <x v="0"/>
    <x v="3"/>
    <s v="No"/>
    <s v="No"/>
    <n v="4"/>
    <n v="79.86"/>
    <n v="4701.3500000000004"/>
    <x v="0"/>
  </r>
  <r>
    <x v="1883"/>
    <s v="Male"/>
    <n v="67"/>
    <s v="Yes"/>
    <x v="52"/>
    <x v="1"/>
    <x v="0"/>
    <x v="3"/>
    <s v="Yes"/>
    <s v="No"/>
    <n v="6"/>
    <n v="92.64"/>
    <n v="3500.25"/>
    <x v="0"/>
  </r>
  <r>
    <x v="1884"/>
    <s v="Male"/>
    <n v="70"/>
    <s v="Yes"/>
    <x v="48"/>
    <x v="0"/>
    <x v="1"/>
    <x v="2"/>
    <s v="No"/>
    <s v="Yes"/>
    <n v="4"/>
    <n v="33.799999999999997"/>
    <n v="518.22"/>
    <x v="0"/>
  </r>
  <r>
    <x v="1885"/>
    <s v="Female"/>
    <n v="21"/>
    <s v="No"/>
    <x v="40"/>
    <x v="0"/>
    <x v="0"/>
    <x v="2"/>
    <s v="No"/>
    <s v="Yes"/>
    <n v="4"/>
    <n v="75.900000000000006"/>
    <n v="4186.43"/>
    <x v="1"/>
  </r>
  <r>
    <x v="1886"/>
    <s v="Female"/>
    <n v="59"/>
    <s v="No"/>
    <x v="16"/>
    <x v="2"/>
    <x v="0"/>
    <x v="3"/>
    <s v="Yes"/>
    <s v="No"/>
    <n v="6"/>
    <n v="99.2"/>
    <n v="4753.22"/>
    <x v="0"/>
  </r>
  <r>
    <x v="1887"/>
    <s v="Female"/>
    <n v="74"/>
    <s v="Yes"/>
    <x v="26"/>
    <x v="0"/>
    <x v="1"/>
    <x v="0"/>
    <s v="No"/>
    <s v="No"/>
    <n v="6"/>
    <n v="47.59"/>
    <n v="1267.5999999999999"/>
    <x v="1"/>
  </r>
  <r>
    <x v="1888"/>
    <s v="Male"/>
    <n v="24"/>
    <s v="No"/>
    <x v="19"/>
    <x v="0"/>
    <x v="1"/>
    <x v="2"/>
    <s v="No"/>
    <s v="No"/>
    <n v="1"/>
    <n v="38.99"/>
    <n v="832.46"/>
    <x v="0"/>
  </r>
  <r>
    <x v="1889"/>
    <s v="Male"/>
    <n v="39"/>
    <s v="No"/>
    <x v="30"/>
    <x v="2"/>
    <x v="2"/>
    <x v="3"/>
    <s v="No"/>
    <s v="Yes"/>
    <n v="4"/>
    <n v="64.44"/>
    <n v="341.03"/>
    <x v="0"/>
  </r>
  <r>
    <x v="1890"/>
    <s v="Female"/>
    <n v="72"/>
    <s v="Yes"/>
    <x v="0"/>
    <x v="2"/>
    <x v="2"/>
    <x v="2"/>
    <s v="No"/>
    <s v="Yes"/>
    <n v="5"/>
    <n v="61"/>
    <n v="4108.66"/>
    <x v="0"/>
  </r>
  <r>
    <x v="1891"/>
    <s v="Female"/>
    <n v="50"/>
    <s v="No"/>
    <x v="37"/>
    <x v="0"/>
    <x v="2"/>
    <x v="1"/>
    <s v="No"/>
    <s v="No"/>
    <n v="4"/>
    <n v="68.88"/>
    <n v="3201.39"/>
    <x v="0"/>
  </r>
  <r>
    <x v="1892"/>
    <s v="Male"/>
    <n v="34"/>
    <s v="No"/>
    <x v="27"/>
    <x v="0"/>
    <x v="1"/>
    <x v="1"/>
    <s v="No"/>
    <s v="Yes"/>
    <n v="4"/>
    <n v="43.28"/>
    <n v="3104.92"/>
    <x v="0"/>
  </r>
  <r>
    <x v="1893"/>
    <s v="Male"/>
    <n v="41"/>
    <s v="No"/>
    <x v="68"/>
    <x v="0"/>
    <x v="2"/>
    <x v="1"/>
    <s v="Yes"/>
    <s v="Yes"/>
    <n v="4"/>
    <n v="59.09"/>
    <n v="1033.93"/>
    <x v="0"/>
  </r>
  <r>
    <x v="1894"/>
    <s v="Male"/>
    <n v="51"/>
    <s v="No"/>
    <x v="19"/>
    <x v="0"/>
    <x v="2"/>
    <x v="3"/>
    <s v="No"/>
    <s v="No"/>
    <n v="3"/>
    <n v="54.44"/>
    <n v="1211.1400000000001"/>
    <x v="0"/>
  </r>
  <r>
    <x v="1895"/>
    <s v="Male"/>
    <n v="45"/>
    <s v="No"/>
    <x v="45"/>
    <x v="1"/>
    <x v="0"/>
    <x v="2"/>
    <s v="No"/>
    <s v="No"/>
    <n v="2"/>
    <n v="74.069999999999993"/>
    <n v="1666.3"/>
    <x v="1"/>
  </r>
  <r>
    <x v="1896"/>
    <s v="Female"/>
    <n v="75"/>
    <s v="Yes"/>
    <x v="59"/>
    <x v="0"/>
    <x v="0"/>
    <x v="1"/>
    <s v="Yes"/>
    <s v="No"/>
    <n v="5"/>
    <n v="75.099999999999994"/>
    <n v="4701.3500000000004"/>
    <x v="0"/>
  </r>
  <r>
    <x v="1897"/>
    <s v="Male"/>
    <n v="60"/>
    <s v="Yes"/>
    <x v="51"/>
    <x v="0"/>
    <x v="2"/>
    <x v="3"/>
    <s v="No"/>
    <s v="No"/>
    <n v="3"/>
    <n v="61.29"/>
    <n v="3980.96"/>
    <x v="0"/>
  </r>
  <r>
    <x v="1898"/>
    <s v="Female"/>
    <n v="58"/>
    <s v="No"/>
    <x v="6"/>
    <x v="2"/>
    <x v="1"/>
    <x v="3"/>
    <s v="No"/>
    <s v="Yes"/>
    <n v="4"/>
    <n v="44.09"/>
    <n v="1776.85"/>
    <x v="0"/>
  </r>
  <r>
    <x v="1899"/>
    <s v="Female"/>
    <n v="56"/>
    <s v="No"/>
    <x v="69"/>
    <x v="2"/>
    <x v="1"/>
    <x v="3"/>
    <s v="No"/>
    <s v="No"/>
    <n v="2"/>
    <n v="29"/>
    <n v="272.79000000000002"/>
    <x v="0"/>
  </r>
  <r>
    <x v="1900"/>
    <s v="Female"/>
    <n v="39"/>
    <s v="No"/>
    <x v="40"/>
    <x v="0"/>
    <x v="1"/>
    <x v="0"/>
    <s v="No"/>
    <s v="Yes"/>
    <n v="5"/>
    <n v="36.119999999999997"/>
    <n v="1738.98"/>
    <x v="0"/>
  </r>
  <r>
    <x v="1901"/>
    <s v="Male"/>
    <n v="66"/>
    <s v="Yes"/>
    <x v="50"/>
    <x v="1"/>
    <x v="2"/>
    <x v="2"/>
    <s v="No"/>
    <s v="No"/>
    <n v="6"/>
    <n v="65.25"/>
    <n v="4996.7299999999996"/>
    <x v="0"/>
  </r>
  <r>
    <x v="1902"/>
    <s v="Male"/>
    <n v="34"/>
    <s v="No"/>
    <x v="31"/>
    <x v="0"/>
    <x v="2"/>
    <x v="1"/>
    <s v="No"/>
    <s v="No"/>
    <n v="2"/>
    <n v="52.75"/>
    <n v="3438.58"/>
    <x v="0"/>
  </r>
  <r>
    <x v="1903"/>
    <s v="Male"/>
    <n v="51"/>
    <s v="No"/>
    <x v="59"/>
    <x v="2"/>
    <x v="1"/>
    <x v="3"/>
    <s v="No"/>
    <s v="Yes"/>
    <n v="4"/>
    <n v="42.09"/>
    <n v="2511.09"/>
    <x v="0"/>
  </r>
  <r>
    <x v="1904"/>
    <s v="Male"/>
    <n v="23"/>
    <s v="No"/>
    <x v="30"/>
    <x v="0"/>
    <x v="2"/>
    <x v="1"/>
    <s v="No"/>
    <s v="No"/>
    <n v="2"/>
    <n v="52.05"/>
    <n v="262.32"/>
    <x v="1"/>
  </r>
  <r>
    <x v="1905"/>
    <s v="Female"/>
    <n v="63"/>
    <s v="Yes"/>
    <x v="53"/>
    <x v="0"/>
    <x v="0"/>
    <x v="0"/>
    <s v="No"/>
    <s v="No"/>
    <n v="5"/>
    <n v="87.72"/>
    <n v="4678.68"/>
    <x v="1"/>
  </r>
  <r>
    <x v="1906"/>
    <s v="Male"/>
    <n v="23"/>
    <s v="No"/>
    <x v="60"/>
    <x v="0"/>
    <x v="2"/>
    <x v="2"/>
    <s v="No"/>
    <s v="No"/>
    <n v="6"/>
    <n v="58.95"/>
    <n v="3176.07"/>
    <x v="0"/>
  </r>
  <r>
    <x v="1907"/>
    <s v="Male"/>
    <n v="51"/>
    <s v="No"/>
    <x v="67"/>
    <x v="0"/>
    <x v="1"/>
    <x v="1"/>
    <s v="No"/>
    <s v="No"/>
    <n v="2"/>
    <n v="32.54"/>
    <n v="1217.25"/>
    <x v="0"/>
  </r>
  <r>
    <x v="1908"/>
    <s v="Female"/>
    <n v="18"/>
    <s v="No"/>
    <x v="64"/>
    <x v="0"/>
    <x v="0"/>
    <x v="1"/>
    <s v="Yes"/>
    <s v="Yes"/>
    <n v="4"/>
    <n v="81.08"/>
    <n v="4510.05"/>
    <x v="0"/>
  </r>
  <r>
    <x v="1909"/>
    <s v="Male"/>
    <n v="27"/>
    <s v="No"/>
    <x v="24"/>
    <x v="1"/>
    <x v="1"/>
    <x v="3"/>
    <s v="Yes"/>
    <s v="Yes"/>
    <n v="3"/>
    <n v="40.22"/>
    <n v="2369.04"/>
    <x v="0"/>
  </r>
  <r>
    <x v="1910"/>
    <s v="Female"/>
    <n v="38"/>
    <s v="No"/>
    <x v="25"/>
    <x v="1"/>
    <x v="0"/>
    <x v="3"/>
    <s v="No"/>
    <s v="Yes"/>
    <n v="5"/>
    <n v="89.29"/>
    <n v="6412.71"/>
    <x v="0"/>
  </r>
  <r>
    <x v="1911"/>
    <s v="Female"/>
    <n v="22"/>
    <s v="No"/>
    <x v="24"/>
    <x v="0"/>
    <x v="2"/>
    <x v="0"/>
    <s v="Yes"/>
    <s v="Yes"/>
    <n v="5"/>
    <n v="61.58"/>
    <n v="3648.31"/>
    <x v="0"/>
  </r>
  <r>
    <x v="1912"/>
    <s v="Female"/>
    <n v="19"/>
    <s v="No"/>
    <x v="2"/>
    <x v="0"/>
    <x v="2"/>
    <x v="1"/>
    <s v="Yes"/>
    <s v="Yes"/>
    <n v="2"/>
    <n v="51.37"/>
    <n v="99.84"/>
    <x v="0"/>
  </r>
  <r>
    <x v="1913"/>
    <s v="Female"/>
    <n v="39"/>
    <s v="No"/>
    <x v="61"/>
    <x v="0"/>
    <x v="2"/>
    <x v="1"/>
    <s v="Yes"/>
    <s v="No"/>
    <n v="5"/>
    <n v="57.81"/>
    <n v="3806.62"/>
    <x v="0"/>
  </r>
  <r>
    <x v="1914"/>
    <s v="Female"/>
    <n v="65"/>
    <s v="Yes"/>
    <x v="34"/>
    <x v="2"/>
    <x v="0"/>
    <x v="0"/>
    <s v="No"/>
    <s v="Yes"/>
    <n v="4"/>
    <n v="81.72"/>
    <n v="5013.62"/>
    <x v="0"/>
  </r>
  <r>
    <x v="1915"/>
    <s v="Female"/>
    <n v="74"/>
    <s v="Yes"/>
    <x v="42"/>
    <x v="2"/>
    <x v="1"/>
    <x v="1"/>
    <s v="Yes"/>
    <s v="No"/>
    <n v="4"/>
    <n v="34.909999999999997"/>
    <n v="1826.65"/>
    <x v="0"/>
  </r>
  <r>
    <x v="1916"/>
    <s v="Female"/>
    <n v="19"/>
    <s v="No"/>
    <x v="20"/>
    <x v="2"/>
    <x v="2"/>
    <x v="2"/>
    <s v="No"/>
    <s v="Yes"/>
    <n v="4"/>
    <n v="63.02"/>
    <n v="1926.39"/>
    <x v="0"/>
  </r>
  <r>
    <x v="1917"/>
    <s v="Female"/>
    <n v="27"/>
    <s v="No"/>
    <x v="15"/>
    <x v="2"/>
    <x v="0"/>
    <x v="1"/>
    <s v="No"/>
    <s v="Yes"/>
    <n v="3"/>
    <n v="83.27"/>
    <n v="940.09"/>
    <x v="0"/>
  </r>
  <r>
    <x v="1918"/>
    <s v="Male"/>
    <n v="51"/>
    <s v="No"/>
    <x v="49"/>
    <x v="0"/>
    <x v="2"/>
    <x v="0"/>
    <s v="No"/>
    <s v="Yes"/>
    <n v="5"/>
    <n v="66.28"/>
    <n v="2506.38"/>
    <x v="0"/>
  </r>
  <r>
    <x v="1919"/>
    <s v="Male"/>
    <n v="33"/>
    <s v="No"/>
    <x v="50"/>
    <x v="0"/>
    <x v="0"/>
    <x v="1"/>
    <s v="No"/>
    <s v="No"/>
    <n v="7"/>
    <n v="99.98"/>
    <n v="7136.52"/>
    <x v="0"/>
  </r>
  <r>
    <x v="1920"/>
    <s v="Male"/>
    <n v="65"/>
    <s v="Yes"/>
    <x v="18"/>
    <x v="1"/>
    <x v="0"/>
    <x v="1"/>
    <s v="Yes"/>
    <s v="No"/>
    <n v="6"/>
    <n v="83.83"/>
    <n v="5423.85"/>
    <x v="0"/>
  </r>
  <r>
    <x v="1921"/>
    <s v="Male"/>
    <n v="68"/>
    <s v="Yes"/>
    <x v="59"/>
    <x v="2"/>
    <x v="0"/>
    <x v="3"/>
    <s v="No"/>
    <s v="No"/>
    <n v="5"/>
    <n v="74.61"/>
    <n v="4969.38"/>
    <x v="0"/>
  </r>
  <r>
    <x v="1922"/>
    <s v="Female"/>
    <n v="56"/>
    <s v="No"/>
    <x v="31"/>
    <x v="0"/>
    <x v="1"/>
    <x v="3"/>
    <s v="No"/>
    <s v="No"/>
    <n v="1"/>
    <n v="27.87"/>
    <n v="1682.16"/>
    <x v="0"/>
  </r>
  <r>
    <x v="1923"/>
    <s v="Male"/>
    <n v="39"/>
    <s v="No"/>
    <x v="62"/>
    <x v="0"/>
    <x v="2"/>
    <x v="1"/>
    <s v="No"/>
    <s v="No"/>
    <n v="6"/>
    <n v="62.7"/>
    <n v="3312.85"/>
    <x v="0"/>
  </r>
  <r>
    <x v="1924"/>
    <s v="Female"/>
    <n v="29"/>
    <s v="No"/>
    <x v="43"/>
    <x v="2"/>
    <x v="2"/>
    <x v="1"/>
    <s v="Yes"/>
    <s v="No"/>
    <n v="6"/>
    <n v="63.55"/>
    <n v="3813.22"/>
    <x v="0"/>
  </r>
  <r>
    <x v="1925"/>
    <s v="Male"/>
    <n v="41"/>
    <s v="No"/>
    <x v="64"/>
    <x v="0"/>
    <x v="0"/>
    <x v="1"/>
    <s v="No"/>
    <s v="Yes"/>
    <n v="4"/>
    <n v="63.45"/>
    <n v="3395.25"/>
    <x v="1"/>
  </r>
  <r>
    <x v="1926"/>
    <s v="Male"/>
    <n v="64"/>
    <s v="Yes"/>
    <x v="22"/>
    <x v="0"/>
    <x v="0"/>
    <x v="2"/>
    <s v="No"/>
    <s v="No"/>
    <n v="5"/>
    <n v="84.23"/>
    <n v="2639.06"/>
    <x v="0"/>
  </r>
  <r>
    <x v="1927"/>
    <s v="Male"/>
    <n v="57"/>
    <s v="No"/>
    <x v="71"/>
    <x v="1"/>
    <x v="1"/>
    <x v="3"/>
    <s v="No"/>
    <s v="No"/>
    <n v="4"/>
    <n v="41.15"/>
    <n v="1269.76"/>
    <x v="0"/>
  </r>
  <r>
    <x v="1928"/>
    <s v="Female"/>
    <n v="55"/>
    <s v="No"/>
    <x v="40"/>
    <x v="0"/>
    <x v="2"/>
    <x v="1"/>
    <s v="No"/>
    <s v="No"/>
    <n v="4"/>
    <n v="64.900000000000006"/>
    <n v="3198.43"/>
    <x v="0"/>
  </r>
  <r>
    <x v="1929"/>
    <s v="Male"/>
    <n v="27"/>
    <s v="No"/>
    <x v="8"/>
    <x v="0"/>
    <x v="1"/>
    <x v="0"/>
    <s v="No"/>
    <s v="Yes"/>
    <n v="1"/>
    <n v="32.869999999999997"/>
    <n v="32.229999999999997"/>
    <x v="0"/>
  </r>
  <r>
    <x v="1930"/>
    <s v="Female"/>
    <n v="52"/>
    <s v="No"/>
    <x v="60"/>
    <x v="1"/>
    <x v="0"/>
    <x v="3"/>
    <s v="No"/>
    <s v="No"/>
    <n v="7"/>
    <n v="89.77"/>
    <n v="4772.43"/>
    <x v="0"/>
  </r>
  <r>
    <x v="1931"/>
    <s v="Female"/>
    <n v="68"/>
    <s v="Yes"/>
    <x v="46"/>
    <x v="1"/>
    <x v="0"/>
    <x v="2"/>
    <s v="No"/>
    <s v="Yes"/>
    <n v="1"/>
    <n v="73.39"/>
    <n v="1686.21"/>
    <x v="0"/>
  </r>
  <r>
    <x v="1932"/>
    <s v="Male"/>
    <n v="66"/>
    <s v="Yes"/>
    <x v="6"/>
    <x v="2"/>
    <x v="1"/>
    <x v="2"/>
    <s v="Yes"/>
    <s v="Yes"/>
    <n v="3"/>
    <n v="43.21"/>
    <n v="1681.78"/>
    <x v="0"/>
  </r>
  <r>
    <x v="1933"/>
    <s v="Male"/>
    <n v="49"/>
    <s v="No"/>
    <x v="8"/>
    <x v="0"/>
    <x v="2"/>
    <x v="1"/>
    <s v="No"/>
    <s v="No"/>
    <n v="5"/>
    <n v="59.59"/>
    <n v="60.93"/>
    <x v="1"/>
  </r>
  <r>
    <x v="1934"/>
    <s v="Male"/>
    <n v="24"/>
    <s v="No"/>
    <x v="61"/>
    <x v="0"/>
    <x v="0"/>
    <x v="1"/>
    <s v="No"/>
    <s v="No"/>
    <n v="5"/>
    <n v="84.37"/>
    <n v="5636.65"/>
    <x v="1"/>
  </r>
  <r>
    <x v="1935"/>
    <s v="Female"/>
    <n v="38"/>
    <s v="No"/>
    <x v="18"/>
    <x v="1"/>
    <x v="0"/>
    <x v="1"/>
    <s v="No"/>
    <s v="No"/>
    <n v="8"/>
    <n v="105.57"/>
    <n v="6604.57"/>
    <x v="0"/>
  </r>
  <r>
    <x v="1936"/>
    <s v="Male"/>
    <n v="37"/>
    <s v="No"/>
    <x v="62"/>
    <x v="0"/>
    <x v="1"/>
    <x v="2"/>
    <s v="Yes"/>
    <s v="No"/>
    <n v="2"/>
    <n v="35.29"/>
    <n v="1777.93"/>
    <x v="0"/>
  </r>
  <r>
    <x v="1937"/>
    <s v="Female"/>
    <n v="43"/>
    <s v="No"/>
    <x v="55"/>
    <x v="0"/>
    <x v="2"/>
    <x v="2"/>
    <s v="Yes"/>
    <s v="Yes"/>
    <n v="4"/>
    <n v="53.24"/>
    <n v="2307.77"/>
    <x v="0"/>
  </r>
  <r>
    <x v="1938"/>
    <s v="Female"/>
    <n v="21"/>
    <s v="No"/>
    <x v="19"/>
    <x v="1"/>
    <x v="2"/>
    <x v="0"/>
    <s v="No"/>
    <s v="Yes"/>
    <n v="2"/>
    <n v="43.14"/>
    <n v="844.36"/>
    <x v="0"/>
  </r>
  <r>
    <x v="1939"/>
    <s v="Male"/>
    <n v="63"/>
    <s v="Yes"/>
    <x v="46"/>
    <x v="0"/>
    <x v="0"/>
    <x v="1"/>
    <s v="No"/>
    <s v="No"/>
    <n v="5"/>
    <n v="72.7"/>
    <n v="1496.84"/>
    <x v="0"/>
  </r>
  <r>
    <x v="1940"/>
    <s v="Male"/>
    <n v="69"/>
    <s v="Yes"/>
    <x v="52"/>
    <x v="0"/>
    <x v="0"/>
    <x v="0"/>
    <s v="No"/>
    <s v="No"/>
    <n v="3"/>
    <n v="60.67"/>
    <n v="2193.3200000000002"/>
    <x v="0"/>
  </r>
  <r>
    <x v="1941"/>
    <s v="Female"/>
    <n v="39"/>
    <s v="No"/>
    <x v="9"/>
    <x v="0"/>
    <x v="1"/>
    <x v="1"/>
    <s v="No"/>
    <s v="No"/>
    <n v="4"/>
    <n v="37.61"/>
    <n v="290.31"/>
    <x v="0"/>
  </r>
  <r>
    <x v="1942"/>
    <s v="Female"/>
    <n v="32"/>
    <s v="No"/>
    <x v="38"/>
    <x v="0"/>
    <x v="0"/>
    <x v="1"/>
    <s v="Yes"/>
    <s v="Yes"/>
    <n v="3"/>
    <n v="73.78"/>
    <n v="4827.93"/>
    <x v="0"/>
  </r>
  <r>
    <x v="1943"/>
    <s v="Female"/>
    <n v="73"/>
    <s v="Yes"/>
    <x v="37"/>
    <x v="0"/>
    <x v="2"/>
    <x v="3"/>
    <s v="No"/>
    <s v="No"/>
    <n v="5"/>
    <n v="56.17"/>
    <n v="2713.88"/>
    <x v="1"/>
  </r>
  <r>
    <x v="1944"/>
    <s v="Male"/>
    <n v="57"/>
    <s v="No"/>
    <x v="47"/>
    <x v="0"/>
    <x v="1"/>
    <x v="1"/>
    <s v="No"/>
    <s v="No"/>
    <n v="2"/>
    <n v="28.21"/>
    <n v="470.92"/>
    <x v="1"/>
  </r>
  <r>
    <x v="1945"/>
    <s v="Female"/>
    <n v="38"/>
    <s v="No"/>
    <x v="47"/>
    <x v="1"/>
    <x v="0"/>
    <x v="1"/>
    <s v="No"/>
    <s v="Yes"/>
    <n v="4"/>
    <n v="72.319999999999993"/>
    <n v="1323.59"/>
    <x v="0"/>
  </r>
  <r>
    <x v="1946"/>
    <s v="Male"/>
    <n v="32"/>
    <s v="No"/>
    <x v="21"/>
    <x v="2"/>
    <x v="0"/>
    <x v="3"/>
    <s v="No"/>
    <s v="No"/>
    <n v="8"/>
    <n v="83.94"/>
    <n v="1046.45"/>
    <x v="0"/>
  </r>
  <r>
    <x v="1947"/>
    <s v="Female"/>
    <n v="39"/>
    <s v="No"/>
    <x v="47"/>
    <x v="0"/>
    <x v="2"/>
    <x v="1"/>
    <s v="No"/>
    <s v="No"/>
    <n v="3"/>
    <n v="53.81"/>
    <n v="930.84"/>
    <x v="1"/>
  </r>
  <r>
    <x v="1948"/>
    <s v="Female"/>
    <n v="69"/>
    <s v="Yes"/>
    <x v="52"/>
    <x v="0"/>
    <x v="2"/>
    <x v="1"/>
    <s v="No"/>
    <s v="No"/>
    <n v="4"/>
    <n v="63.68"/>
    <n v="2554.27"/>
    <x v="0"/>
  </r>
  <r>
    <x v="1949"/>
    <s v="Male"/>
    <n v="45"/>
    <s v="No"/>
    <x v="56"/>
    <x v="0"/>
    <x v="2"/>
    <x v="1"/>
    <s v="No"/>
    <s v="No"/>
    <n v="4"/>
    <n v="55.43"/>
    <n v="2614.89"/>
    <x v="0"/>
  </r>
  <r>
    <x v="1950"/>
    <s v="Female"/>
    <n v="31"/>
    <s v="No"/>
    <x v="33"/>
    <x v="0"/>
    <x v="0"/>
    <x v="2"/>
    <s v="No"/>
    <s v="Yes"/>
    <n v="4"/>
    <n v="86.95"/>
    <n v="487.5"/>
    <x v="0"/>
  </r>
  <r>
    <x v="1951"/>
    <s v="Male"/>
    <n v="44"/>
    <s v="No"/>
    <x v="39"/>
    <x v="1"/>
    <x v="2"/>
    <x v="2"/>
    <s v="Yes"/>
    <s v="No"/>
    <n v="4"/>
    <n v="60.07"/>
    <n v="2168.81"/>
    <x v="0"/>
  </r>
  <r>
    <x v="1952"/>
    <s v="Male"/>
    <n v="58"/>
    <s v="No"/>
    <x v="54"/>
    <x v="1"/>
    <x v="2"/>
    <x v="1"/>
    <s v="No"/>
    <s v="Yes"/>
    <n v="4"/>
    <n v="65.25"/>
    <n v="878.11"/>
    <x v="1"/>
  </r>
  <r>
    <x v="1953"/>
    <s v="Female"/>
    <n v="57"/>
    <s v="No"/>
    <x v="50"/>
    <x v="1"/>
    <x v="2"/>
    <x v="0"/>
    <s v="No"/>
    <s v="Yes"/>
    <n v="2"/>
    <n v="51.22"/>
    <n v="3602.71"/>
    <x v="0"/>
  </r>
  <r>
    <x v="1954"/>
    <s v="Male"/>
    <n v="75"/>
    <s v="Yes"/>
    <x v="31"/>
    <x v="0"/>
    <x v="0"/>
    <x v="1"/>
    <s v="No"/>
    <s v="No"/>
    <n v="6"/>
    <n v="91.7"/>
    <n v="5583.85"/>
    <x v="1"/>
  </r>
  <r>
    <x v="1955"/>
    <s v="Male"/>
    <n v="45"/>
    <s v="No"/>
    <x v="48"/>
    <x v="0"/>
    <x v="2"/>
    <x v="3"/>
    <s v="Yes"/>
    <s v="No"/>
    <n v="5"/>
    <n v="53.12"/>
    <n v="833.87"/>
    <x v="0"/>
  </r>
  <r>
    <x v="1956"/>
    <s v="Female"/>
    <n v="43"/>
    <s v="No"/>
    <x v="62"/>
    <x v="0"/>
    <x v="1"/>
    <x v="3"/>
    <s v="No"/>
    <s v="No"/>
    <n v="4"/>
    <n v="46.9"/>
    <n v="2397.34"/>
    <x v="0"/>
  </r>
  <r>
    <x v="1957"/>
    <s v="Male"/>
    <n v="66"/>
    <s v="Yes"/>
    <x v="5"/>
    <x v="0"/>
    <x v="2"/>
    <x v="2"/>
    <s v="No"/>
    <s v="No"/>
    <n v="2"/>
    <n v="51.05"/>
    <n v="1292.02"/>
    <x v="0"/>
  </r>
  <r>
    <x v="1958"/>
    <s v="Male"/>
    <n v="19"/>
    <s v="No"/>
    <x v="21"/>
    <x v="1"/>
    <x v="2"/>
    <x v="0"/>
    <s v="No"/>
    <s v="No"/>
    <n v="3"/>
    <n v="62.69"/>
    <n v="769.78"/>
    <x v="0"/>
  </r>
  <r>
    <x v="1959"/>
    <s v="Male"/>
    <n v="42"/>
    <s v="No"/>
    <x v="71"/>
    <x v="2"/>
    <x v="2"/>
    <x v="2"/>
    <s v="Yes"/>
    <s v="Yes"/>
    <n v="2"/>
    <n v="49.23"/>
    <n v="1457.33"/>
    <x v="0"/>
  </r>
  <r>
    <x v="1960"/>
    <s v="Female"/>
    <n v="73"/>
    <s v="Yes"/>
    <x v="39"/>
    <x v="0"/>
    <x v="1"/>
    <x v="2"/>
    <s v="No"/>
    <s v="Yes"/>
    <n v="3"/>
    <n v="49.19"/>
    <n v="1600.31"/>
    <x v="0"/>
  </r>
  <r>
    <x v="1961"/>
    <s v="Male"/>
    <n v="20"/>
    <s v="No"/>
    <x v="34"/>
    <x v="1"/>
    <x v="1"/>
    <x v="2"/>
    <s v="Yes"/>
    <s v="No"/>
    <n v="5"/>
    <n v="48.74"/>
    <n v="3123.89"/>
    <x v="0"/>
  </r>
  <r>
    <x v="1962"/>
    <s v="Female"/>
    <n v="25"/>
    <s v="No"/>
    <x v="33"/>
    <x v="0"/>
    <x v="0"/>
    <x v="3"/>
    <s v="Yes"/>
    <s v="Yes"/>
    <n v="8"/>
    <n v="88.66"/>
    <n v="516.55999999999995"/>
    <x v="0"/>
  </r>
  <r>
    <x v="1963"/>
    <s v="Female"/>
    <n v="61"/>
    <s v="Yes"/>
    <x v="25"/>
    <x v="0"/>
    <x v="0"/>
    <x v="0"/>
    <s v="Yes"/>
    <s v="Yes"/>
    <n v="3"/>
    <n v="82.9"/>
    <n v="5424.46"/>
    <x v="0"/>
  </r>
  <r>
    <x v="1964"/>
    <s v="Male"/>
    <n v="50"/>
    <s v="No"/>
    <x v="43"/>
    <x v="1"/>
    <x v="0"/>
    <x v="0"/>
    <s v="No"/>
    <s v="No"/>
    <n v="6"/>
    <n v="79.599999999999994"/>
    <n v="4718.62"/>
    <x v="0"/>
  </r>
  <r>
    <x v="1965"/>
    <s v="Male"/>
    <n v="59"/>
    <s v="No"/>
    <x v="65"/>
    <x v="0"/>
    <x v="0"/>
    <x v="1"/>
    <s v="Yes"/>
    <s v="Yes"/>
    <n v="8"/>
    <n v="87.2"/>
    <n v="4469"/>
    <x v="0"/>
  </r>
  <r>
    <x v="1966"/>
    <s v="Male"/>
    <n v="69"/>
    <s v="Yes"/>
    <x v="45"/>
    <x v="0"/>
    <x v="0"/>
    <x v="1"/>
    <s v="No"/>
    <s v="No"/>
    <n v="2"/>
    <n v="80.02"/>
    <n v="1915.03"/>
    <x v="0"/>
  </r>
  <r>
    <x v="1967"/>
    <s v="Female"/>
    <n v="52"/>
    <s v="No"/>
    <x v="22"/>
    <x v="1"/>
    <x v="1"/>
    <x v="3"/>
    <s v="No"/>
    <s v="No"/>
    <n v="3"/>
    <n v="39.35"/>
    <n v="1384.72"/>
    <x v="0"/>
  </r>
  <r>
    <x v="1968"/>
    <s v="Male"/>
    <n v="23"/>
    <s v="No"/>
    <x v="29"/>
    <x v="2"/>
    <x v="0"/>
    <x v="3"/>
    <s v="No"/>
    <s v="No"/>
    <n v="7"/>
    <n v="91.51"/>
    <n v="2208.16"/>
    <x v="0"/>
  </r>
  <r>
    <x v="1969"/>
    <s v="Male"/>
    <n v="56"/>
    <s v="No"/>
    <x v="37"/>
    <x v="0"/>
    <x v="2"/>
    <x v="2"/>
    <s v="No"/>
    <s v="No"/>
    <n v="5"/>
    <n v="59.47"/>
    <n v="2921.28"/>
    <x v="0"/>
  </r>
  <r>
    <x v="1970"/>
    <s v="Male"/>
    <n v="69"/>
    <s v="Yes"/>
    <x v="30"/>
    <x v="0"/>
    <x v="2"/>
    <x v="1"/>
    <s v="No"/>
    <s v="No"/>
    <n v="5"/>
    <n v="68.819999999999993"/>
    <n v="344.2"/>
    <x v="1"/>
  </r>
  <r>
    <x v="1971"/>
    <s v="Male"/>
    <n v="40"/>
    <s v="No"/>
    <x v="28"/>
    <x v="2"/>
    <x v="0"/>
    <x v="1"/>
    <s v="No"/>
    <s v="Yes"/>
    <n v="7"/>
    <n v="89.1"/>
    <n v="1824.51"/>
    <x v="1"/>
  </r>
  <r>
    <x v="1972"/>
    <s v="Male"/>
    <n v="42"/>
    <s v="No"/>
    <x v="33"/>
    <x v="2"/>
    <x v="1"/>
    <x v="2"/>
    <s v="No"/>
    <s v="Yes"/>
    <n v="6"/>
    <n v="50.41"/>
    <n v="324.55"/>
    <x v="1"/>
  </r>
  <r>
    <x v="1973"/>
    <s v="Female"/>
    <n v="67"/>
    <s v="Yes"/>
    <x v="0"/>
    <x v="1"/>
    <x v="1"/>
    <x v="0"/>
    <s v="No"/>
    <s v="No"/>
    <n v="4"/>
    <n v="33.11"/>
    <n v="2432.91"/>
    <x v="0"/>
  </r>
  <r>
    <x v="1974"/>
    <s v="Female"/>
    <n v="60"/>
    <s v="Yes"/>
    <x v="24"/>
    <x v="0"/>
    <x v="2"/>
    <x v="1"/>
    <s v="Yes"/>
    <s v="Yes"/>
    <n v="4"/>
    <n v="58.6"/>
    <n v="3637.39"/>
    <x v="0"/>
  </r>
  <r>
    <x v="1975"/>
    <s v="Male"/>
    <n v="36"/>
    <s v="No"/>
    <x v="59"/>
    <x v="2"/>
    <x v="0"/>
    <x v="2"/>
    <s v="Yes"/>
    <s v="Yes"/>
    <n v="4"/>
    <n v="80.23"/>
    <n v="4873.03"/>
    <x v="0"/>
  </r>
  <r>
    <x v="1976"/>
    <s v="Male"/>
    <n v="22"/>
    <s v="No"/>
    <x v="68"/>
    <x v="0"/>
    <x v="0"/>
    <x v="2"/>
    <s v="No"/>
    <s v="No"/>
    <n v="3"/>
    <n v="78.739999999999995"/>
    <n v="1411.97"/>
    <x v="1"/>
  </r>
  <r>
    <x v="1977"/>
    <s v="Male"/>
    <n v="68"/>
    <s v="Yes"/>
    <x v="12"/>
    <x v="1"/>
    <x v="2"/>
    <x v="0"/>
    <s v="No"/>
    <s v="No"/>
    <n v="5"/>
    <n v="65.36"/>
    <n v="280.24"/>
    <x v="0"/>
  </r>
  <r>
    <x v="1978"/>
    <s v="Male"/>
    <n v="28"/>
    <s v="No"/>
    <x v="47"/>
    <x v="0"/>
    <x v="0"/>
    <x v="2"/>
    <s v="No"/>
    <s v="No"/>
    <n v="7"/>
    <n v="88.67"/>
    <n v="1527.33"/>
    <x v="1"/>
  </r>
  <r>
    <x v="1979"/>
    <s v="Female"/>
    <n v="73"/>
    <s v="Yes"/>
    <x v="54"/>
    <x v="1"/>
    <x v="2"/>
    <x v="3"/>
    <s v="No"/>
    <s v="Yes"/>
    <n v="2"/>
    <n v="52.99"/>
    <n v="694.69"/>
    <x v="0"/>
  </r>
  <r>
    <x v="1980"/>
    <s v="Male"/>
    <n v="29"/>
    <s v="No"/>
    <x v="21"/>
    <x v="0"/>
    <x v="1"/>
    <x v="2"/>
    <s v="No"/>
    <s v="No"/>
    <n v="3"/>
    <n v="43.86"/>
    <n v="591.33000000000004"/>
    <x v="1"/>
  </r>
  <r>
    <x v="1981"/>
    <s v="Female"/>
    <n v="27"/>
    <s v="No"/>
    <x v="3"/>
    <x v="0"/>
    <x v="0"/>
    <x v="2"/>
    <s v="No"/>
    <s v="No"/>
    <n v="3"/>
    <n v="64.61"/>
    <n v="419.19"/>
    <x v="0"/>
  </r>
  <r>
    <x v="1982"/>
    <s v="Female"/>
    <n v="25"/>
    <s v="No"/>
    <x v="35"/>
    <x v="0"/>
    <x v="1"/>
    <x v="1"/>
    <s v="Yes"/>
    <s v="Yes"/>
    <n v="3"/>
    <n v="35.840000000000003"/>
    <n v="1638.09"/>
    <x v="0"/>
  </r>
  <r>
    <x v="1983"/>
    <s v="Male"/>
    <n v="41"/>
    <s v="No"/>
    <x v="48"/>
    <x v="0"/>
    <x v="0"/>
    <x v="3"/>
    <s v="No"/>
    <s v="Yes"/>
    <n v="6"/>
    <n v="88.46"/>
    <n v="1407.53"/>
    <x v="1"/>
  </r>
  <r>
    <x v="1984"/>
    <s v="Female"/>
    <n v="45"/>
    <s v="No"/>
    <x v="13"/>
    <x v="1"/>
    <x v="1"/>
    <x v="1"/>
    <s v="No"/>
    <s v="No"/>
    <n v="6"/>
    <n v="42.54"/>
    <n v="798.59"/>
    <x v="0"/>
  </r>
  <r>
    <x v="1985"/>
    <s v="Female"/>
    <n v="58"/>
    <s v="No"/>
    <x v="18"/>
    <x v="2"/>
    <x v="0"/>
    <x v="1"/>
    <s v="No"/>
    <s v="No"/>
    <n v="3"/>
    <n v="81.510000000000005"/>
    <n v="5064.1499999999996"/>
    <x v="0"/>
  </r>
  <r>
    <x v="1986"/>
    <s v="Female"/>
    <n v="53"/>
    <s v="No"/>
    <x v="39"/>
    <x v="2"/>
    <x v="2"/>
    <x v="2"/>
    <s v="No"/>
    <s v="No"/>
    <n v="7"/>
    <n v="75.2"/>
    <n v="2549.5500000000002"/>
    <x v="0"/>
  </r>
  <r>
    <x v="1987"/>
    <s v="Female"/>
    <n v="54"/>
    <s v="No"/>
    <x v="39"/>
    <x v="0"/>
    <x v="0"/>
    <x v="3"/>
    <s v="No"/>
    <s v="Yes"/>
    <n v="6"/>
    <n v="93.99"/>
    <n v="3488.05"/>
    <x v="0"/>
  </r>
  <r>
    <x v="1988"/>
    <s v="Male"/>
    <n v="38"/>
    <s v="No"/>
    <x v="13"/>
    <x v="1"/>
    <x v="1"/>
    <x v="3"/>
    <s v="No"/>
    <s v="No"/>
    <n v="4"/>
    <n v="56.12"/>
    <n v="1074.43"/>
    <x v="0"/>
  </r>
  <r>
    <x v="1989"/>
    <s v="Male"/>
    <n v="25"/>
    <s v="No"/>
    <x v="28"/>
    <x v="1"/>
    <x v="2"/>
    <x v="2"/>
    <s v="No"/>
    <s v="No"/>
    <n v="2"/>
    <n v="53.31"/>
    <n v="1079.72"/>
    <x v="0"/>
  </r>
  <r>
    <x v="1990"/>
    <s v="Female"/>
    <n v="72"/>
    <s v="Yes"/>
    <x v="39"/>
    <x v="0"/>
    <x v="0"/>
    <x v="2"/>
    <s v="No"/>
    <s v="Yes"/>
    <n v="3"/>
    <n v="73.02"/>
    <n v="2621.82"/>
    <x v="0"/>
  </r>
  <r>
    <x v="1991"/>
    <s v="Male"/>
    <n v="26"/>
    <s v="No"/>
    <x v="10"/>
    <x v="0"/>
    <x v="2"/>
    <x v="2"/>
    <s v="No"/>
    <s v="Yes"/>
    <n v="4"/>
    <n v="65.569999999999993"/>
    <n v="2031.17"/>
    <x v="0"/>
  </r>
  <r>
    <x v="1992"/>
    <s v="Male"/>
    <n v="64"/>
    <s v="Yes"/>
    <x v="11"/>
    <x v="1"/>
    <x v="0"/>
    <x v="0"/>
    <s v="No"/>
    <s v="Yes"/>
    <n v="4"/>
    <n v="74.88"/>
    <n v="3555.59"/>
    <x v="0"/>
  </r>
  <r>
    <x v="1993"/>
    <s v="Male"/>
    <n v="32"/>
    <s v="No"/>
    <x v="35"/>
    <x v="2"/>
    <x v="2"/>
    <x v="1"/>
    <s v="No"/>
    <s v="No"/>
    <n v="4"/>
    <n v="62.25"/>
    <n v="2844.88"/>
    <x v="0"/>
  </r>
  <r>
    <x v="1994"/>
    <s v="Male"/>
    <n v="65"/>
    <s v="Yes"/>
    <x v="70"/>
    <x v="1"/>
    <x v="1"/>
    <x v="1"/>
    <s v="Yes"/>
    <s v="No"/>
    <n v="3"/>
    <n v="44.26"/>
    <n v="1144.75"/>
    <x v="0"/>
  </r>
  <r>
    <x v="1995"/>
    <s v="Male"/>
    <n v="63"/>
    <s v="Yes"/>
    <x v="31"/>
    <x v="0"/>
    <x v="0"/>
    <x v="0"/>
    <s v="No"/>
    <s v="No"/>
    <n v="4"/>
    <n v="84.83"/>
    <n v="4789.0600000000004"/>
    <x v="0"/>
  </r>
  <r>
    <x v="1996"/>
    <s v="Female"/>
    <n v="57"/>
    <s v="No"/>
    <x v="47"/>
    <x v="0"/>
    <x v="0"/>
    <x v="0"/>
    <s v="No"/>
    <s v="No"/>
    <n v="6"/>
    <n v="96.85"/>
    <n v="1525.97"/>
    <x v="1"/>
  </r>
  <r>
    <x v="1997"/>
    <s v="Male"/>
    <n v="35"/>
    <s v="No"/>
    <x v="57"/>
    <x v="0"/>
    <x v="0"/>
    <x v="3"/>
    <s v="No"/>
    <s v="No"/>
    <n v="4"/>
    <n v="77.09"/>
    <n v="5410.41"/>
    <x v="0"/>
  </r>
  <r>
    <x v="1998"/>
    <s v="Male"/>
    <n v="59"/>
    <s v="No"/>
    <x v="32"/>
    <x v="1"/>
    <x v="2"/>
    <x v="3"/>
    <s v="No"/>
    <s v="No"/>
    <n v="2"/>
    <n v="55.96"/>
    <n v="2869.46"/>
    <x v="0"/>
  </r>
  <r>
    <x v="1999"/>
    <s v="Male"/>
    <n v="37"/>
    <s v="No"/>
    <x v="61"/>
    <x v="1"/>
    <x v="0"/>
    <x v="2"/>
    <s v="No"/>
    <s v="Yes"/>
    <n v="4"/>
    <n v="79.650000000000006"/>
    <n v="5083.1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Male"/>
    <n v="64"/>
    <s v="Yes"/>
    <n v="70"/>
    <x v="0"/>
    <s v="Month-to-month"/>
    <s v="Fiber optic"/>
    <s v="Mailed check"/>
    <s v="No"/>
    <s v="No"/>
    <n v="3"/>
    <n v="64.84"/>
    <n v="4257.37"/>
    <x v="0"/>
  </r>
  <r>
    <x v="1"/>
    <s v="Female"/>
    <n v="29"/>
    <s v="No"/>
    <n v="12"/>
    <x v="1"/>
    <s v="One year"/>
    <s v="No"/>
    <s v="Electronic check"/>
    <s v="No"/>
    <s v="No"/>
    <n v="1"/>
    <n v="22.14"/>
    <n v="249.99"/>
    <x v="0"/>
  </r>
  <r>
    <x v="2"/>
    <s v="Male"/>
    <n v="33"/>
    <s v="No"/>
    <n v="2"/>
    <x v="2"/>
    <s v="Month-to-month"/>
    <s v="Fiber optic"/>
    <s v="Mailed check"/>
    <s v="No"/>
    <s v="No"/>
    <n v="5"/>
    <n v="81.209999999999994"/>
    <n v="171.32"/>
    <x v="1"/>
  </r>
  <r>
    <x v="3"/>
    <s v="Male"/>
    <n v="41"/>
    <s v="No"/>
    <n v="7"/>
    <x v="1"/>
    <s v="Month-to-month"/>
    <s v="No"/>
    <s v="Credit card"/>
    <s v="Yes"/>
    <s v="No"/>
    <n v="3"/>
    <n v="24.55"/>
    <n v="181.26"/>
    <x v="1"/>
  </r>
  <r>
    <x v="4"/>
    <s v="Male"/>
    <n v="36"/>
    <s v="No"/>
    <n v="3"/>
    <x v="2"/>
    <s v="Month-to-month"/>
    <s v="Fiber optic"/>
    <s v="Electronic check"/>
    <s v="Yes"/>
    <s v="No"/>
    <n v="3"/>
    <n v="75.959999999999994"/>
    <n v="226.83"/>
    <x v="0"/>
  </r>
  <r>
    <x v="5"/>
    <s v="Female"/>
    <n v="25"/>
    <s v="No"/>
    <n v="3"/>
    <x v="2"/>
    <s v="Month-to-month"/>
    <s v="Fiber optic"/>
    <s v="Bank transfer"/>
    <s v="No"/>
    <s v="No"/>
    <n v="5"/>
    <n v="88.83"/>
    <n v="286.27"/>
    <x v="1"/>
  </r>
  <r>
    <x v="6"/>
    <s v="Male"/>
    <n v="48"/>
    <s v="No"/>
    <n v="27"/>
    <x v="3"/>
    <s v="Month-to-month"/>
    <s v="Fiber optic"/>
    <s v="Credit card"/>
    <s v="Yes"/>
    <s v="No"/>
    <n v="2"/>
    <n v="80.739999999999995"/>
    <n v="2242.5500000000002"/>
    <x v="0"/>
  </r>
  <r>
    <x v="7"/>
    <s v="Male"/>
    <n v="38"/>
    <s v="No"/>
    <n v="40"/>
    <x v="3"/>
    <s v="One year"/>
    <s v="Fiber optic"/>
    <s v="Bank transfer"/>
    <s v="No"/>
    <s v="No"/>
    <n v="1"/>
    <n v="67.67"/>
    <n v="2915.92"/>
    <x v="0"/>
  </r>
  <r>
    <x v="8"/>
    <s v="Male"/>
    <n v="34"/>
    <s v="No"/>
    <n v="33"/>
    <x v="3"/>
    <s v="Month-to-month"/>
    <s v="Fiber optic"/>
    <s v="Electronic check"/>
    <s v="No"/>
    <s v="No"/>
    <n v="6"/>
    <n v="100.2"/>
    <n v="3323.74"/>
    <x v="0"/>
  </r>
  <r>
    <x v="9"/>
    <s v="Female"/>
    <n v="40"/>
    <s v="No"/>
    <n v="1"/>
    <x v="2"/>
    <s v="Two year"/>
    <s v="DSL"/>
    <s v="Bank transfer"/>
    <s v="Yes"/>
    <s v="Yes"/>
    <n v="2"/>
    <n v="50.75"/>
    <n v="48.33"/>
    <x v="1"/>
  </r>
  <r>
    <x v="10"/>
    <s v="Male"/>
    <n v="54"/>
    <s v="No"/>
    <n v="8"/>
    <x v="1"/>
    <s v="Month-to-month"/>
    <s v="DSL"/>
    <s v="Credit card"/>
    <s v="Yes"/>
    <s v="Yes"/>
    <n v="3"/>
    <n v="46.2"/>
    <n v="366.31"/>
    <x v="0"/>
  </r>
  <r>
    <x v="11"/>
    <s v="Male"/>
    <n v="71"/>
    <s v="Yes"/>
    <n v="32"/>
    <x v="3"/>
    <s v="Month-to-month"/>
    <s v="DSL"/>
    <s v="Electronic check"/>
    <s v="No"/>
    <s v="Yes"/>
    <n v="3"/>
    <n v="54.61"/>
    <n v="1881.87"/>
    <x v="0"/>
  </r>
  <r>
    <x v="12"/>
    <s v="Male"/>
    <n v="33"/>
    <s v="No"/>
    <n v="48"/>
    <x v="3"/>
    <s v="Month-to-month"/>
    <s v="Fiber optic"/>
    <s v="Mailed check"/>
    <s v="No"/>
    <s v="No"/>
    <n v="6"/>
    <n v="85.56"/>
    <n v="4021.73"/>
    <x v="0"/>
  </r>
  <r>
    <x v="13"/>
    <s v="Male"/>
    <n v="23"/>
    <s v="No"/>
    <n v="4"/>
    <x v="2"/>
    <s v="One year"/>
    <s v="DSL"/>
    <s v="Electronic check"/>
    <s v="No"/>
    <s v="Yes"/>
    <n v="4"/>
    <n v="62.61"/>
    <n v="268.75"/>
    <x v="0"/>
  </r>
  <r>
    <x v="14"/>
    <s v="Female"/>
    <n v="25"/>
    <s v="No"/>
    <n v="70"/>
    <x v="0"/>
    <s v="Month-to-month"/>
    <s v="Fiber optic"/>
    <s v="Mailed check"/>
    <s v="No"/>
    <s v="Yes"/>
    <n v="4"/>
    <n v="80.89"/>
    <n v="5931.39"/>
    <x v="0"/>
  </r>
  <r>
    <x v="15"/>
    <s v="Male"/>
    <n v="42"/>
    <s v="No"/>
    <n v="19"/>
    <x v="4"/>
    <s v="Month-to-month"/>
    <s v="DSL"/>
    <s v="Mailed check"/>
    <s v="No"/>
    <s v="Yes"/>
    <n v="4"/>
    <n v="60.39"/>
    <n v="1136.78"/>
    <x v="0"/>
  </r>
  <r>
    <x v="16"/>
    <s v="Female"/>
    <n v="35"/>
    <s v="No"/>
    <n v="32"/>
    <x v="3"/>
    <s v="Two year"/>
    <s v="Fiber optic"/>
    <s v="Bank transfer"/>
    <s v="No"/>
    <s v="No"/>
    <n v="7"/>
    <n v="97.77"/>
    <n v="3149.6"/>
    <x v="1"/>
  </r>
  <r>
    <x v="17"/>
    <s v="Female"/>
    <n v="42"/>
    <s v="No"/>
    <n v="9"/>
    <x v="1"/>
    <s v="Month-to-month"/>
    <s v="No"/>
    <s v="Electronic check"/>
    <s v="No"/>
    <s v="Yes"/>
    <n v="1"/>
    <n v="25.99"/>
    <n v="237.93"/>
    <x v="0"/>
  </r>
  <r>
    <x v="18"/>
    <s v="Female"/>
    <n v="29"/>
    <s v="No"/>
    <n v="12"/>
    <x v="1"/>
    <s v="Month-to-month"/>
    <s v="DSL"/>
    <s v="Mailed check"/>
    <s v="No"/>
    <s v="No"/>
    <n v="4"/>
    <n v="62.77"/>
    <n v="773.22"/>
    <x v="0"/>
  </r>
  <r>
    <x v="19"/>
    <s v="Male"/>
    <n v="32"/>
    <s v="No"/>
    <n v="11"/>
    <x v="1"/>
    <s v="Two year"/>
    <s v="DSL"/>
    <s v="Bank transfer"/>
    <s v="Yes"/>
    <s v="Yes"/>
    <n v="6"/>
    <n v="68.97"/>
    <n v="707.29"/>
    <x v="0"/>
  </r>
  <r>
    <x v="20"/>
    <s v="Female"/>
    <n v="43"/>
    <s v="No"/>
    <n v="46"/>
    <x v="3"/>
    <s v="Month-to-month"/>
    <s v="Fiber optic"/>
    <s v="Mailed check"/>
    <s v="No"/>
    <s v="No"/>
    <n v="5"/>
    <n v="83.8"/>
    <n v="4122.22"/>
    <x v="1"/>
  </r>
  <r>
    <x v="21"/>
    <s v="Male"/>
    <n v="58"/>
    <s v="No"/>
    <n v="16"/>
    <x v="4"/>
    <s v="Month-to-month"/>
    <s v="Fiber optic"/>
    <s v="Bank transfer"/>
    <s v="No"/>
    <s v="No"/>
    <n v="1"/>
    <n v="66.540000000000006"/>
    <n v="1081.1600000000001"/>
    <x v="0"/>
  </r>
  <r>
    <x v="22"/>
    <s v="Female"/>
    <n v="62"/>
    <s v="Yes"/>
    <n v="1"/>
    <x v="2"/>
    <s v="Month-to-month"/>
    <s v="Fiber optic"/>
    <s v="Mailed check"/>
    <s v="Yes"/>
    <s v="No"/>
    <n v="5"/>
    <n v="74.099999999999994"/>
    <n v="79.209999999999994"/>
    <x v="1"/>
  </r>
  <r>
    <x v="23"/>
    <s v="Female"/>
    <n v="43"/>
    <s v="No"/>
    <n v="63"/>
    <x v="0"/>
    <s v="Month-to-month"/>
    <s v="No"/>
    <s v="Credit card"/>
    <s v="Yes"/>
    <s v="No"/>
    <n v="1"/>
    <n v="27.22"/>
    <n v="1751.05"/>
    <x v="0"/>
  </r>
  <r>
    <x v="24"/>
    <s v="Female"/>
    <n v="64"/>
    <s v="Yes"/>
    <n v="21"/>
    <x v="4"/>
    <s v="Month-to-month"/>
    <s v="No"/>
    <s v="Mailed check"/>
    <s v="No"/>
    <s v="No"/>
    <n v="3"/>
    <n v="35.67"/>
    <n v="740.8"/>
    <x v="1"/>
  </r>
  <r>
    <x v="25"/>
    <s v="Female"/>
    <n v="49"/>
    <s v="No"/>
    <n v="30"/>
    <x v="3"/>
    <s v="Month-to-month"/>
    <s v="Fiber optic"/>
    <s v="Bank transfer"/>
    <s v="Yes"/>
    <s v="No"/>
    <n v="4"/>
    <n v="73.94"/>
    <n v="2241.9499999999998"/>
    <x v="0"/>
  </r>
  <r>
    <x v="26"/>
    <s v="Female"/>
    <n v="27"/>
    <s v="No"/>
    <n v="13"/>
    <x v="4"/>
    <s v="Month-to-month"/>
    <s v="DSL"/>
    <s v="Credit card"/>
    <s v="Yes"/>
    <s v="No"/>
    <n v="6"/>
    <n v="57.49"/>
    <n v="786.77"/>
    <x v="0"/>
  </r>
  <r>
    <x v="27"/>
    <s v="Female"/>
    <n v="33"/>
    <s v="No"/>
    <n v="34"/>
    <x v="3"/>
    <s v="Month-to-month"/>
    <s v="DSL"/>
    <s v="Electronic check"/>
    <s v="No"/>
    <s v="No"/>
    <n v="3"/>
    <n v="51.1"/>
    <n v="1689.07"/>
    <x v="0"/>
  </r>
  <r>
    <x v="28"/>
    <s v="Female"/>
    <n v="24"/>
    <s v="No"/>
    <n v="4"/>
    <x v="2"/>
    <s v="One year"/>
    <s v="DSL"/>
    <s v="Electronic check"/>
    <s v="No"/>
    <s v="Yes"/>
    <n v="7"/>
    <n v="67.69"/>
    <n v="290.52999999999997"/>
    <x v="0"/>
  </r>
  <r>
    <x v="29"/>
    <s v="Female"/>
    <n v="34"/>
    <s v="No"/>
    <n v="28"/>
    <x v="3"/>
    <s v="Month-to-month"/>
    <s v="Fiber optic"/>
    <s v="Bank transfer"/>
    <s v="No"/>
    <s v="No"/>
    <n v="1"/>
    <n v="57.62"/>
    <n v="1604.57"/>
    <x v="1"/>
  </r>
  <r>
    <x v="30"/>
    <s v="Male"/>
    <n v="40"/>
    <s v="No"/>
    <n v="59"/>
    <x v="0"/>
    <s v="Month-to-month"/>
    <s v="Fiber optic"/>
    <s v="Mailed check"/>
    <s v="No"/>
    <s v="Yes"/>
    <n v="3"/>
    <n v="65.61"/>
    <n v="4153.5600000000004"/>
    <x v="1"/>
  </r>
  <r>
    <x v="31"/>
    <s v="Male"/>
    <n v="43"/>
    <s v="No"/>
    <n v="27"/>
    <x v="3"/>
    <s v="Two year"/>
    <s v="Fiber optic"/>
    <s v="Credit card"/>
    <s v="No"/>
    <s v="No"/>
    <n v="4"/>
    <n v="64.36"/>
    <n v="1843.58"/>
    <x v="0"/>
  </r>
  <r>
    <x v="32"/>
    <s v="Female"/>
    <n v="38"/>
    <s v="No"/>
    <n v="69"/>
    <x v="0"/>
    <s v="One year"/>
    <s v="No"/>
    <s v="Credit card"/>
    <s v="No"/>
    <s v="No"/>
    <n v="4"/>
    <n v="43.07"/>
    <n v="3099.1"/>
    <x v="0"/>
  </r>
  <r>
    <x v="33"/>
    <s v="Female"/>
    <n v="39"/>
    <s v="No"/>
    <n v="25"/>
    <x v="3"/>
    <s v="Month-to-month"/>
    <s v="DSL"/>
    <s v="Mailed check"/>
    <s v="Yes"/>
    <s v="No"/>
    <n v="1"/>
    <n v="53.85"/>
    <n v="1339.24"/>
    <x v="0"/>
  </r>
  <r>
    <x v="34"/>
    <s v="Female"/>
    <n v="75"/>
    <s v="Yes"/>
    <n v="3"/>
    <x v="2"/>
    <s v="Two year"/>
    <s v="DSL"/>
    <s v="Mailed check"/>
    <s v="No"/>
    <s v="No"/>
    <n v="3"/>
    <n v="55.11"/>
    <n v="167.63"/>
    <x v="0"/>
  </r>
  <r>
    <x v="35"/>
    <s v="Male"/>
    <n v="24"/>
    <s v="No"/>
    <n v="68"/>
    <x v="0"/>
    <s v="Month-to-month"/>
    <s v="No"/>
    <s v="Mailed check"/>
    <s v="No"/>
    <s v="No"/>
    <n v="1"/>
    <n v="26.17"/>
    <n v="1875.81"/>
    <x v="0"/>
  </r>
  <r>
    <x v="36"/>
    <s v="Female"/>
    <n v="31"/>
    <s v="No"/>
    <n v="25"/>
    <x v="3"/>
    <s v="Month-to-month"/>
    <s v="DSL"/>
    <s v="Electronic check"/>
    <s v="No"/>
    <s v="No"/>
    <n v="3"/>
    <n v="45.27"/>
    <n v="1139.73"/>
    <x v="0"/>
  </r>
  <r>
    <x v="37"/>
    <s v="Male"/>
    <n v="32"/>
    <s v="No"/>
    <n v="20"/>
    <x v="4"/>
    <s v="One year"/>
    <s v="No"/>
    <s v="Credit card"/>
    <s v="No"/>
    <s v="No"/>
    <n v="4"/>
    <n v="25.57"/>
    <n v="530.89"/>
    <x v="0"/>
  </r>
  <r>
    <x v="38"/>
    <s v="Male"/>
    <n v="70"/>
    <s v="Yes"/>
    <n v="34"/>
    <x v="3"/>
    <s v="Month-to-month"/>
    <s v="DSL"/>
    <s v="Bank transfer"/>
    <s v="No"/>
    <s v="Yes"/>
    <n v="2"/>
    <n v="50.77"/>
    <n v="1806.46"/>
    <x v="0"/>
  </r>
  <r>
    <x v="39"/>
    <s v="Male"/>
    <n v="24"/>
    <s v="No"/>
    <n v="26"/>
    <x v="3"/>
    <s v="Month-to-month"/>
    <s v="Fiber optic"/>
    <s v="Mailed check"/>
    <s v="No"/>
    <s v="No"/>
    <n v="8"/>
    <n v="99.31"/>
    <n v="2587.4699999999998"/>
    <x v="0"/>
  </r>
  <r>
    <x v="40"/>
    <s v="Male"/>
    <n v="26"/>
    <s v="No"/>
    <n v="5"/>
    <x v="2"/>
    <s v="Month-to-month"/>
    <s v="No"/>
    <s v="Electronic check"/>
    <s v="No"/>
    <s v="No"/>
    <n v="6"/>
    <n v="43.17"/>
    <n v="217.1"/>
    <x v="0"/>
  </r>
  <r>
    <x v="41"/>
    <s v="Male"/>
    <n v="68"/>
    <s v="Yes"/>
    <n v="61"/>
    <x v="0"/>
    <s v="Month-to-month"/>
    <s v="DSL"/>
    <s v="Electronic check"/>
    <s v="No"/>
    <s v="No"/>
    <n v="5"/>
    <n v="70.39"/>
    <n v="4086.2"/>
    <x v="0"/>
  </r>
  <r>
    <x v="42"/>
    <s v="Female"/>
    <n v="65"/>
    <s v="Yes"/>
    <n v="9"/>
    <x v="1"/>
    <s v="Month-to-month"/>
    <s v="Fiber optic"/>
    <s v="Electronic check"/>
    <s v="No"/>
    <s v="No"/>
    <n v="5"/>
    <n v="78.180000000000007"/>
    <n v="674.88"/>
    <x v="1"/>
  </r>
  <r>
    <x v="43"/>
    <s v="Female"/>
    <n v="25"/>
    <s v="No"/>
    <n v="50"/>
    <x v="0"/>
    <s v="Two year"/>
    <s v="Fiber optic"/>
    <s v="Credit card"/>
    <s v="No"/>
    <s v="Yes"/>
    <n v="3"/>
    <n v="82.59"/>
    <n v="4397.05"/>
    <x v="0"/>
  </r>
  <r>
    <x v="44"/>
    <s v="Female"/>
    <n v="67"/>
    <s v="Yes"/>
    <n v="6"/>
    <x v="2"/>
    <s v="Month-to-month"/>
    <s v="Fiber optic"/>
    <s v="Electronic check"/>
    <s v="No"/>
    <s v="Yes"/>
    <n v="4"/>
    <n v="73.53"/>
    <n v="465.2"/>
    <x v="1"/>
  </r>
  <r>
    <x v="45"/>
    <s v="Female"/>
    <n v="40"/>
    <s v="No"/>
    <n v="60"/>
    <x v="0"/>
    <s v="Two year"/>
    <s v="DSL"/>
    <s v="Credit card"/>
    <s v="No"/>
    <s v="No"/>
    <n v="6"/>
    <n v="48.36"/>
    <n v="2674.17"/>
    <x v="0"/>
  </r>
  <r>
    <x v="46"/>
    <s v="Female"/>
    <n v="46"/>
    <s v="No"/>
    <n v="44"/>
    <x v="3"/>
    <s v="One year"/>
    <s v="No"/>
    <s v="Bank transfer"/>
    <s v="Yes"/>
    <s v="No"/>
    <n v="4"/>
    <n v="45.38"/>
    <n v="2114.73"/>
    <x v="0"/>
  </r>
  <r>
    <x v="47"/>
    <s v="Male"/>
    <n v="35"/>
    <s v="No"/>
    <n v="11"/>
    <x v="1"/>
    <s v="Two year"/>
    <s v="No"/>
    <s v="Bank transfer"/>
    <s v="Yes"/>
    <s v="No"/>
    <n v="3"/>
    <n v="30.54"/>
    <n v="310.42"/>
    <x v="0"/>
  </r>
  <r>
    <x v="48"/>
    <s v="Female"/>
    <n v="48"/>
    <s v="No"/>
    <n v="66"/>
    <x v="0"/>
    <s v="One year"/>
    <s v="No"/>
    <s v="Mailed check"/>
    <s v="No"/>
    <s v="No"/>
    <n v="1"/>
    <n v="20"/>
    <n v="1311.19"/>
    <x v="0"/>
  </r>
  <r>
    <x v="49"/>
    <s v="Female"/>
    <n v="47"/>
    <s v="No"/>
    <n v="47"/>
    <x v="3"/>
    <s v="One year"/>
    <s v="Fiber optic"/>
    <s v="Bank transfer"/>
    <s v="No"/>
    <s v="No"/>
    <n v="4"/>
    <n v="82.37"/>
    <n v="3603.45"/>
    <x v="0"/>
  </r>
  <r>
    <x v="50"/>
    <s v="Male"/>
    <n v="69"/>
    <s v="Yes"/>
    <n v="3"/>
    <x v="2"/>
    <s v="Month-to-month"/>
    <s v="Fiber optic"/>
    <s v="Bank transfer"/>
    <s v="Yes"/>
    <s v="Yes"/>
    <n v="5"/>
    <n v="76.77"/>
    <n v="247.59"/>
    <x v="0"/>
  </r>
  <r>
    <x v="51"/>
    <s v="Female"/>
    <n v="56"/>
    <s v="No"/>
    <n v="30"/>
    <x v="3"/>
    <s v="Month-to-month"/>
    <s v="Fiber optic"/>
    <s v="Credit card"/>
    <s v="Yes"/>
    <s v="Yes"/>
    <n v="4"/>
    <n v="69.11"/>
    <n v="2229.98"/>
    <x v="0"/>
  </r>
  <r>
    <x v="52"/>
    <s v="Male"/>
    <n v="52"/>
    <s v="No"/>
    <n v="21"/>
    <x v="4"/>
    <s v="Month-to-month"/>
    <s v="No"/>
    <s v="Mailed check"/>
    <s v="No"/>
    <s v="Yes"/>
    <n v="2"/>
    <n v="42.18"/>
    <n v="901.49"/>
    <x v="1"/>
  </r>
  <r>
    <x v="53"/>
    <s v="Female"/>
    <n v="35"/>
    <s v="No"/>
    <n v="28"/>
    <x v="3"/>
    <s v="Two year"/>
    <s v="Fiber optic"/>
    <s v="Mailed check"/>
    <s v="No"/>
    <s v="No"/>
    <n v="3"/>
    <n v="73.569999999999993"/>
    <n v="2024.43"/>
    <x v="0"/>
  </r>
  <r>
    <x v="54"/>
    <s v="Male"/>
    <n v="59"/>
    <s v="No"/>
    <n v="62"/>
    <x v="0"/>
    <s v="Two year"/>
    <s v="DSL"/>
    <s v="Bank transfer"/>
    <s v="No"/>
    <s v="Yes"/>
    <n v="4"/>
    <n v="48.95"/>
    <n v="3040.72"/>
    <x v="0"/>
  </r>
  <r>
    <x v="55"/>
    <s v="Female"/>
    <n v="56"/>
    <s v="No"/>
    <n v="33"/>
    <x v="3"/>
    <s v="Month-to-month"/>
    <s v="DSL"/>
    <s v="Electronic check"/>
    <s v="No"/>
    <s v="No"/>
    <n v="4"/>
    <n v="55.76"/>
    <n v="1917.3"/>
    <x v="0"/>
  </r>
  <r>
    <x v="56"/>
    <s v="Female"/>
    <n v="34"/>
    <s v="No"/>
    <n v="35"/>
    <x v="3"/>
    <s v="Month-to-month"/>
    <s v="Fiber optic"/>
    <s v="Mailed check"/>
    <s v="No"/>
    <s v="No"/>
    <n v="6"/>
    <n v="101.93"/>
    <n v="3409.55"/>
    <x v="0"/>
  </r>
  <r>
    <x v="57"/>
    <s v="Male"/>
    <n v="31"/>
    <s v="No"/>
    <n v="52"/>
    <x v="0"/>
    <s v="Month-to-month"/>
    <s v="Fiber optic"/>
    <s v="Credit card"/>
    <s v="Yes"/>
    <s v="Yes"/>
    <n v="2"/>
    <n v="71.790000000000006"/>
    <n v="3698.27"/>
    <x v="0"/>
  </r>
  <r>
    <x v="58"/>
    <s v="Male"/>
    <n v="48"/>
    <s v="No"/>
    <n v="34"/>
    <x v="3"/>
    <s v="One year"/>
    <s v="No"/>
    <s v="Electronic check"/>
    <s v="No"/>
    <s v="Yes"/>
    <n v="3"/>
    <n v="32.51"/>
    <n v="1147.3"/>
    <x v="0"/>
  </r>
  <r>
    <x v="59"/>
    <s v="Male"/>
    <n v="41"/>
    <s v="No"/>
    <n v="41"/>
    <x v="3"/>
    <s v="Month-to-month"/>
    <s v="No"/>
    <s v="Electronic check"/>
    <s v="No"/>
    <s v="Yes"/>
    <n v="5"/>
    <n v="48.51"/>
    <n v="1955.62"/>
    <x v="1"/>
  </r>
  <r>
    <x v="60"/>
    <s v="Male"/>
    <n v="52"/>
    <s v="No"/>
    <n v="51"/>
    <x v="0"/>
    <s v="One year"/>
    <s v="Fiber optic"/>
    <s v="Electronic check"/>
    <s v="Yes"/>
    <s v="No"/>
    <n v="4"/>
    <n v="75.819999999999993"/>
    <n v="3577.27"/>
    <x v="0"/>
  </r>
  <r>
    <x v="61"/>
    <s v="Male"/>
    <n v="61"/>
    <s v="Yes"/>
    <n v="47"/>
    <x v="3"/>
    <s v="Two year"/>
    <s v="DSL"/>
    <s v="Bank transfer"/>
    <s v="No"/>
    <s v="No"/>
    <n v="2"/>
    <n v="47.43"/>
    <n v="2231.85"/>
    <x v="1"/>
  </r>
  <r>
    <x v="62"/>
    <s v="Male"/>
    <n v="62"/>
    <s v="Yes"/>
    <n v="58"/>
    <x v="0"/>
    <s v="Month-to-month"/>
    <s v="No"/>
    <s v="Electronic check"/>
    <s v="No"/>
    <s v="Yes"/>
    <n v="2"/>
    <n v="28.41"/>
    <n v="1710.37"/>
    <x v="0"/>
  </r>
  <r>
    <x v="63"/>
    <s v="Male"/>
    <n v="51"/>
    <s v="No"/>
    <n v="57"/>
    <x v="0"/>
    <s v="Month-to-month"/>
    <s v="Fiber optic"/>
    <s v="Bank transfer"/>
    <s v="No"/>
    <s v="No"/>
    <n v="4"/>
    <n v="84.98"/>
    <n v="5213.3999999999996"/>
    <x v="1"/>
  </r>
  <r>
    <x v="64"/>
    <s v="Male"/>
    <n v="20"/>
    <s v="No"/>
    <n v="23"/>
    <x v="4"/>
    <s v="Month-to-month"/>
    <s v="Fiber optic"/>
    <s v="Electronic check"/>
    <s v="No"/>
    <s v="No"/>
    <n v="3"/>
    <n v="76.36"/>
    <n v="1626.19"/>
    <x v="0"/>
  </r>
  <r>
    <x v="65"/>
    <s v="Female"/>
    <n v="54"/>
    <s v="No"/>
    <n v="48"/>
    <x v="3"/>
    <s v="Month-to-month"/>
    <s v="Fiber optic"/>
    <s v="Electronic check"/>
    <s v="No"/>
    <s v="No"/>
    <n v="2"/>
    <n v="80.959999999999994"/>
    <n v="3910.9"/>
    <x v="0"/>
  </r>
  <r>
    <x v="66"/>
    <s v="Female"/>
    <n v="60"/>
    <s v="Yes"/>
    <n v="22"/>
    <x v="4"/>
    <s v="Month-to-month"/>
    <s v="DSL"/>
    <s v="Bank transfer"/>
    <s v="No"/>
    <s v="No"/>
    <n v="2"/>
    <n v="53.15"/>
    <n v="1159.93"/>
    <x v="0"/>
  </r>
  <r>
    <x v="67"/>
    <s v="Male"/>
    <n v="57"/>
    <s v="No"/>
    <n v="17"/>
    <x v="4"/>
    <s v="Month-to-month"/>
    <s v="Fiber optic"/>
    <s v="Electronic check"/>
    <s v="No"/>
    <s v="No"/>
    <n v="3"/>
    <n v="85.69"/>
    <n v="1396.7"/>
    <x v="1"/>
  </r>
  <r>
    <x v="68"/>
    <s v="Female"/>
    <n v="43"/>
    <s v="No"/>
    <n v="69"/>
    <x v="0"/>
    <s v="Two year"/>
    <s v="Fiber optic"/>
    <s v="Credit card"/>
    <s v="No"/>
    <s v="No"/>
    <n v="3"/>
    <n v="79.55"/>
    <n v="5609.94"/>
    <x v="0"/>
  </r>
  <r>
    <x v="69"/>
    <s v="Female"/>
    <n v="72"/>
    <s v="Yes"/>
    <n v="11"/>
    <x v="1"/>
    <s v="Month-to-month"/>
    <s v="Fiber optic"/>
    <s v="Electronic check"/>
    <s v="No"/>
    <s v="No"/>
    <n v="4"/>
    <n v="77.180000000000007"/>
    <n v="803.29"/>
    <x v="0"/>
  </r>
  <r>
    <x v="70"/>
    <s v="Female"/>
    <n v="40"/>
    <s v="No"/>
    <n v="15"/>
    <x v="4"/>
    <s v="Month-to-month"/>
    <s v="DSL"/>
    <s v="Mailed check"/>
    <s v="No"/>
    <s v="No"/>
    <n v="3"/>
    <n v="54.05"/>
    <n v="782.71"/>
    <x v="1"/>
  </r>
  <r>
    <x v="71"/>
    <s v="Female"/>
    <n v="61"/>
    <s v="Yes"/>
    <n v="35"/>
    <x v="3"/>
    <s v="Two year"/>
    <s v="No"/>
    <s v="Electronic check"/>
    <s v="No"/>
    <s v="No"/>
    <n v="2"/>
    <n v="45.8"/>
    <n v="1675.27"/>
    <x v="0"/>
  </r>
  <r>
    <x v="72"/>
    <s v="Male"/>
    <n v="56"/>
    <s v="No"/>
    <n v="33"/>
    <x v="3"/>
    <s v="One year"/>
    <s v="No"/>
    <s v="Mailed check"/>
    <s v="No"/>
    <s v="No"/>
    <n v="1"/>
    <n v="38.130000000000003"/>
    <n v="1250.32"/>
    <x v="0"/>
  </r>
  <r>
    <x v="73"/>
    <s v="Female"/>
    <n v="32"/>
    <s v="No"/>
    <n v="16"/>
    <x v="4"/>
    <s v="Month-to-month"/>
    <s v="No"/>
    <s v="Credit card"/>
    <s v="Yes"/>
    <s v="No"/>
    <n v="4"/>
    <n v="51.83"/>
    <n v="894.78"/>
    <x v="0"/>
  </r>
  <r>
    <x v="74"/>
    <s v="Male"/>
    <n v="73"/>
    <s v="Yes"/>
    <n v="34"/>
    <x v="3"/>
    <s v="One year"/>
    <s v="DSL"/>
    <s v="Credit card"/>
    <s v="No"/>
    <s v="No"/>
    <n v="4"/>
    <n v="51.95"/>
    <n v="1734.21"/>
    <x v="0"/>
  </r>
  <r>
    <x v="75"/>
    <s v="Female"/>
    <n v="66"/>
    <s v="Yes"/>
    <n v="66"/>
    <x v="0"/>
    <s v="Month-to-month"/>
    <s v="Fiber optic"/>
    <s v="Electronic check"/>
    <s v="No"/>
    <s v="No"/>
    <n v="4"/>
    <n v="65.87"/>
    <n v="4321.8599999999997"/>
    <x v="0"/>
  </r>
  <r>
    <x v="76"/>
    <s v="Female"/>
    <n v="21"/>
    <s v="No"/>
    <n v="40"/>
    <x v="3"/>
    <s v="One year"/>
    <s v="Fiber optic"/>
    <s v="Bank transfer"/>
    <s v="Yes"/>
    <s v="Yes"/>
    <n v="2"/>
    <n v="65.099999999999994"/>
    <n v="2520.7800000000002"/>
    <x v="0"/>
  </r>
  <r>
    <x v="77"/>
    <s v="Female"/>
    <n v="46"/>
    <s v="No"/>
    <n v="28"/>
    <x v="3"/>
    <s v="One year"/>
    <s v="No"/>
    <s v="Bank transfer"/>
    <s v="Yes"/>
    <s v="Yes"/>
    <n v="7"/>
    <n v="54.16"/>
    <n v="1452.5"/>
    <x v="0"/>
  </r>
  <r>
    <x v="78"/>
    <s v="Male"/>
    <n v="39"/>
    <s v="No"/>
    <n v="47"/>
    <x v="3"/>
    <s v="One year"/>
    <s v="Fiber optic"/>
    <s v="Electronic check"/>
    <s v="No"/>
    <s v="Yes"/>
    <n v="6"/>
    <n v="82.48"/>
    <n v="4138.4799999999996"/>
    <x v="0"/>
  </r>
  <r>
    <x v="79"/>
    <s v="Female"/>
    <n v="42"/>
    <s v="No"/>
    <n v="39"/>
    <x v="3"/>
    <s v="Month-to-month"/>
    <s v="Fiber optic"/>
    <s v="Electronic check"/>
    <s v="Yes"/>
    <s v="No"/>
    <n v="3"/>
    <n v="75.19"/>
    <n v="3049.16"/>
    <x v="0"/>
  </r>
  <r>
    <x v="80"/>
    <s v="Male"/>
    <n v="30"/>
    <s v="No"/>
    <n v="70"/>
    <x v="0"/>
    <s v="Two year"/>
    <s v="DSL"/>
    <s v="Credit card"/>
    <s v="Yes"/>
    <s v="No"/>
    <n v="6"/>
    <n v="63.84"/>
    <n v="4349.68"/>
    <x v="0"/>
  </r>
  <r>
    <x v="81"/>
    <s v="Female"/>
    <n v="35"/>
    <s v="No"/>
    <n v="20"/>
    <x v="4"/>
    <s v="Month-to-month"/>
    <s v="Fiber optic"/>
    <s v="Credit card"/>
    <s v="No"/>
    <s v="Yes"/>
    <n v="3"/>
    <n v="62.65"/>
    <n v="1293.1300000000001"/>
    <x v="0"/>
  </r>
  <r>
    <x v="82"/>
    <s v="Male"/>
    <n v="50"/>
    <s v="No"/>
    <n v="1"/>
    <x v="2"/>
    <s v="Month-to-month"/>
    <s v="Fiber optic"/>
    <s v="Credit card"/>
    <s v="Yes"/>
    <s v="Yes"/>
    <n v="8"/>
    <n v="98"/>
    <n v="105.3"/>
    <x v="0"/>
  </r>
  <r>
    <x v="83"/>
    <s v="Female"/>
    <n v="33"/>
    <s v="No"/>
    <n v="72"/>
    <x v="0"/>
    <s v="Month-to-month"/>
    <s v="No"/>
    <s v="Credit card"/>
    <s v="No"/>
    <s v="Yes"/>
    <n v="2"/>
    <n v="33.22"/>
    <n v="2228.83"/>
    <x v="0"/>
  </r>
  <r>
    <x v="84"/>
    <s v="Male"/>
    <n v="62"/>
    <s v="Yes"/>
    <n v="63"/>
    <x v="0"/>
    <s v="Month-to-month"/>
    <s v="No"/>
    <s v="Bank transfer"/>
    <s v="No"/>
    <s v="Yes"/>
    <n v="2"/>
    <n v="42.31"/>
    <n v="2565.09"/>
    <x v="1"/>
  </r>
  <r>
    <x v="85"/>
    <s v="Male"/>
    <n v="59"/>
    <s v="No"/>
    <n v="67"/>
    <x v="0"/>
    <s v="Month-to-month"/>
    <s v="Fiber optic"/>
    <s v="Mailed check"/>
    <s v="No"/>
    <s v="Yes"/>
    <n v="4"/>
    <n v="80.12"/>
    <n v="5110.87"/>
    <x v="0"/>
  </r>
  <r>
    <x v="86"/>
    <s v="Female"/>
    <n v="61"/>
    <s v="Yes"/>
    <n v="4"/>
    <x v="2"/>
    <s v="Two year"/>
    <s v="No"/>
    <s v="Electronic check"/>
    <s v="No"/>
    <s v="No"/>
    <n v="2"/>
    <n v="38.479999999999997"/>
    <n v="163.03"/>
    <x v="0"/>
  </r>
  <r>
    <x v="87"/>
    <s v="Male"/>
    <n v="19"/>
    <s v="No"/>
    <n v="58"/>
    <x v="0"/>
    <s v="Two year"/>
    <s v="DSL"/>
    <s v="Electronic check"/>
    <s v="No"/>
    <s v="Yes"/>
    <n v="4"/>
    <n v="53.27"/>
    <n v="2931.07"/>
    <x v="0"/>
  </r>
  <r>
    <x v="88"/>
    <s v="Female"/>
    <n v="72"/>
    <s v="Yes"/>
    <n v="25"/>
    <x v="3"/>
    <s v="Month-to-month"/>
    <s v="DSL"/>
    <s v="Bank transfer"/>
    <s v="No"/>
    <s v="Yes"/>
    <n v="3"/>
    <n v="57.43"/>
    <n v="1391.66"/>
    <x v="0"/>
  </r>
  <r>
    <x v="89"/>
    <s v="Female"/>
    <n v="52"/>
    <s v="No"/>
    <n v="47"/>
    <x v="3"/>
    <s v="Month-to-month"/>
    <s v="Fiber optic"/>
    <s v="Credit card"/>
    <s v="No"/>
    <s v="No"/>
    <n v="3"/>
    <n v="80.66"/>
    <n v="3817.62"/>
    <x v="1"/>
  </r>
  <r>
    <x v="90"/>
    <s v="Female"/>
    <n v="59"/>
    <s v="No"/>
    <n v="38"/>
    <x v="3"/>
    <s v="Month-to-month"/>
    <s v="Fiber optic"/>
    <s v="Credit card"/>
    <s v="No"/>
    <s v="No"/>
    <n v="3"/>
    <n v="78.89"/>
    <n v="3055.9"/>
    <x v="1"/>
  </r>
  <r>
    <x v="91"/>
    <s v="Female"/>
    <n v="51"/>
    <s v="No"/>
    <n v="15"/>
    <x v="4"/>
    <s v="Month-to-month"/>
    <s v="DSL"/>
    <s v="Credit card"/>
    <s v="No"/>
    <s v="Yes"/>
    <n v="4"/>
    <n v="57.41"/>
    <n v="903.61"/>
    <x v="0"/>
  </r>
  <r>
    <x v="92"/>
    <s v="Female"/>
    <n v="47"/>
    <s v="No"/>
    <n v="63"/>
    <x v="0"/>
    <s v="Month-to-month"/>
    <s v="No"/>
    <s v="Credit card"/>
    <s v="No"/>
    <s v="Yes"/>
    <n v="8"/>
    <n v="59.45"/>
    <n v="3689.81"/>
    <x v="0"/>
  </r>
  <r>
    <x v="93"/>
    <s v="Female"/>
    <n v="72"/>
    <s v="Yes"/>
    <n v="21"/>
    <x v="4"/>
    <s v="Two year"/>
    <s v="DSL"/>
    <s v="Credit card"/>
    <s v="No"/>
    <s v="No"/>
    <n v="6"/>
    <n v="71.36"/>
    <n v="1506.77"/>
    <x v="0"/>
  </r>
  <r>
    <x v="94"/>
    <s v="Female"/>
    <n v="30"/>
    <s v="No"/>
    <n v="57"/>
    <x v="0"/>
    <s v="Month-to-month"/>
    <s v="Fiber optic"/>
    <s v="Electronic check"/>
    <s v="No"/>
    <s v="No"/>
    <n v="5"/>
    <n v="91.41"/>
    <n v="5598.41"/>
    <x v="0"/>
  </r>
  <r>
    <x v="95"/>
    <s v="Female"/>
    <n v="30"/>
    <s v="No"/>
    <n v="53"/>
    <x v="0"/>
    <s v="Month-to-month"/>
    <s v="Fiber optic"/>
    <s v="Credit card"/>
    <s v="No"/>
    <s v="Yes"/>
    <n v="7"/>
    <n v="87.07"/>
    <n v="4465.09"/>
    <x v="1"/>
  </r>
  <r>
    <x v="96"/>
    <s v="Female"/>
    <n v="35"/>
    <s v="No"/>
    <n v="46"/>
    <x v="3"/>
    <s v="Month-to-month"/>
    <s v="No"/>
    <s v="Bank transfer"/>
    <s v="No"/>
    <s v="Yes"/>
    <n v="2"/>
    <n v="25.18"/>
    <n v="1111.5999999999999"/>
    <x v="1"/>
  </r>
  <r>
    <x v="97"/>
    <s v="Female"/>
    <n v="49"/>
    <s v="No"/>
    <n v="14"/>
    <x v="4"/>
    <s v="Two year"/>
    <s v="Fiber optic"/>
    <s v="Electronic check"/>
    <s v="No"/>
    <s v="Yes"/>
    <n v="3"/>
    <n v="69.180000000000007"/>
    <n v="1001.16"/>
    <x v="0"/>
  </r>
  <r>
    <x v="98"/>
    <s v="Female"/>
    <n v="49"/>
    <s v="No"/>
    <n v="17"/>
    <x v="4"/>
    <s v="One year"/>
    <s v="DSL"/>
    <s v="Credit card"/>
    <s v="No"/>
    <s v="No"/>
    <n v="6"/>
    <n v="68.02"/>
    <n v="1206.5"/>
    <x v="0"/>
  </r>
  <r>
    <x v="99"/>
    <s v="Male"/>
    <n v="52"/>
    <s v="No"/>
    <n v="39"/>
    <x v="3"/>
    <s v="Two year"/>
    <s v="Fiber optic"/>
    <s v="Credit card"/>
    <s v="Yes"/>
    <s v="No"/>
    <n v="4"/>
    <n v="79.03"/>
    <n v="3040.14"/>
    <x v="0"/>
  </r>
  <r>
    <x v="100"/>
    <s v="Male"/>
    <n v="56"/>
    <s v="No"/>
    <n v="9"/>
    <x v="1"/>
    <s v="One year"/>
    <s v="Fiber optic"/>
    <s v="Electronic check"/>
    <s v="No"/>
    <s v="No"/>
    <n v="4"/>
    <n v="83.39"/>
    <n v="716.04"/>
    <x v="1"/>
  </r>
  <r>
    <x v="101"/>
    <s v="Female"/>
    <n v="63"/>
    <s v="Yes"/>
    <n v="6"/>
    <x v="2"/>
    <s v="Month-to-month"/>
    <s v="DSL"/>
    <s v="Electronic check"/>
    <s v="No"/>
    <s v="No"/>
    <n v="2"/>
    <n v="56.82"/>
    <n v="356.13"/>
    <x v="1"/>
  </r>
  <r>
    <x v="102"/>
    <s v="Female"/>
    <n v="69"/>
    <s v="Yes"/>
    <n v="23"/>
    <x v="4"/>
    <s v="Month-to-month"/>
    <s v="DSL"/>
    <s v="Bank transfer"/>
    <s v="No"/>
    <s v="No"/>
    <n v="4"/>
    <n v="45.8"/>
    <n v="1082.1400000000001"/>
    <x v="0"/>
  </r>
  <r>
    <x v="103"/>
    <s v="Female"/>
    <n v="46"/>
    <s v="No"/>
    <n v="59"/>
    <x v="0"/>
    <s v="One year"/>
    <s v="Fiber optic"/>
    <s v="Bank transfer"/>
    <s v="Yes"/>
    <s v="No"/>
    <n v="7"/>
    <n v="87.63"/>
    <n v="5481.4"/>
    <x v="0"/>
  </r>
  <r>
    <x v="104"/>
    <s v="Female"/>
    <n v="66"/>
    <s v="Yes"/>
    <n v="46"/>
    <x v="3"/>
    <s v="Month-to-month"/>
    <s v="Fiber optic"/>
    <s v="Credit card"/>
    <s v="No"/>
    <s v="No"/>
    <n v="4"/>
    <n v="80.489999999999995"/>
    <n v="3906.52"/>
    <x v="0"/>
  </r>
  <r>
    <x v="105"/>
    <s v="Female"/>
    <n v="46"/>
    <s v="No"/>
    <n v="38"/>
    <x v="3"/>
    <s v="One year"/>
    <s v="No"/>
    <s v="Electronic check"/>
    <s v="No"/>
    <s v="Yes"/>
    <n v="1"/>
    <n v="36.81"/>
    <n v="1332.8"/>
    <x v="0"/>
  </r>
  <r>
    <x v="106"/>
    <s v="Female"/>
    <n v="70"/>
    <s v="Yes"/>
    <n v="14"/>
    <x v="4"/>
    <s v="Month-to-month"/>
    <s v="Fiber optic"/>
    <s v="Electronic check"/>
    <s v="No"/>
    <s v="No"/>
    <n v="4"/>
    <n v="78.63"/>
    <n v="1159.3599999999999"/>
    <x v="0"/>
  </r>
  <r>
    <x v="107"/>
    <s v="Female"/>
    <n v="61"/>
    <s v="Yes"/>
    <n v="72"/>
    <x v="0"/>
    <s v="Month-to-month"/>
    <s v="DSL"/>
    <s v="Electronic check"/>
    <s v="No"/>
    <s v="No"/>
    <n v="5"/>
    <n v="72.56"/>
    <n v="4952.8"/>
    <x v="0"/>
  </r>
  <r>
    <x v="108"/>
    <s v="Female"/>
    <n v="74"/>
    <s v="Yes"/>
    <n v="62"/>
    <x v="0"/>
    <s v="Month-to-month"/>
    <s v="No"/>
    <s v="Electronic check"/>
    <s v="No"/>
    <s v="No"/>
    <n v="2"/>
    <n v="36.86"/>
    <n v="2418.31"/>
    <x v="0"/>
  </r>
  <r>
    <x v="109"/>
    <s v="Male"/>
    <n v="33"/>
    <s v="No"/>
    <n v="35"/>
    <x v="3"/>
    <s v="One year"/>
    <s v="Fiber optic"/>
    <s v="Electronic check"/>
    <s v="No"/>
    <s v="No"/>
    <n v="2"/>
    <n v="73.67"/>
    <n v="2689.97"/>
    <x v="0"/>
  </r>
  <r>
    <x v="110"/>
    <s v="Female"/>
    <n v="73"/>
    <s v="Yes"/>
    <n v="19"/>
    <x v="4"/>
    <s v="One year"/>
    <s v="No"/>
    <s v="Credit card"/>
    <s v="No"/>
    <s v="No"/>
    <n v="3"/>
    <n v="36.229999999999997"/>
    <n v="696.06"/>
    <x v="0"/>
  </r>
  <r>
    <x v="111"/>
    <s v="Male"/>
    <n v="61"/>
    <s v="Yes"/>
    <n v="30"/>
    <x v="3"/>
    <s v="Month-to-month"/>
    <s v="Fiber optic"/>
    <s v="Mailed check"/>
    <s v="No"/>
    <s v="No"/>
    <n v="3"/>
    <n v="74.83"/>
    <n v="2295.98"/>
    <x v="0"/>
  </r>
  <r>
    <x v="112"/>
    <s v="Female"/>
    <n v="64"/>
    <s v="Yes"/>
    <n v="25"/>
    <x v="3"/>
    <s v="Month-to-month"/>
    <s v="DSL"/>
    <s v="Mailed check"/>
    <s v="No"/>
    <s v="Yes"/>
    <n v="8"/>
    <n v="77.319999999999993"/>
    <n v="1810.55"/>
    <x v="0"/>
  </r>
  <r>
    <x v="113"/>
    <s v="Female"/>
    <n v="74"/>
    <s v="Yes"/>
    <n v="40"/>
    <x v="3"/>
    <s v="Month-to-month"/>
    <s v="Fiber optic"/>
    <s v="Electronic check"/>
    <s v="No"/>
    <s v="No"/>
    <n v="3"/>
    <n v="73.63"/>
    <n v="2728.38"/>
    <x v="0"/>
  </r>
  <r>
    <x v="114"/>
    <s v="Male"/>
    <n v="27"/>
    <s v="No"/>
    <n v="14"/>
    <x v="4"/>
    <s v="Month-to-month"/>
    <s v="No"/>
    <s v="Electronic check"/>
    <s v="No"/>
    <s v="No"/>
    <n v="3"/>
    <n v="44.79"/>
    <n v="610.07000000000005"/>
    <x v="1"/>
  </r>
  <r>
    <x v="115"/>
    <s v="Female"/>
    <n v="47"/>
    <s v="No"/>
    <n v="26"/>
    <x v="3"/>
    <s v="Month-to-month"/>
    <s v="Fiber optic"/>
    <s v="Credit card"/>
    <s v="Yes"/>
    <s v="No"/>
    <n v="7"/>
    <n v="97.16"/>
    <n v="2656.07"/>
    <x v="0"/>
  </r>
  <r>
    <x v="116"/>
    <s v="Male"/>
    <n v="42"/>
    <s v="No"/>
    <n v="22"/>
    <x v="4"/>
    <s v="Month-to-month"/>
    <s v="Fiber optic"/>
    <s v="Bank transfer"/>
    <s v="No"/>
    <s v="Yes"/>
    <n v="7"/>
    <n v="99.39"/>
    <n v="2174.61"/>
    <x v="1"/>
  </r>
  <r>
    <x v="117"/>
    <s v="Female"/>
    <n v="56"/>
    <s v="No"/>
    <n v="48"/>
    <x v="3"/>
    <s v="Month-to-month"/>
    <s v="No"/>
    <s v="Bank transfer"/>
    <s v="No"/>
    <s v="Yes"/>
    <n v="4"/>
    <n v="33.72"/>
    <n v="1546.93"/>
    <x v="0"/>
  </r>
  <r>
    <x v="118"/>
    <s v="Female"/>
    <n v="37"/>
    <s v="No"/>
    <n v="51"/>
    <x v="0"/>
    <s v="Month-to-month"/>
    <s v="DSL"/>
    <s v="Mailed check"/>
    <s v="No"/>
    <s v="No"/>
    <n v="7"/>
    <n v="63.49"/>
    <n v="3411.31"/>
    <x v="0"/>
  </r>
  <r>
    <x v="119"/>
    <s v="Male"/>
    <n v="22"/>
    <s v="No"/>
    <n v="3"/>
    <x v="2"/>
    <s v="Month-to-month"/>
    <s v="DSL"/>
    <s v="Electronic check"/>
    <s v="No"/>
    <s v="No"/>
    <n v="8"/>
    <n v="78.42"/>
    <n v="225.05"/>
    <x v="0"/>
  </r>
  <r>
    <x v="120"/>
    <s v="Female"/>
    <n v="18"/>
    <s v="No"/>
    <n v="42"/>
    <x v="3"/>
    <s v="Month-to-month"/>
    <s v="Fiber optic"/>
    <s v="Mailed check"/>
    <s v="No"/>
    <s v="No"/>
    <n v="3"/>
    <n v="74.44"/>
    <n v="3284.3"/>
    <x v="1"/>
  </r>
  <r>
    <x v="121"/>
    <s v="Male"/>
    <n v="47"/>
    <s v="No"/>
    <n v="19"/>
    <x v="4"/>
    <s v="Month-to-month"/>
    <s v="DSL"/>
    <s v="Electronic check"/>
    <s v="Yes"/>
    <s v="No"/>
    <n v="3"/>
    <n v="56.81"/>
    <n v="1071.27"/>
    <x v="0"/>
  </r>
  <r>
    <x v="122"/>
    <s v="Female"/>
    <n v="66"/>
    <s v="Yes"/>
    <n v="28"/>
    <x v="3"/>
    <s v="Month-to-month"/>
    <s v="Fiber optic"/>
    <s v="Credit card"/>
    <s v="No"/>
    <s v="No"/>
    <n v="1"/>
    <n v="59.18"/>
    <n v="1647.36"/>
    <x v="0"/>
  </r>
  <r>
    <x v="123"/>
    <s v="Male"/>
    <n v="20"/>
    <s v="No"/>
    <n v="45"/>
    <x v="3"/>
    <s v="Month-to-month"/>
    <s v="Fiber optic"/>
    <s v="Electronic check"/>
    <s v="No"/>
    <s v="No"/>
    <n v="6"/>
    <n v="76.790000000000006"/>
    <n v="3329.89"/>
    <x v="0"/>
  </r>
  <r>
    <x v="124"/>
    <s v="Male"/>
    <n v="62"/>
    <s v="Yes"/>
    <n v="71"/>
    <x v="0"/>
    <s v="One year"/>
    <s v="DSL"/>
    <s v="Bank transfer"/>
    <s v="No"/>
    <s v="Yes"/>
    <n v="6"/>
    <n v="68.63"/>
    <n v="5184.72"/>
    <x v="0"/>
  </r>
  <r>
    <x v="125"/>
    <s v="Female"/>
    <n v="31"/>
    <s v="No"/>
    <n v="63"/>
    <x v="0"/>
    <s v="Month-to-month"/>
    <s v="Fiber optic"/>
    <s v="Electronic check"/>
    <s v="Yes"/>
    <s v="Yes"/>
    <n v="4"/>
    <n v="73.680000000000007"/>
    <n v="4336.43"/>
    <x v="0"/>
  </r>
  <r>
    <x v="126"/>
    <s v="Female"/>
    <n v="73"/>
    <s v="Yes"/>
    <n v="19"/>
    <x v="4"/>
    <s v="Month-to-month"/>
    <s v="No"/>
    <s v="Bank transfer"/>
    <s v="No"/>
    <s v="No"/>
    <n v="3"/>
    <n v="42"/>
    <n v="752.6"/>
    <x v="1"/>
  </r>
  <r>
    <x v="127"/>
    <s v="Male"/>
    <n v="47"/>
    <s v="No"/>
    <n v="47"/>
    <x v="3"/>
    <s v="Month-to-month"/>
    <s v="No"/>
    <s v="Credit card"/>
    <s v="No"/>
    <s v="No"/>
    <n v="3"/>
    <n v="32.69"/>
    <n v="1569.83"/>
    <x v="0"/>
  </r>
  <r>
    <x v="128"/>
    <s v="Female"/>
    <n v="67"/>
    <s v="Yes"/>
    <n v="14"/>
    <x v="4"/>
    <s v="One year"/>
    <s v="DSL"/>
    <s v="Bank transfer"/>
    <s v="No"/>
    <s v="No"/>
    <n v="8"/>
    <n v="68.790000000000006"/>
    <n v="1017.01"/>
    <x v="0"/>
  </r>
  <r>
    <x v="129"/>
    <s v="Female"/>
    <n v="21"/>
    <s v="No"/>
    <n v="38"/>
    <x v="3"/>
    <s v="Two year"/>
    <s v="No"/>
    <s v="Bank transfer"/>
    <s v="No"/>
    <s v="No"/>
    <n v="1"/>
    <n v="20"/>
    <n v="710.81"/>
    <x v="0"/>
  </r>
  <r>
    <x v="130"/>
    <s v="Female"/>
    <n v="35"/>
    <s v="No"/>
    <n v="53"/>
    <x v="0"/>
    <s v="One year"/>
    <s v="DSL"/>
    <s v="Credit card"/>
    <s v="No"/>
    <s v="Yes"/>
    <n v="3"/>
    <n v="63.73"/>
    <n v="3504.02"/>
    <x v="0"/>
  </r>
  <r>
    <x v="131"/>
    <s v="Male"/>
    <n v="54"/>
    <s v="No"/>
    <n v="61"/>
    <x v="0"/>
    <s v="One year"/>
    <s v="Fiber optic"/>
    <s v="Bank transfer"/>
    <s v="Yes"/>
    <s v="No"/>
    <n v="5"/>
    <n v="87.88"/>
    <n v="5568.68"/>
    <x v="0"/>
  </r>
  <r>
    <x v="132"/>
    <s v="Male"/>
    <n v="42"/>
    <s v="No"/>
    <n v="36"/>
    <x v="3"/>
    <s v="Month-to-month"/>
    <s v="DSL"/>
    <s v="Electronic check"/>
    <s v="No"/>
    <s v="No"/>
    <n v="4"/>
    <n v="48.53"/>
    <n v="1769.87"/>
    <x v="1"/>
  </r>
  <r>
    <x v="133"/>
    <s v="Male"/>
    <n v="65"/>
    <s v="Yes"/>
    <n v="40"/>
    <x v="3"/>
    <s v="One year"/>
    <s v="Fiber optic"/>
    <s v="Electronic check"/>
    <s v="No"/>
    <s v="No"/>
    <n v="3"/>
    <n v="61.02"/>
    <n v="2435.62"/>
    <x v="0"/>
  </r>
  <r>
    <x v="134"/>
    <s v="Male"/>
    <n v="18"/>
    <s v="No"/>
    <n v="30"/>
    <x v="3"/>
    <s v="One year"/>
    <s v="Fiber optic"/>
    <s v="Bank transfer"/>
    <s v="Yes"/>
    <s v="Yes"/>
    <n v="4"/>
    <n v="74.819999999999993"/>
    <n v="2180.35"/>
    <x v="0"/>
  </r>
  <r>
    <x v="135"/>
    <s v="Male"/>
    <n v="70"/>
    <s v="Yes"/>
    <n v="9"/>
    <x v="1"/>
    <s v="Month-to-month"/>
    <s v="No"/>
    <s v="Bank transfer"/>
    <s v="No"/>
    <s v="No"/>
    <n v="2"/>
    <n v="39.630000000000003"/>
    <n v="348.19"/>
    <x v="1"/>
  </r>
  <r>
    <x v="136"/>
    <s v="Male"/>
    <n v="63"/>
    <s v="Yes"/>
    <n v="64"/>
    <x v="0"/>
    <s v="Month-to-month"/>
    <s v="DSL"/>
    <s v="Electronic check"/>
    <s v="No"/>
    <s v="No"/>
    <n v="3"/>
    <n v="51.31"/>
    <n v="3375.49"/>
    <x v="0"/>
  </r>
  <r>
    <x v="137"/>
    <s v="Male"/>
    <n v="32"/>
    <s v="No"/>
    <n v="33"/>
    <x v="3"/>
    <s v="Month-to-month"/>
    <s v="No"/>
    <s v="Mailed check"/>
    <s v="Yes"/>
    <s v="No"/>
    <n v="3"/>
    <n v="35.549999999999997"/>
    <n v="1091.55"/>
    <x v="0"/>
  </r>
  <r>
    <x v="138"/>
    <s v="Male"/>
    <n v="26"/>
    <s v="No"/>
    <n v="52"/>
    <x v="0"/>
    <s v="Two year"/>
    <s v="Fiber optic"/>
    <s v="Credit card"/>
    <s v="No"/>
    <s v="No"/>
    <n v="4"/>
    <n v="85.93"/>
    <n v="4529.08"/>
    <x v="0"/>
  </r>
  <r>
    <x v="139"/>
    <s v="Male"/>
    <n v="32"/>
    <s v="No"/>
    <n v="14"/>
    <x v="4"/>
    <s v="Month-to-month"/>
    <s v="DSL"/>
    <s v="Electronic check"/>
    <s v="No"/>
    <s v="Yes"/>
    <n v="3"/>
    <n v="48.08"/>
    <n v="649.29"/>
    <x v="0"/>
  </r>
  <r>
    <x v="140"/>
    <s v="Female"/>
    <n v="66"/>
    <s v="Yes"/>
    <n v="53"/>
    <x v="0"/>
    <s v="One year"/>
    <s v="Fiber optic"/>
    <s v="Mailed check"/>
    <s v="No"/>
    <s v="Yes"/>
    <n v="4"/>
    <n v="74.23"/>
    <n v="3913.17"/>
    <x v="0"/>
  </r>
  <r>
    <x v="141"/>
    <s v="Male"/>
    <n v="74"/>
    <s v="Yes"/>
    <n v="59"/>
    <x v="0"/>
    <s v="Month-to-month"/>
    <s v="DSL"/>
    <s v="Electronic check"/>
    <s v="No"/>
    <s v="Yes"/>
    <n v="2"/>
    <n v="52.54"/>
    <n v="3129.11"/>
    <x v="0"/>
  </r>
  <r>
    <x v="142"/>
    <s v="Female"/>
    <n v="41"/>
    <s v="No"/>
    <n v="41"/>
    <x v="3"/>
    <s v="Month-to-month"/>
    <s v="DSL"/>
    <s v="Credit card"/>
    <s v="No"/>
    <s v="No"/>
    <n v="3"/>
    <n v="53.04"/>
    <n v="2308.83"/>
    <x v="0"/>
  </r>
  <r>
    <x v="143"/>
    <s v="Female"/>
    <n v="21"/>
    <s v="No"/>
    <n v="68"/>
    <x v="0"/>
    <s v="Month-to-month"/>
    <s v="DSL"/>
    <s v="Electronic check"/>
    <s v="No"/>
    <s v="No"/>
    <n v="6"/>
    <n v="60.86"/>
    <n v="4190.84"/>
    <x v="0"/>
  </r>
  <r>
    <x v="144"/>
    <s v="Female"/>
    <n v="29"/>
    <s v="No"/>
    <n v="68"/>
    <x v="0"/>
    <s v="Month-to-month"/>
    <s v="Fiber optic"/>
    <s v="Bank transfer"/>
    <s v="Yes"/>
    <s v="No"/>
    <n v="5"/>
    <n v="87.95"/>
    <n v="5719.52"/>
    <x v="0"/>
  </r>
  <r>
    <x v="145"/>
    <s v="Male"/>
    <n v="75"/>
    <s v="Yes"/>
    <n v="8"/>
    <x v="1"/>
    <s v="Two year"/>
    <s v="Fiber optic"/>
    <s v="Electronic check"/>
    <s v="No"/>
    <s v="Yes"/>
    <n v="4"/>
    <n v="82.62"/>
    <n v="616.49"/>
    <x v="0"/>
  </r>
  <r>
    <x v="146"/>
    <s v="Male"/>
    <n v="54"/>
    <s v="No"/>
    <n v="2"/>
    <x v="2"/>
    <s v="One year"/>
    <s v="Fiber optic"/>
    <s v="Bank transfer"/>
    <s v="No"/>
    <s v="No"/>
    <n v="6"/>
    <n v="92.83"/>
    <n v="189.43"/>
    <x v="1"/>
  </r>
  <r>
    <x v="147"/>
    <s v="Male"/>
    <n v="54"/>
    <s v="No"/>
    <n v="41"/>
    <x v="3"/>
    <s v="Month-to-month"/>
    <s v="DSL"/>
    <s v="Credit card"/>
    <s v="No"/>
    <s v="No"/>
    <n v="3"/>
    <n v="53.93"/>
    <n v="2227.0700000000002"/>
    <x v="0"/>
  </r>
  <r>
    <x v="148"/>
    <s v="Male"/>
    <n v="60"/>
    <s v="Yes"/>
    <n v="55"/>
    <x v="0"/>
    <s v="Two year"/>
    <s v="No"/>
    <s v="Mailed check"/>
    <s v="No"/>
    <s v="Yes"/>
    <n v="6"/>
    <n v="36.67"/>
    <n v="2072.29"/>
    <x v="0"/>
  </r>
  <r>
    <x v="149"/>
    <s v="Female"/>
    <n v="23"/>
    <s v="No"/>
    <n v="16"/>
    <x v="4"/>
    <s v="Month-to-month"/>
    <s v="Fiber optic"/>
    <s v="Bank transfer"/>
    <s v="Yes"/>
    <s v="No"/>
    <n v="3"/>
    <n v="75.08"/>
    <n v="1193.48"/>
    <x v="1"/>
  </r>
  <r>
    <x v="150"/>
    <s v="Male"/>
    <n v="56"/>
    <s v="No"/>
    <n v="62"/>
    <x v="0"/>
    <s v="Two year"/>
    <s v="DSL"/>
    <s v="Mailed check"/>
    <s v="No"/>
    <s v="Yes"/>
    <n v="4"/>
    <n v="50.8"/>
    <n v="3313.44"/>
    <x v="0"/>
  </r>
  <r>
    <x v="151"/>
    <s v="Male"/>
    <n v="73"/>
    <s v="Yes"/>
    <n v="48"/>
    <x v="3"/>
    <s v="Month-to-month"/>
    <s v="No"/>
    <s v="Electronic check"/>
    <s v="No"/>
    <s v="Yes"/>
    <n v="4"/>
    <n v="26.81"/>
    <n v="1373.4"/>
    <x v="0"/>
  </r>
  <r>
    <x v="152"/>
    <s v="Male"/>
    <n v="63"/>
    <s v="Yes"/>
    <n v="30"/>
    <x v="3"/>
    <s v="Month-to-month"/>
    <s v="DSL"/>
    <s v="Credit card"/>
    <s v="No"/>
    <s v="Yes"/>
    <n v="2"/>
    <n v="49.08"/>
    <n v="1364.03"/>
    <x v="0"/>
  </r>
  <r>
    <x v="153"/>
    <s v="Male"/>
    <n v="41"/>
    <s v="No"/>
    <n v="12"/>
    <x v="1"/>
    <s v="Month-to-month"/>
    <s v="DSL"/>
    <s v="Electronic check"/>
    <s v="No"/>
    <s v="No"/>
    <n v="6"/>
    <n v="67.709999999999994"/>
    <n v="844.25"/>
    <x v="1"/>
  </r>
  <r>
    <x v="154"/>
    <s v="Male"/>
    <n v="28"/>
    <s v="No"/>
    <n v="35"/>
    <x v="3"/>
    <s v="Month-to-month"/>
    <s v="No"/>
    <s v="Bank transfer"/>
    <s v="No"/>
    <s v="No"/>
    <n v="2"/>
    <n v="44.19"/>
    <n v="1431.62"/>
    <x v="0"/>
  </r>
  <r>
    <x v="155"/>
    <s v="Female"/>
    <n v="30"/>
    <s v="No"/>
    <n v="11"/>
    <x v="1"/>
    <s v="Month-to-month"/>
    <s v="Fiber optic"/>
    <s v="Electronic check"/>
    <s v="No"/>
    <s v="Yes"/>
    <n v="4"/>
    <n v="70.56"/>
    <n v="769.34"/>
    <x v="0"/>
  </r>
  <r>
    <x v="156"/>
    <s v="Male"/>
    <n v="51"/>
    <s v="No"/>
    <n v="64"/>
    <x v="0"/>
    <s v="One year"/>
    <s v="Fiber optic"/>
    <s v="Electronic check"/>
    <s v="No"/>
    <s v="No"/>
    <n v="6"/>
    <n v="91.74"/>
    <n v="5835.29"/>
    <x v="1"/>
  </r>
  <r>
    <x v="157"/>
    <s v="Female"/>
    <n v="42"/>
    <s v="No"/>
    <n v="50"/>
    <x v="0"/>
    <s v="Two year"/>
    <s v="Fiber optic"/>
    <s v="Electronic check"/>
    <s v="No"/>
    <s v="No"/>
    <n v="2"/>
    <n v="59.81"/>
    <n v="3084.39"/>
    <x v="0"/>
  </r>
  <r>
    <x v="158"/>
    <s v="Male"/>
    <n v="24"/>
    <s v="No"/>
    <n v="21"/>
    <x v="4"/>
    <s v="One year"/>
    <s v="No"/>
    <s v="Bank transfer"/>
    <s v="No"/>
    <s v="No"/>
    <n v="3"/>
    <n v="45.89"/>
    <n v="940.93"/>
    <x v="0"/>
  </r>
  <r>
    <x v="159"/>
    <s v="Female"/>
    <n v="69"/>
    <s v="Yes"/>
    <n v="69"/>
    <x v="0"/>
    <s v="Month-to-month"/>
    <s v="No"/>
    <s v="Mailed check"/>
    <s v="Yes"/>
    <s v="Yes"/>
    <n v="4"/>
    <n v="36.1"/>
    <n v="2618.79"/>
    <x v="0"/>
  </r>
  <r>
    <x v="160"/>
    <s v="Male"/>
    <n v="21"/>
    <s v="No"/>
    <n v="48"/>
    <x v="3"/>
    <s v="Month-to-month"/>
    <s v="DSL"/>
    <s v="Bank transfer"/>
    <s v="Yes"/>
    <s v="No"/>
    <n v="4"/>
    <n v="56.66"/>
    <n v="2651.3"/>
    <x v="0"/>
  </r>
  <r>
    <x v="161"/>
    <s v="Male"/>
    <n v="25"/>
    <s v="No"/>
    <n v="20"/>
    <x v="4"/>
    <s v="Month-to-month"/>
    <s v="Fiber optic"/>
    <s v="Electronic check"/>
    <s v="No"/>
    <s v="No"/>
    <n v="3"/>
    <n v="72.75"/>
    <n v="1418.34"/>
    <x v="0"/>
  </r>
  <r>
    <x v="162"/>
    <s v="Female"/>
    <n v="37"/>
    <s v="No"/>
    <n v="67"/>
    <x v="0"/>
    <s v="Month-to-month"/>
    <s v="Fiber optic"/>
    <s v="Electronic check"/>
    <s v="Yes"/>
    <s v="Yes"/>
    <n v="4"/>
    <n v="84.31"/>
    <n v="5398.2"/>
    <x v="0"/>
  </r>
  <r>
    <x v="163"/>
    <s v="Female"/>
    <n v="46"/>
    <s v="No"/>
    <n v="44"/>
    <x v="3"/>
    <s v="One year"/>
    <s v="Fiber optic"/>
    <s v="Credit card"/>
    <s v="No"/>
    <s v="No"/>
    <n v="6"/>
    <n v="76.849999999999994"/>
    <n v="3480.88"/>
    <x v="0"/>
  </r>
  <r>
    <x v="164"/>
    <s v="Female"/>
    <n v="71"/>
    <s v="Yes"/>
    <n v="33"/>
    <x v="3"/>
    <s v="Month-to-month"/>
    <s v="Fiber optic"/>
    <s v="Credit card"/>
    <s v="Yes"/>
    <s v="No"/>
    <n v="3"/>
    <n v="73.760000000000005"/>
    <n v="2269.1799999999998"/>
    <x v="0"/>
  </r>
  <r>
    <x v="165"/>
    <s v="Male"/>
    <n v="70"/>
    <s v="Yes"/>
    <n v="61"/>
    <x v="0"/>
    <s v="Month-to-month"/>
    <s v="DSL"/>
    <s v="Electronic check"/>
    <s v="Yes"/>
    <s v="Yes"/>
    <n v="6"/>
    <n v="62.51"/>
    <n v="3729.56"/>
    <x v="0"/>
  </r>
  <r>
    <x v="166"/>
    <s v="Female"/>
    <n v="68"/>
    <s v="Yes"/>
    <n v="9"/>
    <x v="1"/>
    <s v="Month-to-month"/>
    <s v="No"/>
    <s v="Bank transfer"/>
    <s v="No"/>
    <s v="No"/>
    <n v="5"/>
    <n v="60.39"/>
    <n v="523.24"/>
    <x v="0"/>
  </r>
  <r>
    <x v="167"/>
    <s v="Male"/>
    <n v="62"/>
    <s v="Yes"/>
    <n v="68"/>
    <x v="0"/>
    <s v="Two year"/>
    <s v="No"/>
    <s v="Mailed check"/>
    <s v="No"/>
    <s v="Yes"/>
    <n v="4"/>
    <n v="33.409999999999997"/>
    <n v="2173.4899999999998"/>
    <x v="0"/>
  </r>
  <r>
    <x v="168"/>
    <s v="Male"/>
    <n v="63"/>
    <s v="Yes"/>
    <n v="35"/>
    <x v="3"/>
    <s v="Month-to-month"/>
    <s v="DSL"/>
    <s v="Credit card"/>
    <s v="No"/>
    <s v="No"/>
    <n v="8"/>
    <n v="56.93"/>
    <n v="1852.59"/>
    <x v="1"/>
  </r>
  <r>
    <x v="169"/>
    <s v="Female"/>
    <n v="27"/>
    <s v="No"/>
    <n v="65"/>
    <x v="0"/>
    <s v="Month-to-month"/>
    <s v="Fiber optic"/>
    <s v="Credit card"/>
    <s v="No"/>
    <s v="Yes"/>
    <n v="6"/>
    <n v="98.86"/>
    <n v="6107.57"/>
    <x v="0"/>
  </r>
  <r>
    <x v="170"/>
    <s v="Female"/>
    <n v="60"/>
    <s v="Yes"/>
    <n v="8"/>
    <x v="1"/>
    <s v="Month-to-month"/>
    <s v="Fiber optic"/>
    <s v="Credit card"/>
    <s v="No"/>
    <s v="Yes"/>
    <n v="4"/>
    <n v="82.44"/>
    <n v="653.85"/>
    <x v="0"/>
  </r>
  <r>
    <x v="171"/>
    <s v="Male"/>
    <n v="51"/>
    <s v="No"/>
    <n v="45"/>
    <x v="3"/>
    <s v="Month-to-month"/>
    <s v="Fiber optic"/>
    <s v="Credit card"/>
    <s v="Yes"/>
    <s v="Yes"/>
    <n v="6"/>
    <n v="81.489999999999995"/>
    <n v="3669.25"/>
    <x v="0"/>
  </r>
  <r>
    <x v="172"/>
    <s v="Male"/>
    <n v="74"/>
    <s v="Yes"/>
    <n v="47"/>
    <x v="3"/>
    <s v="Month-to-month"/>
    <s v="DSL"/>
    <s v="Electronic check"/>
    <s v="No"/>
    <s v="No"/>
    <n v="3"/>
    <n v="54.77"/>
    <n v="2479.2600000000002"/>
    <x v="0"/>
  </r>
  <r>
    <x v="173"/>
    <s v="Female"/>
    <n v="43"/>
    <s v="No"/>
    <n v="40"/>
    <x v="3"/>
    <s v="Month-to-month"/>
    <s v="No"/>
    <s v="Credit card"/>
    <s v="No"/>
    <s v="No"/>
    <n v="1"/>
    <n v="23.39"/>
    <n v="958.09"/>
    <x v="0"/>
  </r>
  <r>
    <x v="174"/>
    <s v="Female"/>
    <n v="58"/>
    <s v="No"/>
    <n v="54"/>
    <x v="0"/>
    <s v="One year"/>
    <s v="Fiber optic"/>
    <s v="Bank transfer"/>
    <s v="No"/>
    <s v="Yes"/>
    <n v="2"/>
    <n v="57.3"/>
    <n v="3012.91"/>
    <x v="0"/>
  </r>
  <r>
    <x v="175"/>
    <s v="Female"/>
    <n v="66"/>
    <s v="Yes"/>
    <n v="46"/>
    <x v="3"/>
    <s v="Month-to-month"/>
    <s v="Fiber optic"/>
    <s v="Electronic check"/>
    <s v="No"/>
    <s v="Yes"/>
    <n v="5"/>
    <n v="81.849999999999994"/>
    <n v="3685.13"/>
    <x v="1"/>
  </r>
  <r>
    <x v="176"/>
    <s v="Male"/>
    <n v="75"/>
    <s v="Yes"/>
    <n v="47"/>
    <x v="3"/>
    <s v="One year"/>
    <s v="Fiber optic"/>
    <s v="Mailed check"/>
    <s v="No"/>
    <s v="No"/>
    <n v="5"/>
    <n v="81.8"/>
    <n v="4018.45"/>
    <x v="0"/>
  </r>
  <r>
    <x v="177"/>
    <s v="Male"/>
    <n v="20"/>
    <s v="No"/>
    <n v="15"/>
    <x v="4"/>
    <s v="Two year"/>
    <s v="Fiber optic"/>
    <s v="Credit card"/>
    <s v="Yes"/>
    <s v="No"/>
    <n v="6"/>
    <n v="89.38"/>
    <n v="1351.85"/>
    <x v="1"/>
  </r>
  <r>
    <x v="178"/>
    <s v="Male"/>
    <n v="73"/>
    <s v="Yes"/>
    <n v="19"/>
    <x v="4"/>
    <s v="One year"/>
    <s v="DSL"/>
    <s v="Credit card"/>
    <s v="Yes"/>
    <s v="No"/>
    <n v="3"/>
    <n v="48.19"/>
    <n v="982"/>
    <x v="1"/>
  </r>
  <r>
    <x v="179"/>
    <s v="Male"/>
    <n v="23"/>
    <s v="No"/>
    <n v="26"/>
    <x v="3"/>
    <s v="Month-to-month"/>
    <s v="Fiber optic"/>
    <s v="Electronic check"/>
    <s v="No"/>
    <s v="Yes"/>
    <n v="3"/>
    <n v="69.58"/>
    <n v="1768.35"/>
    <x v="1"/>
  </r>
  <r>
    <x v="180"/>
    <s v="Male"/>
    <n v="22"/>
    <s v="No"/>
    <n v="52"/>
    <x v="0"/>
    <s v="Month-to-month"/>
    <s v="DSL"/>
    <s v="Bank transfer"/>
    <s v="No"/>
    <s v="No"/>
    <n v="4"/>
    <n v="56.36"/>
    <n v="3084.45"/>
    <x v="0"/>
  </r>
  <r>
    <x v="181"/>
    <s v="Male"/>
    <n v="22"/>
    <s v="No"/>
    <n v="22"/>
    <x v="4"/>
    <s v="One year"/>
    <s v="No"/>
    <s v="Credit card"/>
    <s v="Yes"/>
    <s v="No"/>
    <n v="3"/>
    <n v="30.13"/>
    <n v="688.14"/>
    <x v="0"/>
  </r>
  <r>
    <x v="182"/>
    <s v="Female"/>
    <n v="71"/>
    <s v="Yes"/>
    <n v="21"/>
    <x v="4"/>
    <s v="One year"/>
    <s v="DSL"/>
    <s v="Electronic check"/>
    <s v="No"/>
    <s v="No"/>
    <n v="4"/>
    <n v="66.959999999999994"/>
    <n v="1493.95"/>
    <x v="0"/>
  </r>
  <r>
    <x v="183"/>
    <s v="Male"/>
    <n v="64"/>
    <s v="Yes"/>
    <n v="51"/>
    <x v="0"/>
    <s v="Month-to-month"/>
    <s v="Fiber optic"/>
    <s v="Mailed check"/>
    <s v="Yes"/>
    <s v="No"/>
    <n v="1"/>
    <n v="72.94"/>
    <n v="3991.82"/>
    <x v="0"/>
  </r>
  <r>
    <x v="184"/>
    <s v="Male"/>
    <n v="40"/>
    <s v="No"/>
    <n v="38"/>
    <x v="3"/>
    <s v="One year"/>
    <s v="Fiber optic"/>
    <s v="Bank transfer"/>
    <s v="No"/>
    <s v="Yes"/>
    <n v="4"/>
    <n v="75.39"/>
    <n v="2639.15"/>
    <x v="0"/>
  </r>
  <r>
    <x v="185"/>
    <s v="Male"/>
    <n v="66"/>
    <s v="Yes"/>
    <n v="20"/>
    <x v="4"/>
    <s v="Month-to-month"/>
    <s v="DSL"/>
    <s v="Mailed check"/>
    <s v="No"/>
    <s v="Yes"/>
    <n v="4"/>
    <n v="62.74"/>
    <n v="1172.1400000000001"/>
    <x v="0"/>
  </r>
  <r>
    <x v="186"/>
    <s v="Female"/>
    <n v="26"/>
    <s v="No"/>
    <n v="29"/>
    <x v="3"/>
    <s v="Month-to-month"/>
    <s v="Fiber optic"/>
    <s v="Electronic check"/>
    <s v="No"/>
    <s v="No"/>
    <n v="2"/>
    <n v="62.33"/>
    <n v="1857.99"/>
    <x v="1"/>
  </r>
  <r>
    <x v="187"/>
    <s v="Male"/>
    <n v="52"/>
    <s v="No"/>
    <n v="51"/>
    <x v="0"/>
    <s v="Month-to-month"/>
    <s v="Fiber optic"/>
    <s v="Bank transfer"/>
    <s v="No"/>
    <s v="No"/>
    <n v="2"/>
    <n v="67.77"/>
    <n v="3395.55"/>
    <x v="1"/>
  </r>
  <r>
    <x v="188"/>
    <s v="Male"/>
    <n v="37"/>
    <s v="No"/>
    <n v="4"/>
    <x v="2"/>
    <s v="Month-to-month"/>
    <s v="DSL"/>
    <s v="Credit card"/>
    <s v="No"/>
    <s v="No"/>
    <n v="3"/>
    <n v="65.25"/>
    <n v="274.33"/>
    <x v="0"/>
  </r>
  <r>
    <x v="189"/>
    <s v="Female"/>
    <n v="75"/>
    <s v="Yes"/>
    <n v="55"/>
    <x v="0"/>
    <s v="Month-to-month"/>
    <s v="DSL"/>
    <s v="Bank transfer"/>
    <s v="No"/>
    <s v="No"/>
    <n v="5"/>
    <n v="67.52"/>
    <n v="3423.63"/>
    <x v="0"/>
  </r>
  <r>
    <x v="190"/>
    <s v="Male"/>
    <n v="66"/>
    <s v="Yes"/>
    <n v="71"/>
    <x v="0"/>
    <s v="One year"/>
    <s v="DSL"/>
    <s v="Credit card"/>
    <s v="Yes"/>
    <s v="No"/>
    <n v="5"/>
    <n v="65.02"/>
    <n v="4843.16"/>
    <x v="0"/>
  </r>
  <r>
    <x v="191"/>
    <s v="Male"/>
    <n v="59"/>
    <s v="No"/>
    <n v="28"/>
    <x v="3"/>
    <s v="Month-to-month"/>
    <s v="Fiber optic"/>
    <s v="Mailed check"/>
    <s v="No"/>
    <s v="No"/>
    <n v="6"/>
    <n v="84.49"/>
    <n v="2227.65"/>
    <x v="0"/>
  </r>
  <r>
    <x v="192"/>
    <s v="Male"/>
    <n v="52"/>
    <s v="No"/>
    <n v="4"/>
    <x v="2"/>
    <s v="Month-to-month"/>
    <s v="No"/>
    <s v="Electronic check"/>
    <s v="Yes"/>
    <s v="No"/>
    <n v="4"/>
    <n v="40.71"/>
    <n v="157.38"/>
    <x v="1"/>
  </r>
  <r>
    <x v="193"/>
    <s v="Male"/>
    <n v="67"/>
    <s v="Yes"/>
    <n v="22"/>
    <x v="4"/>
    <s v="Month-to-month"/>
    <s v="Fiber optic"/>
    <s v="Bank transfer"/>
    <s v="No"/>
    <s v="Yes"/>
    <n v="4"/>
    <n v="68.72"/>
    <n v="1625.31"/>
    <x v="1"/>
  </r>
  <r>
    <x v="194"/>
    <s v="Male"/>
    <n v="35"/>
    <s v="No"/>
    <n v="45"/>
    <x v="3"/>
    <s v="Month-to-month"/>
    <s v="Fiber optic"/>
    <s v="Electronic check"/>
    <s v="No"/>
    <s v="Yes"/>
    <n v="1"/>
    <n v="64.739999999999995"/>
    <n v="2704.29"/>
    <x v="0"/>
  </r>
  <r>
    <x v="195"/>
    <s v="Female"/>
    <n v="34"/>
    <s v="No"/>
    <n v="67"/>
    <x v="0"/>
    <s v="Month-to-month"/>
    <s v="DSL"/>
    <s v="Credit card"/>
    <s v="No"/>
    <s v="No"/>
    <n v="4"/>
    <n v="61.63"/>
    <n v="4029.48"/>
    <x v="0"/>
  </r>
  <r>
    <x v="196"/>
    <s v="Female"/>
    <n v="41"/>
    <s v="No"/>
    <n v="66"/>
    <x v="0"/>
    <s v="One year"/>
    <s v="DSL"/>
    <s v="Electronic check"/>
    <s v="No"/>
    <s v="Yes"/>
    <n v="5"/>
    <n v="62.82"/>
    <n v="3870.51"/>
    <x v="0"/>
  </r>
  <r>
    <x v="197"/>
    <s v="Female"/>
    <n v="20"/>
    <s v="No"/>
    <n v="34"/>
    <x v="3"/>
    <s v="One year"/>
    <s v="No"/>
    <s v="Mailed check"/>
    <s v="Yes"/>
    <s v="Yes"/>
    <n v="3"/>
    <n v="36.82"/>
    <n v="1322.71"/>
    <x v="0"/>
  </r>
  <r>
    <x v="198"/>
    <s v="Male"/>
    <n v="49"/>
    <s v="No"/>
    <n v="55"/>
    <x v="0"/>
    <s v="One year"/>
    <s v="DSL"/>
    <s v="Mailed check"/>
    <s v="No"/>
    <s v="Yes"/>
    <n v="4"/>
    <n v="54.42"/>
    <n v="3090.32"/>
    <x v="0"/>
  </r>
  <r>
    <x v="199"/>
    <s v="Male"/>
    <n v="52"/>
    <s v="No"/>
    <n v="1"/>
    <x v="2"/>
    <s v="One year"/>
    <s v="No"/>
    <s v="Credit card"/>
    <s v="No"/>
    <s v="Yes"/>
    <n v="2"/>
    <n v="26.65"/>
    <n v="27.93"/>
    <x v="0"/>
  </r>
  <r>
    <x v="200"/>
    <s v="Male"/>
    <n v="55"/>
    <s v="No"/>
    <n v="72"/>
    <x v="0"/>
    <s v="Month-to-month"/>
    <s v="No"/>
    <s v="Electronic check"/>
    <s v="No"/>
    <s v="Yes"/>
    <n v="2"/>
    <n v="26.01"/>
    <n v="1880.89"/>
    <x v="0"/>
  </r>
  <r>
    <x v="201"/>
    <s v="Female"/>
    <n v="30"/>
    <s v="No"/>
    <n v="38"/>
    <x v="3"/>
    <s v="Month-to-month"/>
    <s v="DSL"/>
    <s v="Electronic check"/>
    <s v="Yes"/>
    <s v="No"/>
    <n v="2"/>
    <n v="49.24"/>
    <n v="1828.52"/>
    <x v="0"/>
  </r>
  <r>
    <x v="202"/>
    <s v="Male"/>
    <n v="73"/>
    <s v="Yes"/>
    <n v="6"/>
    <x v="2"/>
    <s v="Month-to-month"/>
    <s v="DSL"/>
    <s v="Electronic check"/>
    <s v="No"/>
    <s v="No"/>
    <n v="5"/>
    <n v="68.14"/>
    <n v="376.28"/>
    <x v="1"/>
  </r>
  <r>
    <x v="203"/>
    <s v="Male"/>
    <n v="64"/>
    <s v="Yes"/>
    <n v="25"/>
    <x v="3"/>
    <s v="Month-to-month"/>
    <s v="DSL"/>
    <s v="Credit card"/>
    <s v="No"/>
    <s v="No"/>
    <n v="5"/>
    <n v="56.99"/>
    <n v="1374.13"/>
    <x v="0"/>
  </r>
  <r>
    <x v="204"/>
    <s v="Female"/>
    <n v="42"/>
    <s v="No"/>
    <n v="17"/>
    <x v="4"/>
    <s v="Two year"/>
    <s v="No"/>
    <s v="Electronic check"/>
    <s v="No"/>
    <s v="No"/>
    <n v="4"/>
    <n v="41.29"/>
    <n v="703.56"/>
    <x v="1"/>
  </r>
  <r>
    <x v="205"/>
    <s v="Male"/>
    <n v="26"/>
    <s v="No"/>
    <n v="61"/>
    <x v="0"/>
    <s v="Month-to-month"/>
    <s v="DSL"/>
    <s v="Electronic check"/>
    <s v="No"/>
    <s v="No"/>
    <n v="3"/>
    <n v="55.11"/>
    <n v="3450.12"/>
    <x v="0"/>
  </r>
  <r>
    <x v="206"/>
    <s v="Female"/>
    <n v="21"/>
    <s v="No"/>
    <n v="12"/>
    <x v="1"/>
    <s v="Month-to-month"/>
    <s v="Fiber optic"/>
    <s v="Electronic check"/>
    <s v="No"/>
    <s v="Yes"/>
    <n v="5"/>
    <n v="89.51"/>
    <n v="1027.54"/>
    <x v="1"/>
  </r>
  <r>
    <x v="207"/>
    <s v="Female"/>
    <n v="31"/>
    <s v="No"/>
    <n v="6"/>
    <x v="2"/>
    <s v="Two year"/>
    <s v="DSL"/>
    <s v="Bank transfer"/>
    <s v="Yes"/>
    <s v="No"/>
    <n v="3"/>
    <n v="55.09"/>
    <n v="311.44"/>
    <x v="0"/>
  </r>
  <r>
    <x v="208"/>
    <s v="Female"/>
    <n v="54"/>
    <s v="No"/>
    <n v="27"/>
    <x v="3"/>
    <s v="Two year"/>
    <s v="Fiber optic"/>
    <s v="Electronic check"/>
    <s v="Yes"/>
    <s v="Yes"/>
    <n v="8"/>
    <n v="84.59"/>
    <n v="2174.89"/>
    <x v="0"/>
  </r>
  <r>
    <x v="209"/>
    <s v="Male"/>
    <n v="51"/>
    <s v="No"/>
    <n v="8"/>
    <x v="1"/>
    <s v="One year"/>
    <s v="Fiber optic"/>
    <s v="Electronic check"/>
    <s v="No"/>
    <s v="No"/>
    <n v="6"/>
    <n v="101.87"/>
    <n v="795.93"/>
    <x v="1"/>
  </r>
  <r>
    <x v="210"/>
    <s v="Male"/>
    <n v="28"/>
    <s v="No"/>
    <n v="65"/>
    <x v="0"/>
    <s v="Month-to-month"/>
    <s v="Fiber optic"/>
    <s v="Electronic check"/>
    <s v="Yes"/>
    <s v="No"/>
    <n v="4"/>
    <n v="85.8"/>
    <n v="5263.24"/>
    <x v="0"/>
  </r>
  <r>
    <x v="211"/>
    <s v="Male"/>
    <n v="58"/>
    <s v="No"/>
    <n v="57"/>
    <x v="0"/>
    <s v="Month-to-month"/>
    <s v="DSL"/>
    <s v="Bank transfer"/>
    <s v="No"/>
    <s v="No"/>
    <n v="3"/>
    <n v="58.38"/>
    <n v="3144.94"/>
    <x v="1"/>
  </r>
  <r>
    <x v="212"/>
    <s v="Male"/>
    <n v="73"/>
    <s v="Yes"/>
    <n v="40"/>
    <x v="3"/>
    <s v="Month-to-month"/>
    <s v="No"/>
    <s v="Bank transfer"/>
    <s v="No"/>
    <s v="No"/>
    <n v="3"/>
    <n v="32.97"/>
    <n v="1222.53"/>
    <x v="0"/>
  </r>
  <r>
    <x v="213"/>
    <s v="Male"/>
    <n v="20"/>
    <s v="No"/>
    <n v="14"/>
    <x v="4"/>
    <s v="Month-to-month"/>
    <s v="Fiber optic"/>
    <s v="Bank transfer"/>
    <s v="No"/>
    <s v="No"/>
    <n v="4"/>
    <n v="76.77"/>
    <n v="1136.1199999999999"/>
    <x v="1"/>
  </r>
  <r>
    <x v="214"/>
    <s v="Male"/>
    <n v="45"/>
    <s v="No"/>
    <n v="35"/>
    <x v="3"/>
    <s v="Month-to-month"/>
    <s v="Fiber optic"/>
    <s v="Credit card"/>
    <s v="Yes"/>
    <s v="No"/>
    <n v="3"/>
    <n v="65.040000000000006"/>
    <n v="2174.33"/>
    <x v="0"/>
  </r>
  <r>
    <x v="215"/>
    <s v="Male"/>
    <n v="46"/>
    <s v="No"/>
    <n v="48"/>
    <x v="3"/>
    <s v="Month-to-month"/>
    <s v="Fiber optic"/>
    <s v="Credit card"/>
    <s v="No"/>
    <s v="Yes"/>
    <n v="8"/>
    <n v="92.66"/>
    <n v="4676.76"/>
    <x v="0"/>
  </r>
  <r>
    <x v="216"/>
    <s v="Female"/>
    <n v="26"/>
    <s v="No"/>
    <n v="56"/>
    <x v="0"/>
    <s v="Two year"/>
    <s v="DSL"/>
    <s v="Mailed check"/>
    <s v="Yes"/>
    <s v="No"/>
    <n v="4"/>
    <n v="60.23"/>
    <n v="3339.59"/>
    <x v="0"/>
  </r>
  <r>
    <x v="217"/>
    <s v="Male"/>
    <n v="20"/>
    <s v="No"/>
    <n v="49"/>
    <x v="0"/>
    <s v="Month-to-month"/>
    <s v="Fiber optic"/>
    <s v="Credit card"/>
    <s v="No"/>
    <s v="No"/>
    <n v="5"/>
    <n v="82.82"/>
    <n v="4144.17"/>
    <x v="0"/>
  </r>
  <r>
    <x v="218"/>
    <s v="Female"/>
    <n v="42"/>
    <s v="No"/>
    <n v="13"/>
    <x v="4"/>
    <s v="One year"/>
    <s v="Fiber optic"/>
    <s v="Bank transfer"/>
    <s v="No"/>
    <s v="Yes"/>
    <n v="2"/>
    <n v="83.27"/>
    <n v="1009.02"/>
    <x v="0"/>
  </r>
  <r>
    <x v="219"/>
    <s v="Male"/>
    <n v="51"/>
    <s v="No"/>
    <n v="61"/>
    <x v="0"/>
    <s v="One year"/>
    <s v="Fiber optic"/>
    <s v="Credit card"/>
    <s v="No"/>
    <s v="Yes"/>
    <n v="7"/>
    <n v="95.7"/>
    <n v="5915.77"/>
    <x v="0"/>
  </r>
  <r>
    <x v="220"/>
    <s v="Male"/>
    <n v="29"/>
    <s v="No"/>
    <n v="49"/>
    <x v="0"/>
    <s v="Month-to-month"/>
    <s v="DSL"/>
    <s v="Mailed check"/>
    <s v="No"/>
    <s v="No"/>
    <n v="5"/>
    <n v="69.819999999999993"/>
    <n v="3306.23"/>
    <x v="0"/>
  </r>
  <r>
    <x v="221"/>
    <s v="Male"/>
    <n v="59"/>
    <s v="No"/>
    <n v="46"/>
    <x v="3"/>
    <s v="One year"/>
    <s v="Fiber optic"/>
    <s v="Bank transfer"/>
    <s v="Yes"/>
    <s v="Yes"/>
    <n v="8"/>
    <n v="98.78"/>
    <n v="4249.59"/>
    <x v="0"/>
  </r>
  <r>
    <x v="222"/>
    <s v="Female"/>
    <n v="26"/>
    <s v="No"/>
    <n v="62"/>
    <x v="0"/>
    <s v="Month-to-month"/>
    <s v="DSL"/>
    <s v="Mailed check"/>
    <s v="No"/>
    <s v="Yes"/>
    <n v="6"/>
    <n v="68.14"/>
    <n v="4500.62"/>
    <x v="0"/>
  </r>
  <r>
    <x v="223"/>
    <s v="Female"/>
    <n v="32"/>
    <s v="No"/>
    <n v="8"/>
    <x v="1"/>
    <s v="Month-to-month"/>
    <s v="Fiber optic"/>
    <s v="Credit card"/>
    <s v="Yes"/>
    <s v="No"/>
    <n v="4"/>
    <n v="82.18"/>
    <n v="668.34"/>
    <x v="0"/>
  </r>
  <r>
    <x v="224"/>
    <s v="Female"/>
    <n v="57"/>
    <s v="No"/>
    <n v="43"/>
    <x v="3"/>
    <s v="One year"/>
    <s v="DSL"/>
    <s v="Electronic check"/>
    <s v="Yes"/>
    <s v="Yes"/>
    <n v="6"/>
    <n v="53.11"/>
    <n v="2189.35"/>
    <x v="0"/>
  </r>
  <r>
    <x v="225"/>
    <s v="Female"/>
    <n v="42"/>
    <s v="No"/>
    <n v="20"/>
    <x v="4"/>
    <s v="Month-to-month"/>
    <s v="Fiber optic"/>
    <s v="Electronic check"/>
    <s v="No"/>
    <s v="No"/>
    <n v="5"/>
    <n v="81.180000000000007"/>
    <n v="1602.73"/>
    <x v="0"/>
  </r>
  <r>
    <x v="226"/>
    <s v="Male"/>
    <n v="22"/>
    <s v="No"/>
    <n v="39"/>
    <x v="3"/>
    <s v="Two year"/>
    <s v="DSL"/>
    <s v="Mailed check"/>
    <s v="No"/>
    <s v="No"/>
    <n v="1"/>
    <n v="37.22"/>
    <n v="1418.34"/>
    <x v="0"/>
  </r>
  <r>
    <x v="227"/>
    <s v="Female"/>
    <n v="28"/>
    <s v="No"/>
    <n v="49"/>
    <x v="0"/>
    <s v="Month-to-month"/>
    <s v="Fiber optic"/>
    <s v="Electronic check"/>
    <s v="No"/>
    <s v="No"/>
    <n v="3"/>
    <n v="66.739999999999995"/>
    <n v="3375.21"/>
    <x v="0"/>
  </r>
  <r>
    <x v="228"/>
    <s v="Male"/>
    <n v="51"/>
    <s v="No"/>
    <n v="64"/>
    <x v="0"/>
    <s v="One year"/>
    <s v="DSL"/>
    <s v="Bank transfer"/>
    <s v="No"/>
    <s v="Yes"/>
    <n v="3"/>
    <n v="63.36"/>
    <n v="4124.74"/>
    <x v="0"/>
  </r>
  <r>
    <x v="229"/>
    <s v="Male"/>
    <n v="41"/>
    <s v="No"/>
    <n v="62"/>
    <x v="0"/>
    <s v="Month-to-month"/>
    <s v="No"/>
    <s v="Electronic check"/>
    <s v="No"/>
    <s v="No"/>
    <n v="2"/>
    <n v="25.46"/>
    <n v="1457.23"/>
    <x v="0"/>
  </r>
  <r>
    <x v="230"/>
    <s v="Female"/>
    <n v="32"/>
    <s v="No"/>
    <n v="54"/>
    <x v="0"/>
    <s v="Month-to-month"/>
    <s v="No"/>
    <s v="Electronic check"/>
    <s v="No"/>
    <s v="No"/>
    <n v="4"/>
    <n v="31.73"/>
    <n v="1630.58"/>
    <x v="0"/>
  </r>
  <r>
    <x v="231"/>
    <s v="Female"/>
    <n v="55"/>
    <s v="No"/>
    <n v="9"/>
    <x v="1"/>
    <s v="Month-to-month"/>
    <s v="DSL"/>
    <s v="Credit card"/>
    <s v="No"/>
    <s v="Yes"/>
    <n v="7"/>
    <n v="73.73"/>
    <n v="661.25"/>
    <x v="0"/>
  </r>
  <r>
    <x v="232"/>
    <s v="Female"/>
    <n v="25"/>
    <s v="No"/>
    <n v="37"/>
    <x v="3"/>
    <s v="One year"/>
    <s v="DSL"/>
    <s v="Mailed check"/>
    <s v="Yes"/>
    <s v="Yes"/>
    <n v="6"/>
    <n v="66.52"/>
    <n v="2439.77"/>
    <x v="0"/>
  </r>
  <r>
    <x v="233"/>
    <s v="Female"/>
    <n v="22"/>
    <s v="No"/>
    <n v="49"/>
    <x v="0"/>
    <s v="Two year"/>
    <s v="No"/>
    <s v="Bank transfer"/>
    <s v="No"/>
    <s v="No"/>
    <n v="7"/>
    <n v="56.12"/>
    <n v="2757.22"/>
    <x v="0"/>
  </r>
  <r>
    <x v="234"/>
    <s v="Female"/>
    <n v="65"/>
    <s v="Yes"/>
    <n v="41"/>
    <x v="3"/>
    <s v="Two year"/>
    <s v="DSL"/>
    <s v="Electronic check"/>
    <s v="Yes"/>
    <s v="Yes"/>
    <n v="5"/>
    <n v="75.290000000000006"/>
    <n v="3192.99"/>
    <x v="0"/>
  </r>
  <r>
    <x v="235"/>
    <s v="Female"/>
    <n v="43"/>
    <s v="No"/>
    <n v="17"/>
    <x v="4"/>
    <s v="Month-to-month"/>
    <s v="Fiber optic"/>
    <s v="Electronic check"/>
    <s v="No"/>
    <s v="No"/>
    <n v="3"/>
    <n v="79.010000000000005"/>
    <n v="1382.29"/>
    <x v="1"/>
  </r>
  <r>
    <x v="236"/>
    <s v="Female"/>
    <n v="35"/>
    <s v="No"/>
    <n v="21"/>
    <x v="4"/>
    <s v="One year"/>
    <s v="No"/>
    <s v="Credit card"/>
    <s v="No"/>
    <s v="Yes"/>
    <n v="2"/>
    <n v="22.15"/>
    <n v="455.68"/>
    <x v="0"/>
  </r>
  <r>
    <x v="237"/>
    <s v="Female"/>
    <n v="23"/>
    <s v="No"/>
    <n v="51"/>
    <x v="0"/>
    <s v="One year"/>
    <s v="Fiber optic"/>
    <s v="Credit card"/>
    <s v="No"/>
    <s v="Yes"/>
    <n v="5"/>
    <n v="89.53"/>
    <n v="4841.88"/>
    <x v="0"/>
  </r>
  <r>
    <x v="238"/>
    <s v="Male"/>
    <n v="54"/>
    <s v="No"/>
    <n v="59"/>
    <x v="0"/>
    <s v="One year"/>
    <s v="Fiber optic"/>
    <s v="Mailed check"/>
    <s v="No"/>
    <s v="Yes"/>
    <n v="4"/>
    <n v="77.459999999999994"/>
    <n v="4250.55"/>
    <x v="0"/>
  </r>
  <r>
    <x v="239"/>
    <s v="Female"/>
    <n v="65"/>
    <s v="Yes"/>
    <n v="39"/>
    <x v="3"/>
    <s v="Month-to-month"/>
    <s v="Fiber optic"/>
    <s v="Credit card"/>
    <s v="Yes"/>
    <s v="No"/>
    <n v="3"/>
    <n v="76.180000000000007"/>
    <n v="3011.19"/>
    <x v="0"/>
  </r>
  <r>
    <x v="240"/>
    <s v="Female"/>
    <n v="30"/>
    <s v="No"/>
    <n v="55"/>
    <x v="0"/>
    <s v="One year"/>
    <s v="Fiber optic"/>
    <s v="Credit card"/>
    <s v="No"/>
    <s v="No"/>
    <n v="5"/>
    <n v="71.430000000000007"/>
    <n v="4211.32"/>
    <x v="0"/>
  </r>
  <r>
    <x v="241"/>
    <s v="Male"/>
    <n v="45"/>
    <s v="No"/>
    <n v="41"/>
    <x v="3"/>
    <s v="Two year"/>
    <s v="DSL"/>
    <s v="Credit card"/>
    <s v="No"/>
    <s v="Yes"/>
    <n v="1"/>
    <n v="50.52"/>
    <n v="2087.59"/>
    <x v="0"/>
  </r>
  <r>
    <x v="242"/>
    <s v="Female"/>
    <n v="22"/>
    <s v="No"/>
    <n v="39"/>
    <x v="3"/>
    <s v="Month-to-month"/>
    <s v="Fiber optic"/>
    <s v="Mailed check"/>
    <s v="No"/>
    <s v="No"/>
    <n v="3"/>
    <n v="65.89"/>
    <n v="2551.25"/>
    <x v="0"/>
  </r>
  <r>
    <x v="243"/>
    <s v="Male"/>
    <n v="30"/>
    <s v="No"/>
    <n v="13"/>
    <x v="4"/>
    <s v="Two year"/>
    <s v="Fiber optic"/>
    <s v="Electronic check"/>
    <s v="No"/>
    <s v="No"/>
    <n v="5"/>
    <n v="86.74"/>
    <n v="1061.57"/>
    <x v="0"/>
  </r>
  <r>
    <x v="244"/>
    <s v="Male"/>
    <n v="34"/>
    <s v="No"/>
    <n v="64"/>
    <x v="0"/>
    <s v="One year"/>
    <s v="Fiber optic"/>
    <s v="Bank transfer"/>
    <s v="No"/>
    <s v="No"/>
    <n v="5"/>
    <n v="77.94"/>
    <n v="5235.72"/>
    <x v="0"/>
  </r>
  <r>
    <x v="245"/>
    <s v="Female"/>
    <n v="67"/>
    <s v="Yes"/>
    <n v="11"/>
    <x v="1"/>
    <s v="Month-to-month"/>
    <s v="DSL"/>
    <s v="Bank transfer"/>
    <s v="No"/>
    <s v="No"/>
    <n v="3"/>
    <n v="60.06"/>
    <n v="647.32000000000005"/>
    <x v="1"/>
  </r>
  <r>
    <x v="246"/>
    <s v="Male"/>
    <n v="57"/>
    <s v="No"/>
    <n v="19"/>
    <x v="4"/>
    <s v="Month-to-month"/>
    <s v="DSL"/>
    <s v="Electronic check"/>
    <s v="No"/>
    <s v="No"/>
    <n v="4"/>
    <n v="49.93"/>
    <n v="979.22"/>
    <x v="0"/>
  </r>
  <r>
    <x v="247"/>
    <s v="Male"/>
    <n v="62"/>
    <s v="Yes"/>
    <n v="11"/>
    <x v="1"/>
    <s v="Month-to-month"/>
    <s v="Fiber optic"/>
    <s v="Credit card"/>
    <s v="Yes"/>
    <s v="No"/>
    <n v="3"/>
    <n v="64.069999999999993"/>
    <n v="670.66"/>
    <x v="1"/>
  </r>
  <r>
    <x v="248"/>
    <s v="Male"/>
    <n v="49"/>
    <s v="No"/>
    <n v="46"/>
    <x v="3"/>
    <s v="Month-to-month"/>
    <s v="Fiber optic"/>
    <s v="Electronic check"/>
    <s v="Yes"/>
    <s v="No"/>
    <n v="4"/>
    <n v="75.209999999999994"/>
    <n v="3206.06"/>
    <x v="0"/>
  </r>
  <r>
    <x v="249"/>
    <s v="Male"/>
    <n v="46"/>
    <s v="No"/>
    <n v="45"/>
    <x v="3"/>
    <s v="Two year"/>
    <s v="Fiber optic"/>
    <s v="Mailed check"/>
    <s v="No"/>
    <s v="No"/>
    <n v="4"/>
    <n v="80.86"/>
    <n v="3525.44"/>
    <x v="0"/>
  </r>
  <r>
    <x v="250"/>
    <s v="Female"/>
    <n v="68"/>
    <s v="Yes"/>
    <n v="1"/>
    <x v="2"/>
    <s v="Month-to-month"/>
    <s v="No"/>
    <s v="Electronic check"/>
    <s v="Yes"/>
    <s v="Yes"/>
    <n v="3"/>
    <n v="28.98"/>
    <n v="27.97"/>
    <x v="0"/>
  </r>
  <r>
    <x v="251"/>
    <s v="Male"/>
    <n v="75"/>
    <s v="Yes"/>
    <n v="40"/>
    <x v="3"/>
    <s v="Two year"/>
    <s v="DSL"/>
    <s v="Bank transfer"/>
    <s v="No"/>
    <s v="Yes"/>
    <n v="4"/>
    <n v="60.43"/>
    <n v="2561.64"/>
    <x v="0"/>
  </r>
  <r>
    <x v="252"/>
    <s v="Female"/>
    <n v="20"/>
    <s v="No"/>
    <n v="19"/>
    <x v="4"/>
    <s v="Two year"/>
    <s v="DSL"/>
    <s v="Electronic check"/>
    <s v="No"/>
    <s v="No"/>
    <n v="3"/>
    <n v="61.12"/>
    <n v="1229.04"/>
    <x v="0"/>
  </r>
  <r>
    <x v="253"/>
    <s v="Male"/>
    <n v="73"/>
    <s v="Yes"/>
    <n v="72"/>
    <x v="0"/>
    <s v="Month-to-month"/>
    <s v="Fiber optic"/>
    <s v="Credit card"/>
    <s v="No"/>
    <s v="No"/>
    <n v="5"/>
    <n v="73.73"/>
    <n v="5337.35"/>
    <x v="0"/>
  </r>
  <r>
    <x v="254"/>
    <s v="Male"/>
    <n v="57"/>
    <s v="No"/>
    <n v="72"/>
    <x v="0"/>
    <s v="Two year"/>
    <s v="DSL"/>
    <s v="Bank transfer"/>
    <s v="No"/>
    <s v="No"/>
    <n v="5"/>
    <n v="64.44"/>
    <n v="4282.6099999999997"/>
    <x v="0"/>
  </r>
  <r>
    <x v="255"/>
    <s v="Male"/>
    <n v="51"/>
    <s v="No"/>
    <n v="61"/>
    <x v="0"/>
    <s v="Two year"/>
    <s v="DSL"/>
    <s v="Credit card"/>
    <s v="Yes"/>
    <s v="No"/>
    <n v="2"/>
    <n v="54.78"/>
    <n v="3196.33"/>
    <x v="0"/>
  </r>
  <r>
    <x v="256"/>
    <s v="Male"/>
    <n v="57"/>
    <s v="No"/>
    <n v="12"/>
    <x v="1"/>
    <s v="One year"/>
    <s v="Fiber optic"/>
    <s v="Credit card"/>
    <s v="No"/>
    <s v="Yes"/>
    <n v="2"/>
    <n v="69.650000000000006"/>
    <n v="854.39"/>
    <x v="0"/>
  </r>
  <r>
    <x v="257"/>
    <s v="Female"/>
    <n v="44"/>
    <s v="No"/>
    <n v="61"/>
    <x v="0"/>
    <s v="One year"/>
    <s v="Fiber optic"/>
    <s v="Bank transfer"/>
    <s v="No"/>
    <s v="No"/>
    <n v="3"/>
    <n v="74.42"/>
    <n v="4250.1099999999997"/>
    <x v="0"/>
  </r>
  <r>
    <x v="258"/>
    <s v="Female"/>
    <n v="30"/>
    <s v="No"/>
    <n v="33"/>
    <x v="3"/>
    <s v="Two year"/>
    <s v="Fiber optic"/>
    <s v="Credit card"/>
    <s v="No"/>
    <s v="Yes"/>
    <n v="8"/>
    <n v="85.14"/>
    <n v="2899.81"/>
    <x v="0"/>
  </r>
  <r>
    <x v="259"/>
    <s v="Male"/>
    <n v="62"/>
    <s v="Yes"/>
    <n v="45"/>
    <x v="3"/>
    <s v="One year"/>
    <s v="No"/>
    <s v="Electronic check"/>
    <s v="Yes"/>
    <s v="Yes"/>
    <n v="2"/>
    <n v="36.06"/>
    <n v="1495.99"/>
    <x v="0"/>
  </r>
  <r>
    <x v="260"/>
    <s v="Male"/>
    <n v="50"/>
    <s v="No"/>
    <n v="69"/>
    <x v="0"/>
    <s v="Month-to-month"/>
    <s v="No"/>
    <s v="Electronic check"/>
    <s v="No"/>
    <s v="No"/>
    <n v="8"/>
    <n v="57.43"/>
    <n v="4078.4"/>
    <x v="0"/>
  </r>
  <r>
    <x v="261"/>
    <s v="Female"/>
    <n v="23"/>
    <s v="No"/>
    <n v="8"/>
    <x v="1"/>
    <s v="Two year"/>
    <s v="DSL"/>
    <s v="Electronic check"/>
    <s v="Yes"/>
    <s v="Yes"/>
    <n v="1"/>
    <n v="48.05"/>
    <n v="405.59"/>
    <x v="0"/>
  </r>
  <r>
    <x v="262"/>
    <s v="Male"/>
    <n v="41"/>
    <s v="No"/>
    <n v="25"/>
    <x v="3"/>
    <s v="One year"/>
    <s v="DSL"/>
    <s v="Electronic check"/>
    <s v="No"/>
    <s v="No"/>
    <n v="5"/>
    <n v="77.45"/>
    <n v="1926.71"/>
    <x v="0"/>
  </r>
  <r>
    <x v="263"/>
    <s v="Male"/>
    <n v="36"/>
    <s v="No"/>
    <n v="46"/>
    <x v="3"/>
    <s v="One year"/>
    <s v="Fiber optic"/>
    <s v="Credit card"/>
    <s v="Yes"/>
    <s v="No"/>
    <n v="4"/>
    <n v="77.55"/>
    <n v="3755.13"/>
    <x v="0"/>
  </r>
  <r>
    <x v="264"/>
    <s v="Male"/>
    <n v="33"/>
    <s v="No"/>
    <n v="30"/>
    <x v="3"/>
    <s v="Month-to-month"/>
    <s v="DSL"/>
    <s v="Electronic check"/>
    <s v="No"/>
    <s v="Yes"/>
    <n v="5"/>
    <n v="65.260000000000005"/>
    <n v="2045.99"/>
    <x v="1"/>
  </r>
  <r>
    <x v="265"/>
    <s v="Female"/>
    <n v="57"/>
    <s v="No"/>
    <n v="47"/>
    <x v="3"/>
    <s v="One year"/>
    <s v="DSL"/>
    <s v="Bank transfer"/>
    <s v="No"/>
    <s v="No"/>
    <n v="8"/>
    <n v="84.02"/>
    <n v="4057.25"/>
    <x v="0"/>
  </r>
  <r>
    <x v="266"/>
    <s v="Female"/>
    <n v="45"/>
    <s v="No"/>
    <n v="49"/>
    <x v="0"/>
    <s v="Month-to-month"/>
    <s v="Fiber optic"/>
    <s v="Bank transfer"/>
    <s v="Yes"/>
    <s v="No"/>
    <n v="6"/>
    <n v="86.66"/>
    <n v="4209.07"/>
    <x v="0"/>
  </r>
  <r>
    <x v="267"/>
    <s v="Female"/>
    <n v="50"/>
    <s v="No"/>
    <n v="47"/>
    <x v="3"/>
    <s v="Two year"/>
    <s v="No"/>
    <s v="Bank transfer"/>
    <s v="Yes"/>
    <s v="Yes"/>
    <n v="4"/>
    <n v="35.979999999999997"/>
    <n v="1629.34"/>
    <x v="0"/>
  </r>
  <r>
    <x v="268"/>
    <s v="Male"/>
    <n v="65"/>
    <s v="Yes"/>
    <n v="18"/>
    <x v="4"/>
    <s v="Month-to-month"/>
    <s v="Fiber optic"/>
    <s v="Mailed check"/>
    <s v="No"/>
    <s v="Yes"/>
    <n v="4"/>
    <n v="81.790000000000006"/>
    <n v="1557.22"/>
    <x v="0"/>
  </r>
  <r>
    <x v="269"/>
    <s v="Male"/>
    <n v="58"/>
    <s v="No"/>
    <n v="66"/>
    <x v="0"/>
    <s v="Month-to-month"/>
    <s v="Fiber optic"/>
    <s v="Credit card"/>
    <s v="Yes"/>
    <s v="No"/>
    <n v="5"/>
    <n v="78.2"/>
    <n v="5283.9"/>
    <x v="0"/>
  </r>
  <r>
    <x v="270"/>
    <s v="Female"/>
    <n v="30"/>
    <s v="No"/>
    <n v="68"/>
    <x v="0"/>
    <s v="Month-to-month"/>
    <s v="DSL"/>
    <s v="Electronic check"/>
    <s v="No"/>
    <s v="No"/>
    <n v="4"/>
    <n v="67.400000000000006"/>
    <n v="4801.74"/>
    <x v="0"/>
  </r>
  <r>
    <x v="271"/>
    <s v="Female"/>
    <n v="60"/>
    <s v="Yes"/>
    <n v="33"/>
    <x v="3"/>
    <s v="Month-to-month"/>
    <s v="DSL"/>
    <s v="Electronic check"/>
    <s v="No"/>
    <s v="Yes"/>
    <n v="5"/>
    <n v="66.599999999999994"/>
    <n v="2216.0700000000002"/>
    <x v="0"/>
  </r>
  <r>
    <x v="272"/>
    <s v="Female"/>
    <n v="62"/>
    <s v="Yes"/>
    <n v="36"/>
    <x v="3"/>
    <s v="One year"/>
    <s v="DSL"/>
    <s v="Bank transfer"/>
    <s v="No"/>
    <s v="Yes"/>
    <n v="6"/>
    <n v="60.97"/>
    <n v="2079.6799999999998"/>
    <x v="0"/>
  </r>
  <r>
    <x v="273"/>
    <s v="Female"/>
    <n v="42"/>
    <s v="No"/>
    <n v="19"/>
    <x v="4"/>
    <s v="Two year"/>
    <s v="Fiber optic"/>
    <s v="Bank transfer"/>
    <s v="No"/>
    <s v="No"/>
    <n v="6"/>
    <n v="78.27"/>
    <n v="1601.21"/>
    <x v="0"/>
  </r>
  <r>
    <x v="274"/>
    <s v="Male"/>
    <n v="70"/>
    <s v="Yes"/>
    <n v="28"/>
    <x v="3"/>
    <s v="Two year"/>
    <s v="No"/>
    <s v="Mailed check"/>
    <s v="Yes"/>
    <s v="No"/>
    <n v="1"/>
    <n v="30.09"/>
    <n v="799.75"/>
    <x v="0"/>
  </r>
  <r>
    <x v="275"/>
    <s v="Female"/>
    <n v="59"/>
    <s v="No"/>
    <n v="40"/>
    <x v="3"/>
    <s v="Month-to-month"/>
    <s v="DSL"/>
    <s v="Credit card"/>
    <s v="No"/>
    <s v="Yes"/>
    <n v="7"/>
    <n v="72.790000000000006"/>
    <n v="3103.18"/>
    <x v="0"/>
  </r>
  <r>
    <x v="276"/>
    <s v="Male"/>
    <n v="53"/>
    <s v="No"/>
    <n v="15"/>
    <x v="4"/>
    <s v="Month-to-month"/>
    <s v="DSL"/>
    <s v="Mailed check"/>
    <s v="Yes"/>
    <s v="No"/>
    <n v="4"/>
    <n v="50.29"/>
    <n v="719.12"/>
    <x v="0"/>
  </r>
  <r>
    <x v="277"/>
    <s v="Female"/>
    <n v="44"/>
    <s v="No"/>
    <n v="41"/>
    <x v="3"/>
    <s v="Two year"/>
    <s v="No"/>
    <s v="Mailed check"/>
    <s v="No"/>
    <s v="No"/>
    <n v="2"/>
    <n v="38.5"/>
    <n v="1546.61"/>
    <x v="0"/>
  </r>
  <r>
    <x v="278"/>
    <s v="Male"/>
    <n v="55"/>
    <s v="No"/>
    <n v="39"/>
    <x v="3"/>
    <s v="Two year"/>
    <s v="DSL"/>
    <s v="Electronic check"/>
    <s v="No"/>
    <s v="No"/>
    <n v="7"/>
    <n v="75.66"/>
    <n v="2922.45"/>
    <x v="0"/>
  </r>
  <r>
    <x v="279"/>
    <s v="Female"/>
    <n v="24"/>
    <s v="No"/>
    <n v="2"/>
    <x v="2"/>
    <s v="Month-to-month"/>
    <s v="Fiber optic"/>
    <s v="Bank transfer"/>
    <s v="No"/>
    <s v="Yes"/>
    <n v="2"/>
    <n v="73.39"/>
    <n v="156.68"/>
    <x v="0"/>
  </r>
  <r>
    <x v="280"/>
    <s v="Female"/>
    <n v="22"/>
    <s v="No"/>
    <n v="63"/>
    <x v="0"/>
    <s v="Month-to-month"/>
    <s v="DSL"/>
    <s v="Bank transfer"/>
    <s v="Yes"/>
    <s v="No"/>
    <n v="5"/>
    <n v="68.3"/>
    <n v="4570.16"/>
    <x v="0"/>
  </r>
  <r>
    <x v="281"/>
    <s v="Female"/>
    <n v="60"/>
    <s v="Yes"/>
    <n v="29"/>
    <x v="3"/>
    <s v="Month-to-month"/>
    <s v="Fiber optic"/>
    <s v="Electronic check"/>
    <s v="No"/>
    <s v="Yes"/>
    <n v="3"/>
    <n v="68.069999999999993"/>
    <n v="2076.12"/>
    <x v="0"/>
  </r>
  <r>
    <x v="282"/>
    <s v="Female"/>
    <n v="62"/>
    <s v="Yes"/>
    <n v="66"/>
    <x v="0"/>
    <s v="Two year"/>
    <s v="Fiber optic"/>
    <s v="Electronic check"/>
    <s v="No"/>
    <s v="No"/>
    <n v="6"/>
    <n v="80.48"/>
    <n v="5206.87"/>
    <x v="0"/>
  </r>
  <r>
    <x v="283"/>
    <s v="Male"/>
    <n v="75"/>
    <s v="Yes"/>
    <n v="51"/>
    <x v="0"/>
    <s v="One year"/>
    <s v="Fiber optic"/>
    <s v="Credit card"/>
    <s v="No"/>
    <s v="No"/>
    <n v="2"/>
    <n v="69.180000000000007"/>
    <n v="3248.46"/>
    <x v="0"/>
  </r>
  <r>
    <x v="284"/>
    <s v="Female"/>
    <n v="74"/>
    <s v="Yes"/>
    <n v="10"/>
    <x v="1"/>
    <s v="Month-to-month"/>
    <s v="No"/>
    <s v="Mailed check"/>
    <s v="No"/>
    <s v="No"/>
    <n v="1"/>
    <n v="24.56"/>
    <n v="252.74"/>
    <x v="0"/>
  </r>
  <r>
    <x v="285"/>
    <s v="Male"/>
    <n v="68"/>
    <s v="Yes"/>
    <n v="14"/>
    <x v="4"/>
    <s v="Month-to-month"/>
    <s v="Fiber optic"/>
    <s v="Electronic check"/>
    <s v="No"/>
    <s v="No"/>
    <n v="4"/>
    <n v="82.52"/>
    <n v="1138.82"/>
    <x v="0"/>
  </r>
  <r>
    <x v="286"/>
    <s v="Male"/>
    <n v="48"/>
    <s v="No"/>
    <n v="51"/>
    <x v="0"/>
    <s v="Two year"/>
    <s v="DSL"/>
    <s v="Bank transfer"/>
    <s v="Yes"/>
    <s v="No"/>
    <n v="2"/>
    <n v="56.64"/>
    <n v="3007.45"/>
    <x v="1"/>
  </r>
  <r>
    <x v="287"/>
    <s v="Male"/>
    <n v="40"/>
    <s v="No"/>
    <n v="39"/>
    <x v="3"/>
    <s v="Month-to-month"/>
    <s v="Fiber optic"/>
    <s v="Electronic check"/>
    <s v="No"/>
    <s v="No"/>
    <n v="6"/>
    <n v="82.08"/>
    <n v="3352.14"/>
    <x v="1"/>
  </r>
  <r>
    <x v="288"/>
    <s v="Male"/>
    <n v="59"/>
    <s v="No"/>
    <n v="28"/>
    <x v="3"/>
    <s v="Month-to-month"/>
    <s v="DSL"/>
    <s v="Credit card"/>
    <s v="No"/>
    <s v="Yes"/>
    <n v="4"/>
    <n v="52.93"/>
    <n v="1467.75"/>
    <x v="0"/>
  </r>
  <r>
    <x v="289"/>
    <s v="Female"/>
    <n v="27"/>
    <s v="No"/>
    <n v="3"/>
    <x v="2"/>
    <s v="One year"/>
    <s v="DSL"/>
    <s v="Electronic check"/>
    <s v="No"/>
    <s v="No"/>
    <n v="4"/>
    <n v="64.98"/>
    <n v="202.68"/>
    <x v="1"/>
  </r>
  <r>
    <x v="290"/>
    <s v="Male"/>
    <n v="49"/>
    <s v="No"/>
    <n v="70"/>
    <x v="0"/>
    <s v="Month-to-month"/>
    <s v="DSL"/>
    <s v="Bank transfer"/>
    <s v="No"/>
    <s v="Yes"/>
    <n v="3"/>
    <n v="48.13"/>
    <n v="3552.35"/>
    <x v="0"/>
  </r>
  <r>
    <x v="291"/>
    <s v="Male"/>
    <n v="60"/>
    <s v="Yes"/>
    <n v="27"/>
    <x v="3"/>
    <s v="Month-to-month"/>
    <s v="Fiber optic"/>
    <s v="Mailed check"/>
    <s v="Yes"/>
    <s v="Yes"/>
    <n v="6"/>
    <n v="85"/>
    <n v="2452.34"/>
    <x v="0"/>
  </r>
  <r>
    <x v="292"/>
    <s v="Male"/>
    <n v="70"/>
    <s v="Yes"/>
    <n v="2"/>
    <x v="2"/>
    <s v="Two year"/>
    <s v="DSL"/>
    <s v="Credit card"/>
    <s v="No"/>
    <s v="No"/>
    <n v="3"/>
    <n v="47.93"/>
    <n v="97.12"/>
    <x v="0"/>
  </r>
  <r>
    <x v="293"/>
    <s v="Female"/>
    <n v="47"/>
    <s v="No"/>
    <n v="38"/>
    <x v="3"/>
    <s v="Two year"/>
    <s v="No"/>
    <s v="Electronic check"/>
    <s v="No"/>
    <s v="No"/>
    <n v="3"/>
    <n v="32.86"/>
    <n v="1304.32"/>
    <x v="0"/>
  </r>
  <r>
    <x v="294"/>
    <s v="Female"/>
    <n v="56"/>
    <s v="No"/>
    <n v="3"/>
    <x v="2"/>
    <s v="Two year"/>
    <s v="DSL"/>
    <s v="Bank transfer"/>
    <s v="Yes"/>
    <s v="No"/>
    <n v="5"/>
    <n v="52.46"/>
    <n v="157.24"/>
    <x v="0"/>
  </r>
  <r>
    <x v="295"/>
    <s v="Female"/>
    <n v="48"/>
    <s v="No"/>
    <n v="16"/>
    <x v="4"/>
    <s v="Two year"/>
    <s v="DSL"/>
    <s v="Bank transfer"/>
    <s v="No"/>
    <s v="No"/>
    <n v="5"/>
    <n v="71.98"/>
    <n v="1067.22"/>
    <x v="0"/>
  </r>
  <r>
    <x v="296"/>
    <s v="Female"/>
    <n v="35"/>
    <s v="No"/>
    <n v="40"/>
    <x v="3"/>
    <s v="One year"/>
    <s v="No"/>
    <s v="Mailed check"/>
    <s v="No"/>
    <s v="No"/>
    <n v="2"/>
    <n v="40.090000000000003"/>
    <n v="1515.14"/>
    <x v="0"/>
  </r>
  <r>
    <x v="297"/>
    <s v="Male"/>
    <n v="53"/>
    <s v="No"/>
    <n v="2"/>
    <x v="2"/>
    <s v="Two year"/>
    <s v="Fiber optic"/>
    <s v="Mailed check"/>
    <s v="No"/>
    <s v="No"/>
    <n v="3"/>
    <n v="69.349999999999994"/>
    <n v="130.44999999999999"/>
    <x v="0"/>
  </r>
  <r>
    <x v="298"/>
    <s v="Male"/>
    <n v="19"/>
    <s v="No"/>
    <n v="41"/>
    <x v="3"/>
    <s v="Month-to-month"/>
    <s v="DSL"/>
    <s v="Bank transfer"/>
    <s v="No"/>
    <s v="Yes"/>
    <n v="3"/>
    <n v="58.24"/>
    <n v="2262.44"/>
    <x v="0"/>
  </r>
  <r>
    <x v="299"/>
    <s v="Female"/>
    <n v="31"/>
    <s v="No"/>
    <n v="12"/>
    <x v="1"/>
    <s v="One year"/>
    <s v="No"/>
    <s v="Credit card"/>
    <s v="No"/>
    <s v="No"/>
    <n v="4"/>
    <n v="30.95"/>
    <n v="342.29"/>
    <x v="0"/>
  </r>
  <r>
    <x v="300"/>
    <s v="Male"/>
    <n v="30"/>
    <s v="No"/>
    <n v="35"/>
    <x v="3"/>
    <s v="Two year"/>
    <s v="Fiber optic"/>
    <s v="Electronic check"/>
    <s v="Yes"/>
    <s v="No"/>
    <n v="3"/>
    <n v="79.349999999999994"/>
    <n v="2936.64"/>
    <x v="1"/>
  </r>
  <r>
    <x v="301"/>
    <s v="Male"/>
    <n v="46"/>
    <s v="No"/>
    <n v="65"/>
    <x v="0"/>
    <s v="Month-to-month"/>
    <s v="DSL"/>
    <s v="Electronic check"/>
    <s v="No"/>
    <s v="No"/>
    <n v="3"/>
    <n v="48.81"/>
    <n v="3203.18"/>
    <x v="0"/>
  </r>
  <r>
    <x v="302"/>
    <s v="Male"/>
    <n v="29"/>
    <s v="No"/>
    <n v="55"/>
    <x v="0"/>
    <s v="Month-to-month"/>
    <s v="Fiber optic"/>
    <s v="Credit card"/>
    <s v="No"/>
    <s v="Yes"/>
    <n v="3"/>
    <n v="83.52"/>
    <n v="4507.72"/>
    <x v="0"/>
  </r>
  <r>
    <x v="303"/>
    <s v="Female"/>
    <n v="56"/>
    <s v="No"/>
    <n v="45"/>
    <x v="3"/>
    <s v="Month-to-month"/>
    <s v="DSL"/>
    <s v="Electronic check"/>
    <s v="No"/>
    <s v="No"/>
    <n v="6"/>
    <n v="70.58"/>
    <n v="3130.25"/>
    <x v="0"/>
  </r>
  <r>
    <x v="304"/>
    <s v="Female"/>
    <n v="19"/>
    <s v="No"/>
    <n v="62"/>
    <x v="0"/>
    <s v="Month-to-month"/>
    <s v="DSL"/>
    <s v="Credit card"/>
    <s v="No"/>
    <s v="Yes"/>
    <n v="7"/>
    <n v="68.44"/>
    <n v="4218.3999999999996"/>
    <x v="0"/>
  </r>
  <r>
    <x v="305"/>
    <s v="Male"/>
    <n v="49"/>
    <s v="No"/>
    <n v="49"/>
    <x v="0"/>
    <s v="Month-to-month"/>
    <s v="Fiber optic"/>
    <s v="Bank transfer"/>
    <s v="No"/>
    <s v="Yes"/>
    <n v="4"/>
    <n v="76.14"/>
    <n v="3476.5"/>
    <x v="0"/>
  </r>
  <r>
    <x v="306"/>
    <s v="Female"/>
    <n v="30"/>
    <s v="No"/>
    <n v="25"/>
    <x v="3"/>
    <s v="Two year"/>
    <s v="DSL"/>
    <s v="Bank transfer"/>
    <s v="Yes"/>
    <s v="Yes"/>
    <n v="4"/>
    <n v="60.01"/>
    <n v="1446.16"/>
    <x v="0"/>
  </r>
  <r>
    <x v="307"/>
    <s v="Female"/>
    <n v="63"/>
    <s v="Yes"/>
    <n v="23"/>
    <x v="4"/>
    <s v="Two year"/>
    <s v="Fiber optic"/>
    <s v="Electronic check"/>
    <s v="Yes"/>
    <s v="Yes"/>
    <n v="1"/>
    <n v="60.53"/>
    <n v="1470.51"/>
    <x v="0"/>
  </r>
  <r>
    <x v="308"/>
    <s v="Female"/>
    <n v="44"/>
    <s v="No"/>
    <n v="24"/>
    <x v="4"/>
    <s v="Month-to-month"/>
    <s v="Fiber optic"/>
    <s v="Electronic check"/>
    <s v="No"/>
    <s v="No"/>
    <n v="2"/>
    <n v="78.87"/>
    <n v="1966.68"/>
    <x v="0"/>
  </r>
  <r>
    <x v="309"/>
    <s v="Female"/>
    <n v="66"/>
    <s v="Yes"/>
    <n v="38"/>
    <x v="3"/>
    <s v="Month-to-month"/>
    <s v="Fiber optic"/>
    <s v="Bank transfer"/>
    <s v="No"/>
    <s v="No"/>
    <n v="3"/>
    <n v="77.14"/>
    <n v="2961.06"/>
    <x v="0"/>
  </r>
  <r>
    <x v="310"/>
    <s v="Female"/>
    <n v="58"/>
    <s v="No"/>
    <n v="28"/>
    <x v="3"/>
    <s v="Month-to-month"/>
    <s v="No"/>
    <s v="Credit card"/>
    <s v="No"/>
    <s v="Yes"/>
    <n v="4"/>
    <n v="47.75"/>
    <n v="1332.87"/>
    <x v="0"/>
  </r>
  <r>
    <x v="311"/>
    <s v="Male"/>
    <n v="34"/>
    <s v="No"/>
    <n v="21"/>
    <x v="4"/>
    <s v="Two year"/>
    <s v="Fiber optic"/>
    <s v="Credit card"/>
    <s v="No"/>
    <s v="No"/>
    <n v="6"/>
    <n v="69.849999999999994"/>
    <n v="1410.28"/>
    <x v="0"/>
  </r>
  <r>
    <x v="312"/>
    <s v="Female"/>
    <n v="57"/>
    <s v="No"/>
    <n v="54"/>
    <x v="0"/>
    <s v="Month-to-month"/>
    <s v="No"/>
    <s v="Electronic check"/>
    <s v="No"/>
    <s v="No"/>
    <n v="3"/>
    <n v="37.11"/>
    <n v="1994.72"/>
    <x v="0"/>
  </r>
  <r>
    <x v="313"/>
    <s v="Male"/>
    <n v="48"/>
    <s v="No"/>
    <n v="18"/>
    <x v="4"/>
    <s v="Month-to-month"/>
    <s v="DSL"/>
    <s v="Electronic check"/>
    <s v="No"/>
    <s v="No"/>
    <n v="7"/>
    <n v="72.739999999999995"/>
    <n v="1329.82"/>
    <x v="0"/>
  </r>
  <r>
    <x v="314"/>
    <s v="Male"/>
    <n v="51"/>
    <s v="No"/>
    <n v="36"/>
    <x v="3"/>
    <s v="Month-to-month"/>
    <s v="Fiber optic"/>
    <s v="Electronic check"/>
    <s v="No"/>
    <s v="No"/>
    <n v="3"/>
    <n v="74.98"/>
    <n v="2791.12"/>
    <x v="0"/>
  </r>
  <r>
    <x v="315"/>
    <s v="Female"/>
    <n v="41"/>
    <s v="No"/>
    <n v="45"/>
    <x v="3"/>
    <s v="Month-to-month"/>
    <s v="DSL"/>
    <s v="Credit card"/>
    <s v="No"/>
    <s v="No"/>
    <n v="4"/>
    <n v="59.16"/>
    <n v="2520.1999999999998"/>
    <x v="0"/>
  </r>
  <r>
    <x v="316"/>
    <s v="Male"/>
    <n v="62"/>
    <s v="Yes"/>
    <n v="53"/>
    <x v="0"/>
    <s v="Month-to-month"/>
    <s v="DSL"/>
    <s v="Electronic check"/>
    <s v="No"/>
    <s v="No"/>
    <n v="3"/>
    <n v="52.75"/>
    <n v="2935.81"/>
    <x v="0"/>
  </r>
  <r>
    <x v="317"/>
    <s v="Male"/>
    <n v="52"/>
    <s v="No"/>
    <n v="30"/>
    <x v="3"/>
    <s v="Two year"/>
    <s v="DSL"/>
    <s v="Electronic check"/>
    <s v="No"/>
    <s v="No"/>
    <n v="2"/>
    <n v="66.8"/>
    <n v="1954.56"/>
    <x v="1"/>
  </r>
  <r>
    <x v="318"/>
    <s v="Male"/>
    <n v="65"/>
    <s v="Yes"/>
    <n v="60"/>
    <x v="0"/>
    <s v="One year"/>
    <s v="Fiber optic"/>
    <s v="Electronic check"/>
    <s v="Yes"/>
    <s v="No"/>
    <n v="4"/>
    <n v="80.7"/>
    <n v="4844.5200000000004"/>
    <x v="1"/>
  </r>
  <r>
    <x v="319"/>
    <s v="Female"/>
    <n v="23"/>
    <s v="No"/>
    <n v="32"/>
    <x v="3"/>
    <s v="One year"/>
    <s v="Fiber optic"/>
    <s v="Mailed check"/>
    <s v="No"/>
    <s v="No"/>
    <n v="3"/>
    <n v="75.86"/>
    <n v="2469.4299999999998"/>
    <x v="0"/>
  </r>
  <r>
    <x v="320"/>
    <s v="Female"/>
    <n v="36"/>
    <s v="No"/>
    <n v="67"/>
    <x v="0"/>
    <s v="Month-to-month"/>
    <s v="Fiber optic"/>
    <s v="Credit card"/>
    <s v="No"/>
    <s v="No"/>
    <n v="7"/>
    <n v="97.56"/>
    <n v="6524.07"/>
    <x v="0"/>
  </r>
  <r>
    <x v="321"/>
    <s v="Male"/>
    <n v="47"/>
    <s v="No"/>
    <n v="67"/>
    <x v="0"/>
    <s v="One year"/>
    <s v="Fiber optic"/>
    <s v="Bank transfer"/>
    <s v="Yes"/>
    <s v="No"/>
    <n v="1"/>
    <n v="63.09"/>
    <n v="4275.7"/>
    <x v="0"/>
  </r>
  <r>
    <x v="322"/>
    <s v="Female"/>
    <n v="24"/>
    <s v="No"/>
    <n v="28"/>
    <x v="3"/>
    <s v="One year"/>
    <s v="Fiber optic"/>
    <s v="Electronic check"/>
    <s v="Yes"/>
    <s v="No"/>
    <n v="1"/>
    <n v="57.99"/>
    <n v="1522.8"/>
    <x v="0"/>
  </r>
  <r>
    <x v="323"/>
    <s v="Female"/>
    <n v="27"/>
    <s v="No"/>
    <n v="44"/>
    <x v="3"/>
    <s v="Month-to-month"/>
    <s v="Fiber optic"/>
    <s v="Electronic check"/>
    <s v="Yes"/>
    <s v="No"/>
    <n v="3"/>
    <n v="81.349999999999994"/>
    <n v="3540.55"/>
    <x v="0"/>
  </r>
  <r>
    <x v="324"/>
    <s v="Female"/>
    <n v="58"/>
    <s v="No"/>
    <n v="41"/>
    <x v="3"/>
    <s v="One year"/>
    <s v="Fiber optic"/>
    <s v="Electronic check"/>
    <s v="No"/>
    <s v="Yes"/>
    <n v="5"/>
    <n v="80.67"/>
    <n v="3191.29"/>
    <x v="0"/>
  </r>
  <r>
    <x v="325"/>
    <s v="Female"/>
    <n v="49"/>
    <s v="No"/>
    <n v="63"/>
    <x v="0"/>
    <s v="Month-to-month"/>
    <s v="Fiber optic"/>
    <s v="Electronic check"/>
    <s v="Yes"/>
    <s v="No"/>
    <n v="6"/>
    <n v="96.53"/>
    <n v="5678.58"/>
    <x v="0"/>
  </r>
  <r>
    <x v="326"/>
    <s v="Male"/>
    <n v="51"/>
    <s v="No"/>
    <n v="23"/>
    <x v="4"/>
    <s v="Two year"/>
    <s v="Fiber optic"/>
    <s v="Electronic check"/>
    <s v="Yes"/>
    <s v="Yes"/>
    <n v="3"/>
    <n v="84.09"/>
    <n v="1838.65"/>
    <x v="0"/>
  </r>
  <r>
    <x v="327"/>
    <s v="Male"/>
    <n v="45"/>
    <s v="No"/>
    <n v="48"/>
    <x v="3"/>
    <s v="Month-to-month"/>
    <s v="Fiber optic"/>
    <s v="Bank transfer"/>
    <s v="No"/>
    <s v="Yes"/>
    <n v="7"/>
    <n v="74.739999999999995"/>
    <n v="3646.32"/>
    <x v="0"/>
  </r>
  <r>
    <x v="328"/>
    <s v="Female"/>
    <n v="32"/>
    <s v="No"/>
    <n v="32"/>
    <x v="3"/>
    <s v="Two year"/>
    <s v="No"/>
    <s v="Electronic check"/>
    <s v="No"/>
    <s v="Yes"/>
    <n v="1"/>
    <n v="29.51"/>
    <n v="898.49"/>
    <x v="0"/>
  </r>
  <r>
    <x v="329"/>
    <s v="Female"/>
    <n v="47"/>
    <s v="No"/>
    <n v="57"/>
    <x v="0"/>
    <s v="Month-to-month"/>
    <s v="Fiber optic"/>
    <s v="Electronic check"/>
    <s v="Yes"/>
    <s v="No"/>
    <n v="5"/>
    <n v="90.54"/>
    <n v="4897.43"/>
    <x v="0"/>
  </r>
  <r>
    <x v="330"/>
    <s v="Male"/>
    <n v="54"/>
    <s v="No"/>
    <n v="33"/>
    <x v="3"/>
    <s v="One year"/>
    <s v="DSL"/>
    <s v="Mailed check"/>
    <s v="No"/>
    <s v="No"/>
    <n v="8"/>
    <n v="62.71"/>
    <n v="2086.92"/>
    <x v="0"/>
  </r>
  <r>
    <x v="331"/>
    <s v="Male"/>
    <n v="46"/>
    <s v="No"/>
    <n v="24"/>
    <x v="4"/>
    <s v="One year"/>
    <s v="Fiber optic"/>
    <s v="Bank transfer"/>
    <s v="No"/>
    <s v="No"/>
    <n v="5"/>
    <n v="85.56"/>
    <n v="2186.41"/>
    <x v="0"/>
  </r>
  <r>
    <x v="332"/>
    <s v="Female"/>
    <n v="39"/>
    <s v="No"/>
    <n v="39"/>
    <x v="3"/>
    <s v="One year"/>
    <s v="No"/>
    <s v="Bank transfer"/>
    <s v="No"/>
    <s v="No"/>
    <n v="5"/>
    <n v="49.61"/>
    <n v="2024.16"/>
    <x v="0"/>
  </r>
  <r>
    <x v="333"/>
    <s v="Male"/>
    <n v="21"/>
    <s v="No"/>
    <n v="34"/>
    <x v="3"/>
    <s v="Month-to-month"/>
    <s v="Fiber optic"/>
    <s v="Bank transfer"/>
    <s v="No"/>
    <s v="No"/>
    <n v="4"/>
    <n v="78.62"/>
    <n v="2846.33"/>
    <x v="0"/>
  </r>
  <r>
    <x v="334"/>
    <s v="Female"/>
    <n v="37"/>
    <s v="No"/>
    <n v="56"/>
    <x v="0"/>
    <s v="Month-to-month"/>
    <s v="No"/>
    <s v="Bank transfer"/>
    <s v="Yes"/>
    <s v="No"/>
    <n v="4"/>
    <n v="40.67"/>
    <n v="2307.7600000000002"/>
    <x v="0"/>
  </r>
  <r>
    <x v="335"/>
    <s v="Female"/>
    <n v="49"/>
    <s v="No"/>
    <n v="28"/>
    <x v="3"/>
    <s v="One year"/>
    <s v="DSL"/>
    <s v="Bank transfer"/>
    <s v="No"/>
    <s v="No"/>
    <n v="4"/>
    <n v="67.39"/>
    <n v="1859.73"/>
    <x v="1"/>
  </r>
  <r>
    <x v="336"/>
    <s v="Male"/>
    <n v="53"/>
    <s v="No"/>
    <n v="37"/>
    <x v="3"/>
    <s v="Month-to-month"/>
    <s v="Fiber optic"/>
    <s v="Electronic check"/>
    <s v="No"/>
    <s v="No"/>
    <n v="6"/>
    <n v="76.540000000000006"/>
    <n v="2936.03"/>
    <x v="1"/>
  </r>
  <r>
    <x v="337"/>
    <s v="Male"/>
    <n v="67"/>
    <s v="Yes"/>
    <n v="7"/>
    <x v="1"/>
    <s v="Month-to-month"/>
    <s v="No"/>
    <s v="Credit card"/>
    <s v="Yes"/>
    <s v="Yes"/>
    <n v="2"/>
    <n v="38.82"/>
    <n v="261.36"/>
    <x v="1"/>
  </r>
  <r>
    <x v="338"/>
    <s v="Female"/>
    <n v="21"/>
    <s v="No"/>
    <n v="68"/>
    <x v="0"/>
    <s v="One year"/>
    <s v="DSL"/>
    <s v="Electronic check"/>
    <s v="No"/>
    <s v="No"/>
    <n v="4"/>
    <n v="62.21"/>
    <n v="3944.69"/>
    <x v="0"/>
  </r>
  <r>
    <x v="339"/>
    <s v="Female"/>
    <n v="44"/>
    <s v="No"/>
    <n v="37"/>
    <x v="3"/>
    <s v="Month-to-month"/>
    <s v="Fiber optic"/>
    <s v="Mailed check"/>
    <s v="No"/>
    <s v="No"/>
    <n v="3"/>
    <n v="84.11"/>
    <n v="3034.7"/>
    <x v="1"/>
  </r>
  <r>
    <x v="340"/>
    <s v="Male"/>
    <n v="34"/>
    <s v="No"/>
    <n v="56"/>
    <x v="0"/>
    <s v="Month-to-month"/>
    <s v="DSL"/>
    <s v="Credit card"/>
    <s v="No"/>
    <s v="No"/>
    <n v="6"/>
    <n v="60.36"/>
    <n v="3271.58"/>
    <x v="0"/>
  </r>
  <r>
    <x v="341"/>
    <s v="Female"/>
    <n v="29"/>
    <s v="No"/>
    <n v="65"/>
    <x v="0"/>
    <s v="Month-to-month"/>
    <s v="No"/>
    <s v="Mailed check"/>
    <s v="No"/>
    <s v="No"/>
    <n v="4"/>
    <n v="51.34"/>
    <n v="3430.83"/>
    <x v="0"/>
  </r>
  <r>
    <x v="342"/>
    <s v="Male"/>
    <n v="39"/>
    <s v="No"/>
    <n v="65"/>
    <x v="0"/>
    <s v="Month-to-month"/>
    <s v="DSL"/>
    <s v="Credit card"/>
    <s v="No"/>
    <s v="No"/>
    <n v="8"/>
    <n v="65.28"/>
    <n v="4278.07"/>
    <x v="0"/>
  </r>
  <r>
    <x v="343"/>
    <s v="Female"/>
    <n v="34"/>
    <s v="No"/>
    <n v="47"/>
    <x v="3"/>
    <s v="One year"/>
    <s v="Fiber optic"/>
    <s v="Mailed check"/>
    <s v="No"/>
    <s v="No"/>
    <n v="4"/>
    <n v="76.69"/>
    <n v="3395.81"/>
    <x v="0"/>
  </r>
  <r>
    <x v="344"/>
    <s v="Male"/>
    <n v="27"/>
    <s v="No"/>
    <n v="20"/>
    <x v="4"/>
    <s v="One year"/>
    <s v="DSL"/>
    <s v="Credit card"/>
    <s v="No"/>
    <s v="No"/>
    <n v="3"/>
    <n v="46.86"/>
    <n v="998.46"/>
    <x v="0"/>
  </r>
  <r>
    <x v="345"/>
    <s v="Male"/>
    <n v="71"/>
    <s v="Yes"/>
    <n v="19"/>
    <x v="4"/>
    <s v="Two year"/>
    <s v="DSL"/>
    <s v="Credit card"/>
    <s v="No"/>
    <s v="No"/>
    <n v="4"/>
    <n v="64.069999999999993"/>
    <n v="1235.51"/>
    <x v="0"/>
  </r>
  <r>
    <x v="346"/>
    <s v="Male"/>
    <n v="18"/>
    <s v="No"/>
    <n v="29"/>
    <x v="3"/>
    <s v="Two year"/>
    <s v="No"/>
    <s v="Credit card"/>
    <s v="No"/>
    <s v="Yes"/>
    <n v="1"/>
    <n v="23.67"/>
    <n v="681.78"/>
    <x v="0"/>
  </r>
  <r>
    <x v="347"/>
    <s v="Female"/>
    <n v="39"/>
    <s v="No"/>
    <n v="60"/>
    <x v="0"/>
    <s v="Month-to-month"/>
    <s v="DSL"/>
    <s v="Credit card"/>
    <s v="No"/>
    <s v="No"/>
    <n v="5"/>
    <n v="70.94"/>
    <n v="4554.1400000000003"/>
    <x v="0"/>
  </r>
  <r>
    <x v="348"/>
    <s v="Female"/>
    <n v="43"/>
    <s v="No"/>
    <n v="18"/>
    <x v="4"/>
    <s v="Month-to-month"/>
    <s v="Fiber optic"/>
    <s v="Credit card"/>
    <s v="No"/>
    <s v="No"/>
    <n v="4"/>
    <n v="67.180000000000007"/>
    <n v="1131.33"/>
    <x v="0"/>
  </r>
  <r>
    <x v="349"/>
    <s v="Male"/>
    <n v="73"/>
    <s v="Yes"/>
    <n v="35"/>
    <x v="3"/>
    <s v="Month-to-month"/>
    <s v="No"/>
    <s v="Bank transfer"/>
    <s v="No"/>
    <s v="No"/>
    <n v="3"/>
    <n v="33.880000000000003"/>
    <n v="1240.74"/>
    <x v="0"/>
  </r>
  <r>
    <x v="350"/>
    <s v="Female"/>
    <n v="35"/>
    <s v="No"/>
    <n v="43"/>
    <x v="3"/>
    <s v="Month-to-month"/>
    <s v="Fiber optic"/>
    <s v="Mailed check"/>
    <s v="No"/>
    <s v="No"/>
    <n v="5"/>
    <n v="95.5"/>
    <n v="4017.58"/>
    <x v="0"/>
  </r>
  <r>
    <x v="351"/>
    <s v="Male"/>
    <n v="67"/>
    <s v="Yes"/>
    <n v="11"/>
    <x v="1"/>
    <s v="Two year"/>
    <s v="Fiber optic"/>
    <s v="Electronic check"/>
    <s v="No"/>
    <s v="Yes"/>
    <n v="2"/>
    <n v="65.680000000000007"/>
    <n v="745.07"/>
    <x v="0"/>
  </r>
  <r>
    <x v="352"/>
    <s v="Male"/>
    <n v="31"/>
    <s v="No"/>
    <n v="49"/>
    <x v="0"/>
    <s v="Month-to-month"/>
    <s v="DSL"/>
    <s v="Bank transfer"/>
    <s v="No"/>
    <s v="Yes"/>
    <n v="4"/>
    <n v="66.42"/>
    <n v="3478.87"/>
    <x v="0"/>
  </r>
  <r>
    <x v="353"/>
    <s v="Female"/>
    <n v="64"/>
    <s v="Yes"/>
    <n v="38"/>
    <x v="3"/>
    <s v="Month-to-month"/>
    <s v="DSL"/>
    <s v="Credit card"/>
    <s v="Yes"/>
    <s v="No"/>
    <n v="1"/>
    <n v="51.87"/>
    <n v="1976.65"/>
    <x v="0"/>
  </r>
  <r>
    <x v="354"/>
    <s v="Female"/>
    <n v="46"/>
    <s v="No"/>
    <n v="64"/>
    <x v="0"/>
    <s v="Month-to-month"/>
    <s v="Fiber optic"/>
    <s v="Bank transfer"/>
    <s v="No"/>
    <s v="No"/>
    <n v="2"/>
    <n v="61.85"/>
    <n v="3656.07"/>
    <x v="0"/>
  </r>
  <r>
    <x v="355"/>
    <s v="Male"/>
    <n v="29"/>
    <s v="No"/>
    <n v="69"/>
    <x v="0"/>
    <s v="One year"/>
    <s v="DSL"/>
    <s v="Credit card"/>
    <s v="Yes"/>
    <s v="Yes"/>
    <n v="2"/>
    <n v="52.48"/>
    <n v="3348.14"/>
    <x v="0"/>
  </r>
  <r>
    <x v="356"/>
    <s v="Female"/>
    <n v="53"/>
    <s v="No"/>
    <n v="8"/>
    <x v="1"/>
    <s v="One year"/>
    <s v="Fiber optic"/>
    <s v="Credit card"/>
    <s v="Yes"/>
    <s v="Yes"/>
    <n v="5"/>
    <n v="93.7"/>
    <n v="729.28"/>
    <x v="0"/>
  </r>
  <r>
    <x v="357"/>
    <s v="Female"/>
    <n v="52"/>
    <s v="No"/>
    <n v="34"/>
    <x v="3"/>
    <s v="Month-to-month"/>
    <s v="Fiber optic"/>
    <s v="Electronic check"/>
    <s v="Yes"/>
    <s v="No"/>
    <n v="5"/>
    <n v="80.13"/>
    <n v="2847.2"/>
    <x v="0"/>
  </r>
  <r>
    <x v="358"/>
    <s v="Male"/>
    <n v="69"/>
    <s v="Yes"/>
    <n v="48"/>
    <x v="3"/>
    <s v="Two year"/>
    <s v="No"/>
    <s v="Electronic check"/>
    <s v="No"/>
    <s v="Yes"/>
    <n v="3"/>
    <n v="32.17"/>
    <n v="1491.85"/>
    <x v="0"/>
  </r>
  <r>
    <x v="359"/>
    <s v="Male"/>
    <n v="29"/>
    <s v="No"/>
    <n v="56"/>
    <x v="0"/>
    <s v="Month-to-month"/>
    <s v="Fiber optic"/>
    <s v="Mailed check"/>
    <s v="No"/>
    <s v="Yes"/>
    <n v="6"/>
    <n v="89.3"/>
    <n v="4868.3500000000004"/>
    <x v="1"/>
  </r>
  <r>
    <x v="360"/>
    <s v="Female"/>
    <n v="24"/>
    <s v="No"/>
    <n v="65"/>
    <x v="0"/>
    <s v="Month-to-month"/>
    <s v="Fiber optic"/>
    <s v="Electronic check"/>
    <s v="No"/>
    <s v="No"/>
    <n v="4"/>
    <n v="77.5"/>
    <n v="5266.78"/>
    <x v="0"/>
  </r>
  <r>
    <x v="361"/>
    <s v="Male"/>
    <n v="46"/>
    <s v="No"/>
    <n v="31"/>
    <x v="3"/>
    <s v="Two year"/>
    <s v="Fiber optic"/>
    <s v="Bank transfer"/>
    <s v="No"/>
    <s v="No"/>
    <n v="6"/>
    <n v="76.53"/>
    <n v="2226.7399999999998"/>
    <x v="0"/>
  </r>
  <r>
    <x v="362"/>
    <s v="Male"/>
    <n v="28"/>
    <s v="No"/>
    <n v="4"/>
    <x v="2"/>
    <s v="Month-to-month"/>
    <s v="No"/>
    <s v="Credit card"/>
    <s v="No"/>
    <s v="No"/>
    <n v="5"/>
    <n v="43.45"/>
    <n v="183.44"/>
    <x v="1"/>
  </r>
  <r>
    <x v="363"/>
    <s v="Female"/>
    <n v="50"/>
    <s v="No"/>
    <n v="50"/>
    <x v="0"/>
    <s v="Two year"/>
    <s v="Fiber optic"/>
    <s v="Credit card"/>
    <s v="No"/>
    <s v="Yes"/>
    <n v="6"/>
    <n v="83.6"/>
    <n v="4023.36"/>
    <x v="0"/>
  </r>
  <r>
    <x v="364"/>
    <s v="Male"/>
    <n v="23"/>
    <s v="No"/>
    <n v="69"/>
    <x v="0"/>
    <s v="Two year"/>
    <s v="Fiber optic"/>
    <s v="Mailed check"/>
    <s v="No"/>
    <s v="No"/>
    <n v="4"/>
    <n v="78.06"/>
    <n v="4999.3900000000003"/>
    <x v="0"/>
  </r>
  <r>
    <x v="365"/>
    <s v="Male"/>
    <n v="64"/>
    <s v="Yes"/>
    <n v="30"/>
    <x v="3"/>
    <s v="One year"/>
    <s v="DSL"/>
    <s v="Electronic check"/>
    <s v="No"/>
    <s v="No"/>
    <n v="3"/>
    <n v="38.18"/>
    <n v="1075.27"/>
    <x v="0"/>
  </r>
  <r>
    <x v="366"/>
    <s v="Female"/>
    <n v="32"/>
    <s v="No"/>
    <n v="59"/>
    <x v="0"/>
    <s v="One year"/>
    <s v="DSL"/>
    <s v="Electronic check"/>
    <s v="No"/>
    <s v="Yes"/>
    <n v="4"/>
    <n v="61.55"/>
    <n v="3894.4"/>
    <x v="0"/>
  </r>
  <r>
    <x v="367"/>
    <s v="Female"/>
    <n v="49"/>
    <s v="No"/>
    <n v="67"/>
    <x v="0"/>
    <s v="Month-to-month"/>
    <s v="Fiber optic"/>
    <s v="Bank transfer"/>
    <s v="No"/>
    <s v="Yes"/>
    <n v="2"/>
    <n v="59.56"/>
    <n v="3959.44"/>
    <x v="0"/>
  </r>
  <r>
    <x v="368"/>
    <s v="Male"/>
    <n v="68"/>
    <s v="Yes"/>
    <n v="45"/>
    <x v="3"/>
    <s v="Two year"/>
    <s v="DSL"/>
    <s v="Electronic check"/>
    <s v="No"/>
    <s v="Yes"/>
    <n v="5"/>
    <n v="68.23"/>
    <n v="2950.7"/>
    <x v="0"/>
  </r>
  <r>
    <x v="369"/>
    <s v="Male"/>
    <n v="28"/>
    <s v="No"/>
    <n v="4"/>
    <x v="2"/>
    <s v="Month-to-month"/>
    <s v="Fiber optic"/>
    <s v="Electronic check"/>
    <s v="No"/>
    <s v="Yes"/>
    <n v="4"/>
    <n v="86.5"/>
    <n v="347.18"/>
    <x v="0"/>
  </r>
  <r>
    <x v="370"/>
    <s v="Female"/>
    <n v="75"/>
    <s v="Yes"/>
    <n v="26"/>
    <x v="3"/>
    <s v="One year"/>
    <s v="No"/>
    <s v="Mailed check"/>
    <s v="No"/>
    <s v="Yes"/>
    <n v="1"/>
    <n v="20"/>
    <n v="535.16999999999996"/>
    <x v="0"/>
  </r>
  <r>
    <x v="371"/>
    <s v="Female"/>
    <n v="40"/>
    <s v="No"/>
    <n v="27"/>
    <x v="3"/>
    <s v="Two year"/>
    <s v="Fiber optic"/>
    <s v="Electronic check"/>
    <s v="Yes"/>
    <s v="No"/>
    <n v="2"/>
    <n v="80.069999999999993"/>
    <n v="2099.21"/>
    <x v="0"/>
  </r>
  <r>
    <x v="372"/>
    <s v="Female"/>
    <n v="43"/>
    <s v="No"/>
    <n v="46"/>
    <x v="3"/>
    <s v="Two year"/>
    <s v="Fiber optic"/>
    <s v="Credit card"/>
    <s v="No"/>
    <s v="No"/>
    <n v="2"/>
    <n v="70.180000000000007"/>
    <n v="3344.64"/>
    <x v="0"/>
  </r>
  <r>
    <x v="373"/>
    <s v="Female"/>
    <n v="51"/>
    <s v="No"/>
    <n v="64"/>
    <x v="0"/>
    <s v="Two year"/>
    <s v="Fiber optic"/>
    <s v="Electronic check"/>
    <s v="No"/>
    <s v="No"/>
    <n v="2"/>
    <n v="78.540000000000006"/>
    <n v="4827.3100000000004"/>
    <x v="0"/>
  </r>
  <r>
    <x v="374"/>
    <s v="Male"/>
    <n v="63"/>
    <s v="Yes"/>
    <n v="51"/>
    <x v="0"/>
    <s v="Month-to-month"/>
    <s v="Fiber optic"/>
    <s v="Electronic check"/>
    <s v="Yes"/>
    <s v="No"/>
    <n v="3"/>
    <n v="81.52"/>
    <n v="3899.65"/>
    <x v="0"/>
  </r>
  <r>
    <x v="375"/>
    <s v="Female"/>
    <n v="51"/>
    <s v="No"/>
    <n v="50"/>
    <x v="0"/>
    <s v="Two year"/>
    <s v="DSL"/>
    <s v="Electronic check"/>
    <s v="No"/>
    <s v="Yes"/>
    <n v="3"/>
    <n v="44.88"/>
    <n v="2261.85"/>
    <x v="0"/>
  </r>
  <r>
    <x v="376"/>
    <s v="Female"/>
    <n v="46"/>
    <s v="No"/>
    <n v="6"/>
    <x v="2"/>
    <s v="One year"/>
    <s v="Fiber optic"/>
    <s v="Electronic check"/>
    <s v="Yes"/>
    <s v="No"/>
    <n v="3"/>
    <n v="69.03"/>
    <n v="391.06"/>
    <x v="0"/>
  </r>
  <r>
    <x v="377"/>
    <s v="Male"/>
    <n v="21"/>
    <s v="No"/>
    <n v="59"/>
    <x v="0"/>
    <s v="Two year"/>
    <s v="Fiber optic"/>
    <s v="Bank transfer"/>
    <s v="No"/>
    <s v="Yes"/>
    <n v="4"/>
    <n v="90.3"/>
    <n v="5703.18"/>
    <x v="1"/>
  </r>
  <r>
    <x v="378"/>
    <s v="Female"/>
    <n v="34"/>
    <s v="No"/>
    <n v="15"/>
    <x v="4"/>
    <s v="One year"/>
    <s v="DSL"/>
    <s v="Bank transfer"/>
    <s v="No"/>
    <s v="No"/>
    <n v="4"/>
    <n v="50.32"/>
    <n v="694.47"/>
    <x v="0"/>
  </r>
  <r>
    <x v="379"/>
    <s v="Male"/>
    <n v="52"/>
    <s v="No"/>
    <n v="30"/>
    <x v="3"/>
    <s v="Month-to-month"/>
    <s v="DSL"/>
    <s v="Mailed check"/>
    <s v="No"/>
    <s v="Yes"/>
    <n v="7"/>
    <n v="73.53"/>
    <n v="2296.15"/>
    <x v="0"/>
  </r>
  <r>
    <x v="380"/>
    <s v="Female"/>
    <n v="30"/>
    <s v="No"/>
    <n v="42"/>
    <x v="3"/>
    <s v="Month-to-month"/>
    <s v="Fiber optic"/>
    <s v="Bank transfer"/>
    <s v="No"/>
    <s v="No"/>
    <n v="3"/>
    <n v="69.709999999999994"/>
    <n v="2824.51"/>
    <x v="1"/>
  </r>
  <r>
    <x v="381"/>
    <s v="Female"/>
    <n v="58"/>
    <s v="No"/>
    <n v="37"/>
    <x v="3"/>
    <s v="One year"/>
    <s v="Fiber optic"/>
    <s v="Mailed check"/>
    <s v="Yes"/>
    <s v="No"/>
    <n v="4"/>
    <n v="72.67"/>
    <n v="2837.68"/>
    <x v="0"/>
  </r>
  <r>
    <x v="382"/>
    <s v="Female"/>
    <n v="56"/>
    <s v="No"/>
    <n v="42"/>
    <x v="3"/>
    <s v="One year"/>
    <s v="Fiber optic"/>
    <s v="Bank transfer"/>
    <s v="No"/>
    <s v="Yes"/>
    <n v="5"/>
    <n v="82.87"/>
    <n v="3235.59"/>
    <x v="0"/>
  </r>
  <r>
    <x v="383"/>
    <s v="Male"/>
    <n v="32"/>
    <s v="No"/>
    <n v="35"/>
    <x v="3"/>
    <s v="Month-to-month"/>
    <s v="Fiber optic"/>
    <s v="Electronic check"/>
    <s v="Yes"/>
    <s v="No"/>
    <n v="3"/>
    <n v="90.34"/>
    <n v="3391.07"/>
    <x v="1"/>
  </r>
  <r>
    <x v="384"/>
    <s v="Male"/>
    <n v="72"/>
    <s v="Yes"/>
    <n v="6"/>
    <x v="2"/>
    <s v="One year"/>
    <s v="Fiber optic"/>
    <s v="Mailed check"/>
    <s v="No"/>
    <s v="Yes"/>
    <n v="6"/>
    <n v="92.38"/>
    <n v="518.92999999999995"/>
    <x v="0"/>
  </r>
  <r>
    <x v="385"/>
    <s v="Female"/>
    <n v="46"/>
    <s v="No"/>
    <n v="68"/>
    <x v="0"/>
    <s v="Month-to-month"/>
    <s v="DSL"/>
    <s v="Credit card"/>
    <s v="No"/>
    <s v="No"/>
    <n v="8"/>
    <n v="67.62"/>
    <n v="4809.96"/>
    <x v="0"/>
  </r>
  <r>
    <x v="386"/>
    <s v="Male"/>
    <n v="46"/>
    <s v="No"/>
    <n v="18"/>
    <x v="4"/>
    <s v="Two year"/>
    <s v="No"/>
    <s v="Credit card"/>
    <s v="No"/>
    <s v="No"/>
    <n v="4"/>
    <n v="42.37"/>
    <n v="764.78"/>
    <x v="0"/>
  </r>
  <r>
    <x v="387"/>
    <s v="Male"/>
    <n v="28"/>
    <s v="No"/>
    <n v="29"/>
    <x v="3"/>
    <s v="Month-to-month"/>
    <s v="Fiber optic"/>
    <s v="Bank transfer"/>
    <s v="No"/>
    <s v="Yes"/>
    <n v="4"/>
    <n v="65.98"/>
    <n v="1892.11"/>
    <x v="0"/>
  </r>
  <r>
    <x v="388"/>
    <s v="Male"/>
    <n v="69"/>
    <s v="Yes"/>
    <n v="59"/>
    <x v="0"/>
    <s v="Month-to-month"/>
    <s v="Fiber optic"/>
    <s v="Electronic check"/>
    <s v="No"/>
    <s v="No"/>
    <n v="2"/>
    <n v="55.22"/>
    <n v="3143.38"/>
    <x v="0"/>
  </r>
  <r>
    <x v="389"/>
    <s v="Male"/>
    <n v="49"/>
    <s v="No"/>
    <n v="47"/>
    <x v="3"/>
    <s v="Month-to-month"/>
    <s v="Fiber optic"/>
    <s v="Electronic check"/>
    <s v="No"/>
    <s v="Yes"/>
    <n v="2"/>
    <n v="72.180000000000007"/>
    <n v="3577.75"/>
    <x v="1"/>
  </r>
  <r>
    <x v="390"/>
    <s v="Male"/>
    <n v="19"/>
    <s v="No"/>
    <n v="17"/>
    <x v="4"/>
    <s v="Month-to-month"/>
    <s v="Fiber optic"/>
    <s v="Credit card"/>
    <s v="No"/>
    <s v="No"/>
    <n v="3"/>
    <n v="80"/>
    <n v="1294.67"/>
    <x v="0"/>
  </r>
  <r>
    <x v="391"/>
    <s v="Male"/>
    <n v="64"/>
    <s v="Yes"/>
    <n v="22"/>
    <x v="4"/>
    <s v="Month-to-month"/>
    <s v="Fiber optic"/>
    <s v="Electronic check"/>
    <s v="Yes"/>
    <s v="Yes"/>
    <n v="7"/>
    <n v="101.93"/>
    <n v="2321.84"/>
    <x v="1"/>
  </r>
  <r>
    <x v="392"/>
    <s v="Female"/>
    <n v="31"/>
    <s v="No"/>
    <n v="68"/>
    <x v="0"/>
    <s v="Month-to-month"/>
    <s v="No"/>
    <s v="Electronic check"/>
    <s v="No"/>
    <s v="No"/>
    <n v="2"/>
    <n v="35.61"/>
    <n v="2400.48"/>
    <x v="0"/>
  </r>
  <r>
    <x v="393"/>
    <s v="Female"/>
    <n v="37"/>
    <s v="No"/>
    <n v="69"/>
    <x v="0"/>
    <s v="Month-to-month"/>
    <s v="DSL"/>
    <s v="Electronic check"/>
    <s v="Yes"/>
    <s v="No"/>
    <n v="4"/>
    <n v="59.04"/>
    <n v="4398.68"/>
    <x v="0"/>
  </r>
  <r>
    <x v="394"/>
    <s v="Male"/>
    <n v="39"/>
    <s v="No"/>
    <n v="37"/>
    <x v="3"/>
    <s v="Two year"/>
    <s v="No"/>
    <s v="Electronic check"/>
    <s v="Yes"/>
    <s v="Yes"/>
    <n v="4"/>
    <n v="38.630000000000003"/>
    <n v="1454.79"/>
    <x v="0"/>
  </r>
  <r>
    <x v="395"/>
    <s v="Female"/>
    <n v="28"/>
    <s v="No"/>
    <n v="49"/>
    <x v="0"/>
    <s v="Two year"/>
    <s v="No"/>
    <s v="Electronic check"/>
    <s v="Yes"/>
    <s v="No"/>
    <n v="3"/>
    <n v="40.69"/>
    <n v="1867.54"/>
    <x v="0"/>
  </r>
  <r>
    <x v="396"/>
    <s v="Female"/>
    <n v="44"/>
    <s v="No"/>
    <n v="13"/>
    <x v="4"/>
    <s v="Month-to-month"/>
    <s v="DSL"/>
    <s v="Mailed check"/>
    <s v="No"/>
    <s v="No"/>
    <n v="3"/>
    <n v="46.49"/>
    <n v="596.59"/>
    <x v="0"/>
  </r>
  <r>
    <x v="397"/>
    <s v="Female"/>
    <n v="20"/>
    <s v="No"/>
    <n v="34"/>
    <x v="3"/>
    <s v="Two year"/>
    <s v="DSL"/>
    <s v="Mailed check"/>
    <s v="No"/>
    <s v="Yes"/>
    <n v="5"/>
    <n v="58.25"/>
    <n v="1843.07"/>
    <x v="0"/>
  </r>
  <r>
    <x v="398"/>
    <s v="Female"/>
    <n v="34"/>
    <s v="No"/>
    <n v="53"/>
    <x v="0"/>
    <s v="Month-to-month"/>
    <s v="Fiber optic"/>
    <s v="Credit card"/>
    <s v="No"/>
    <s v="No"/>
    <n v="4"/>
    <n v="70.73"/>
    <n v="3620.13"/>
    <x v="0"/>
  </r>
  <r>
    <x v="399"/>
    <s v="Male"/>
    <n v="61"/>
    <s v="Yes"/>
    <n v="51"/>
    <x v="0"/>
    <s v="One year"/>
    <s v="DSL"/>
    <s v="Electronic check"/>
    <s v="No"/>
    <s v="No"/>
    <n v="5"/>
    <n v="59.33"/>
    <n v="2949.97"/>
    <x v="1"/>
  </r>
  <r>
    <x v="400"/>
    <s v="Female"/>
    <n v="73"/>
    <s v="Yes"/>
    <n v="3"/>
    <x v="2"/>
    <s v="One year"/>
    <s v="No"/>
    <s v="Electronic check"/>
    <s v="Yes"/>
    <s v="No"/>
    <n v="6"/>
    <n v="43.93"/>
    <n v="139.24"/>
    <x v="0"/>
  </r>
  <r>
    <x v="401"/>
    <s v="Female"/>
    <n v="45"/>
    <s v="No"/>
    <n v="42"/>
    <x v="3"/>
    <s v="Month-to-month"/>
    <s v="Fiber optic"/>
    <s v="Bank transfer"/>
    <s v="No"/>
    <s v="Yes"/>
    <n v="5"/>
    <n v="77.45"/>
    <n v="3428.81"/>
    <x v="0"/>
  </r>
  <r>
    <x v="402"/>
    <s v="Male"/>
    <n v="46"/>
    <s v="No"/>
    <n v="32"/>
    <x v="3"/>
    <s v="Month-to-month"/>
    <s v="No"/>
    <s v="Bank transfer"/>
    <s v="No"/>
    <s v="Yes"/>
    <n v="6"/>
    <n v="44.52"/>
    <n v="1313.3"/>
    <x v="0"/>
  </r>
  <r>
    <x v="403"/>
    <s v="Male"/>
    <n v="38"/>
    <s v="No"/>
    <n v="51"/>
    <x v="0"/>
    <s v="Month-to-month"/>
    <s v="Fiber optic"/>
    <s v="Mailed check"/>
    <s v="Yes"/>
    <s v="No"/>
    <n v="3"/>
    <n v="76.48"/>
    <n v="3920.62"/>
    <x v="0"/>
  </r>
  <r>
    <x v="404"/>
    <s v="Female"/>
    <n v="64"/>
    <s v="Yes"/>
    <n v="46"/>
    <x v="3"/>
    <s v="Month-to-month"/>
    <s v="No"/>
    <s v="Credit card"/>
    <s v="No"/>
    <s v="No"/>
    <n v="6"/>
    <n v="57.88"/>
    <n v="2544.71"/>
    <x v="0"/>
  </r>
  <r>
    <x v="405"/>
    <s v="Female"/>
    <n v="33"/>
    <s v="No"/>
    <n v="21"/>
    <x v="4"/>
    <s v="One year"/>
    <s v="No"/>
    <s v="Electronic check"/>
    <s v="No"/>
    <s v="No"/>
    <n v="3"/>
    <n v="39.020000000000003"/>
    <n v="795.83"/>
    <x v="1"/>
  </r>
  <r>
    <x v="406"/>
    <s v="Female"/>
    <n v="54"/>
    <s v="No"/>
    <n v="44"/>
    <x v="3"/>
    <s v="Month-to-month"/>
    <s v="DSL"/>
    <s v="Credit card"/>
    <s v="No"/>
    <s v="Yes"/>
    <n v="5"/>
    <n v="58.99"/>
    <n v="2396.91"/>
    <x v="0"/>
  </r>
  <r>
    <x v="407"/>
    <s v="Female"/>
    <n v="37"/>
    <s v="No"/>
    <n v="11"/>
    <x v="1"/>
    <s v="Month-to-month"/>
    <s v="DSL"/>
    <s v="Mailed check"/>
    <s v="No"/>
    <s v="No"/>
    <n v="5"/>
    <n v="66.069999999999993"/>
    <n v="755.81"/>
    <x v="1"/>
  </r>
  <r>
    <x v="408"/>
    <s v="Female"/>
    <n v="23"/>
    <s v="No"/>
    <n v="68"/>
    <x v="0"/>
    <s v="Month-to-month"/>
    <s v="DSL"/>
    <s v="Electronic check"/>
    <s v="No"/>
    <s v="No"/>
    <n v="5"/>
    <n v="63.77"/>
    <n v="4648.99"/>
    <x v="0"/>
  </r>
  <r>
    <x v="409"/>
    <s v="Female"/>
    <n v="36"/>
    <s v="No"/>
    <n v="1"/>
    <x v="2"/>
    <s v="Month-to-month"/>
    <s v="No"/>
    <s v="Credit card"/>
    <s v="No"/>
    <s v="Yes"/>
    <n v="1"/>
    <n v="30.18"/>
    <n v="28.82"/>
    <x v="1"/>
  </r>
  <r>
    <x v="410"/>
    <s v="Male"/>
    <n v="74"/>
    <s v="Yes"/>
    <n v="63"/>
    <x v="0"/>
    <s v="Month-to-month"/>
    <s v="No"/>
    <s v="Bank transfer"/>
    <s v="Yes"/>
    <s v="Yes"/>
    <n v="4"/>
    <n v="40.840000000000003"/>
    <n v="2507.7800000000002"/>
    <x v="0"/>
  </r>
  <r>
    <x v="411"/>
    <s v="Female"/>
    <n v="22"/>
    <s v="No"/>
    <n v="24"/>
    <x v="4"/>
    <s v="Month-to-month"/>
    <s v="DSL"/>
    <s v="Electronic check"/>
    <s v="No"/>
    <s v="No"/>
    <n v="5"/>
    <n v="75.08"/>
    <n v="1717.28"/>
    <x v="1"/>
  </r>
  <r>
    <x v="412"/>
    <s v="Female"/>
    <n v="20"/>
    <s v="No"/>
    <n v="13"/>
    <x v="4"/>
    <s v="Two year"/>
    <s v="DSL"/>
    <s v="Electronic check"/>
    <s v="Yes"/>
    <s v="No"/>
    <n v="1"/>
    <n v="47.69"/>
    <n v="662.63"/>
    <x v="0"/>
  </r>
  <r>
    <x v="413"/>
    <s v="Male"/>
    <n v="18"/>
    <s v="No"/>
    <n v="11"/>
    <x v="1"/>
    <s v="Month-to-month"/>
    <s v="DSL"/>
    <s v="Electronic check"/>
    <s v="No"/>
    <s v="No"/>
    <n v="2"/>
    <n v="47.07"/>
    <n v="477.12"/>
    <x v="0"/>
  </r>
  <r>
    <x v="414"/>
    <s v="Male"/>
    <n v="75"/>
    <s v="Yes"/>
    <n v="51"/>
    <x v="0"/>
    <s v="Month-to-month"/>
    <s v="No"/>
    <s v="Bank transfer"/>
    <s v="No"/>
    <s v="No"/>
    <n v="1"/>
    <n v="23.56"/>
    <n v="1217.68"/>
    <x v="0"/>
  </r>
  <r>
    <x v="415"/>
    <s v="Male"/>
    <n v="55"/>
    <s v="No"/>
    <n v="17"/>
    <x v="4"/>
    <s v="One year"/>
    <s v="DSL"/>
    <s v="Electronic check"/>
    <s v="No"/>
    <s v="No"/>
    <n v="3"/>
    <n v="61.31"/>
    <n v="1104.0999999999999"/>
    <x v="1"/>
  </r>
  <r>
    <x v="416"/>
    <s v="Male"/>
    <n v="32"/>
    <s v="No"/>
    <n v="24"/>
    <x v="4"/>
    <s v="Month-to-month"/>
    <s v="No"/>
    <s v="Electronic check"/>
    <s v="No"/>
    <s v="Yes"/>
    <n v="5"/>
    <n v="36.69"/>
    <n v="836.36"/>
    <x v="0"/>
  </r>
  <r>
    <x v="417"/>
    <s v="Female"/>
    <n v="51"/>
    <s v="No"/>
    <n v="19"/>
    <x v="4"/>
    <s v="One year"/>
    <s v="DSL"/>
    <s v="Electronic check"/>
    <s v="No"/>
    <s v="No"/>
    <n v="2"/>
    <n v="60.5"/>
    <n v="1166.05"/>
    <x v="0"/>
  </r>
  <r>
    <x v="418"/>
    <s v="Female"/>
    <n v="52"/>
    <s v="No"/>
    <n v="37"/>
    <x v="3"/>
    <s v="One year"/>
    <s v="Fiber optic"/>
    <s v="Bank transfer"/>
    <s v="No"/>
    <s v="No"/>
    <n v="4"/>
    <n v="65.58"/>
    <n v="2252.0100000000002"/>
    <x v="0"/>
  </r>
  <r>
    <x v="419"/>
    <s v="Female"/>
    <n v="66"/>
    <s v="Yes"/>
    <n v="8"/>
    <x v="1"/>
    <s v="Month-to-month"/>
    <s v="Fiber optic"/>
    <s v="Credit card"/>
    <s v="No"/>
    <s v="No"/>
    <n v="8"/>
    <n v="103.58"/>
    <n v="870.35"/>
    <x v="0"/>
  </r>
  <r>
    <x v="420"/>
    <s v="Female"/>
    <n v="42"/>
    <s v="No"/>
    <n v="28"/>
    <x v="3"/>
    <s v="Month-to-month"/>
    <s v="Fiber optic"/>
    <s v="Credit card"/>
    <s v="No"/>
    <s v="Yes"/>
    <n v="4"/>
    <n v="84.58"/>
    <n v="2282.77"/>
    <x v="1"/>
  </r>
  <r>
    <x v="421"/>
    <s v="Female"/>
    <n v="41"/>
    <s v="No"/>
    <n v="5"/>
    <x v="2"/>
    <s v="Month-to-month"/>
    <s v="Fiber optic"/>
    <s v="Electronic check"/>
    <s v="No"/>
    <s v="No"/>
    <n v="7"/>
    <n v="87.92"/>
    <n v="473.98"/>
    <x v="1"/>
  </r>
  <r>
    <x v="422"/>
    <s v="Female"/>
    <n v="29"/>
    <s v="No"/>
    <n v="17"/>
    <x v="4"/>
    <s v="Month-to-month"/>
    <s v="Fiber optic"/>
    <s v="Credit card"/>
    <s v="Yes"/>
    <s v="No"/>
    <n v="4"/>
    <n v="73.75"/>
    <n v="1338.41"/>
    <x v="1"/>
  </r>
  <r>
    <x v="423"/>
    <s v="Male"/>
    <n v="35"/>
    <s v="No"/>
    <n v="36"/>
    <x v="3"/>
    <s v="Month-to-month"/>
    <s v="DSL"/>
    <s v="Bank transfer"/>
    <s v="No"/>
    <s v="Yes"/>
    <n v="4"/>
    <n v="67.63"/>
    <n v="2525.2600000000002"/>
    <x v="0"/>
  </r>
  <r>
    <x v="424"/>
    <s v="Female"/>
    <n v="32"/>
    <s v="No"/>
    <n v="19"/>
    <x v="4"/>
    <s v="Month-to-month"/>
    <s v="Fiber optic"/>
    <s v="Credit card"/>
    <s v="No"/>
    <s v="No"/>
    <n v="4"/>
    <n v="91.6"/>
    <n v="1739.52"/>
    <x v="0"/>
  </r>
  <r>
    <x v="425"/>
    <s v="Male"/>
    <n v="61"/>
    <s v="Yes"/>
    <n v="64"/>
    <x v="0"/>
    <s v="Month-to-month"/>
    <s v="Fiber optic"/>
    <s v="Mailed check"/>
    <s v="Yes"/>
    <s v="No"/>
    <n v="3"/>
    <n v="70.7"/>
    <n v="4717.8"/>
    <x v="0"/>
  </r>
  <r>
    <x v="426"/>
    <s v="Male"/>
    <n v="33"/>
    <s v="No"/>
    <n v="11"/>
    <x v="1"/>
    <s v="Month-to-month"/>
    <s v="DSL"/>
    <s v="Mailed check"/>
    <s v="No"/>
    <s v="No"/>
    <n v="6"/>
    <n v="71.06"/>
    <n v="735.46"/>
    <x v="0"/>
  </r>
  <r>
    <x v="427"/>
    <s v="Female"/>
    <n v="44"/>
    <s v="No"/>
    <n v="54"/>
    <x v="0"/>
    <s v="One year"/>
    <s v="No"/>
    <s v="Credit card"/>
    <s v="No"/>
    <s v="No"/>
    <n v="1"/>
    <n v="35.86"/>
    <n v="1877.63"/>
    <x v="0"/>
  </r>
  <r>
    <x v="428"/>
    <s v="Male"/>
    <n v="25"/>
    <s v="No"/>
    <n v="45"/>
    <x v="3"/>
    <s v="One year"/>
    <s v="DSL"/>
    <s v="Electronic check"/>
    <s v="No"/>
    <s v="No"/>
    <n v="4"/>
    <n v="63.22"/>
    <n v="2629.55"/>
    <x v="0"/>
  </r>
  <r>
    <x v="429"/>
    <s v="Female"/>
    <n v="63"/>
    <s v="Yes"/>
    <n v="47"/>
    <x v="3"/>
    <s v="Month-to-month"/>
    <s v="No"/>
    <s v="Bank transfer"/>
    <s v="No"/>
    <s v="Yes"/>
    <n v="2"/>
    <n v="33.380000000000003"/>
    <n v="1605.26"/>
    <x v="1"/>
  </r>
  <r>
    <x v="430"/>
    <s v="Male"/>
    <n v="42"/>
    <s v="No"/>
    <n v="12"/>
    <x v="1"/>
    <s v="Month-to-month"/>
    <s v="DSL"/>
    <s v="Credit card"/>
    <s v="No"/>
    <s v="No"/>
    <n v="4"/>
    <n v="56.27"/>
    <n v="708.25"/>
    <x v="0"/>
  </r>
  <r>
    <x v="431"/>
    <s v="Female"/>
    <n v="34"/>
    <s v="No"/>
    <n v="21"/>
    <x v="4"/>
    <s v="Two year"/>
    <s v="Fiber optic"/>
    <s v="Credit card"/>
    <s v="No"/>
    <s v="No"/>
    <n v="5"/>
    <n v="84.95"/>
    <n v="1911.33"/>
    <x v="0"/>
  </r>
  <r>
    <x v="432"/>
    <s v="Male"/>
    <n v="46"/>
    <s v="No"/>
    <n v="11"/>
    <x v="1"/>
    <s v="One year"/>
    <s v="DSL"/>
    <s v="Credit card"/>
    <s v="No"/>
    <s v="No"/>
    <n v="6"/>
    <n v="52.4"/>
    <n v="593.6"/>
    <x v="0"/>
  </r>
  <r>
    <x v="433"/>
    <s v="Female"/>
    <n v="70"/>
    <s v="Yes"/>
    <n v="5"/>
    <x v="2"/>
    <s v="Two year"/>
    <s v="DSL"/>
    <s v="Bank transfer"/>
    <s v="Yes"/>
    <s v="No"/>
    <n v="5"/>
    <n v="72.39"/>
    <n v="375.39"/>
    <x v="0"/>
  </r>
  <r>
    <x v="434"/>
    <s v="Female"/>
    <n v="25"/>
    <s v="No"/>
    <n v="56"/>
    <x v="0"/>
    <s v="Month-to-month"/>
    <s v="Fiber optic"/>
    <s v="Electronic check"/>
    <s v="Yes"/>
    <s v="No"/>
    <n v="2"/>
    <n v="59.05"/>
    <n v="3516.03"/>
    <x v="0"/>
  </r>
  <r>
    <x v="435"/>
    <s v="Female"/>
    <n v="32"/>
    <s v="No"/>
    <n v="20"/>
    <x v="4"/>
    <s v="One year"/>
    <s v="Fiber optic"/>
    <s v="Electronic check"/>
    <s v="No"/>
    <s v="Yes"/>
    <n v="3"/>
    <n v="69.13"/>
    <n v="1479.13"/>
    <x v="1"/>
  </r>
  <r>
    <x v="436"/>
    <s v="Female"/>
    <n v="44"/>
    <s v="No"/>
    <n v="41"/>
    <x v="3"/>
    <s v="Month-to-month"/>
    <s v="DSL"/>
    <s v="Mailed check"/>
    <s v="No"/>
    <s v="Yes"/>
    <n v="5"/>
    <n v="60.64"/>
    <n v="2482.7800000000002"/>
    <x v="0"/>
  </r>
  <r>
    <x v="437"/>
    <s v="Female"/>
    <n v="63"/>
    <s v="Yes"/>
    <n v="46"/>
    <x v="3"/>
    <s v="Month-to-month"/>
    <s v="Fiber optic"/>
    <s v="Mailed check"/>
    <s v="Yes"/>
    <s v="Yes"/>
    <n v="6"/>
    <n v="80.010000000000005"/>
    <n v="3450.67"/>
    <x v="0"/>
  </r>
  <r>
    <x v="438"/>
    <s v="Male"/>
    <n v="67"/>
    <s v="Yes"/>
    <n v="12"/>
    <x v="1"/>
    <s v="Month-to-month"/>
    <s v="DSL"/>
    <s v="Electronic check"/>
    <s v="No"/>
    <s v="Yes"/>
    <n v="4"/>
    <n v="51.1"/>
    <n v="609.91"/>
    <x v="0"/>
  </r>
  <r>
    <x v="439"/>
    <s v="Male"/>
    <n v="69"/>
    <s v="Yes"/>
    <n v="70"/>
    <x v="0"/>
    <s v="Month-to-month"/>
    <s v="Fiber optic"/>
    <s v="Electronic check"/>
    <s v="Yes"/>
    <s v="No"/>
    <n v="1"/>
    <n v="76.87"/>
    <n v="5429.18"/>
    <x v="0"/>
  </r>
  <r>
    <x v="440"/>
    <s v="Male"/>
    <n v="24"/>
    <s v="No"/>
    <n v="17"/>
    <x v="4"/>
    <s v="Month-to-month"/>
    <s v="DSL"/>
    <s v="Bank transfer"/>
    <s v="No"/>
    <s v="No"/>
    <n v="3"/>
    <n v="67.569999999999993"/>
    <n v="1172.8699999999999"/>
    <x v="1"/>
  </r>
  <r>
    <x v="441"/>
    <s v="Female"/>
    <n v="20"/>
    <s v="No"/>
    <n v="19"/>
    <x v="4"/>
    <s v="Month-to-month"/>
    <s v="DSL"/>
    <s v="Credit card"/>
    <s v="Yes"/>
    <s v="No"/>
    <n v="6"/>
    <n v="77.84"/>
    <n v="1594.74"/>
    <x v="0"/>
  </r>
  <r>
    <x v="442"/>
    <s v="Male"/>
    <n v="46"/>
    <s v="No"/>
    <n v="26"/>
    <x v="3"/>
    <s v="One year"/>
    <s v="Fiber optic"/>
    <s v="Credit card"/>
    <s v="Yes"/>
    <s v="Yes"/>
    <n v="4"/>
    <n v="84.85"/>
    <n v="2353.4899999999998"/>
    <x v="0"/>
  </r>
  <r>
    <x v="443"/>
    <s v="Female"/>
    <n v="61"/>
    <s v="Yes"/>
    <n v="48"/>
    <x v="3"/>
    <s v="Two year"/>
    <s v="Fiber optic"/>
    <s v="Bank transfer"/>
    <s v="Yes"/>
    <s v="No"/>
    <n v="4"/>
    <n v="96.25"/>
    <n v="4543.3900000000003"/>
    <x v="0"/>
  </r>
  <r>
    <x v="444"/>
    <s v="Female"/>
    <n v="70"/>
    <s v="Yes"/>
    <n v="52"/>
    <x v="0"/>
    <s v="Month-to-month"/>
    <s v="DSL"/>
    <s v="Credit card"/>
    <s v="No"/>
    <s v="No"/>
    <n v="6"/>
    <n v="65.14"/>
    <n v="3177.79"/>
    <x v="0"/>
  </r>
  <r>
    <x v="445"/>
    <s v="Male"/>
    <n v="41"/>
    <s v="No"/>
    <n v="70"/>
    <x v="0"/>
    <s v="Month-to-month"/>
    <s v="No"/>
    <s v="Bank transfer"/>
    <s v="No"/>
    <s v="Yes"/>
    <n v="6"/>
    <n v="46.46"/>
    <n v="3103.79"/>
    <x v="0"/>
  </r>
  <r>
    <x v="446"/>
    <s v="Male"/>
    <n v="75"/>
    <s v="Yes"/>
    <n v="55"/>
    <x v="0"/>
    <s v="Month-to-month"/>
    <s v="No"/>
    <s v="Credit card"/>
    <s v="Yes"/>
    <s v="No"/>
    <n v="2"/>
    <n v="33.08"/>
    <n v="1724.44"/>
    <x v="0"/>
  </r>
  <r>
    <x v="447"/>
    <s v="Female"/>
    <n v="20"/>
    <s v="No"/>
    <n v="33"/>
    <x v="3"/>
    <s v="One year"/>
    <s v="DSL"/>
    <s v="Bank transfer"/>
    <s v="No"/>
    <s v="No"/>
    <n v="5"/>
    <n v="73"/>
    <n v="2353.5"/>
    <x v="0"/>
  </r>
  <r>
    <x v="448"/>
    <s v="Male"/>
    <n v="37"/>
    <s v="No"/>
    <n v="62"/>
    <x v="0"/>
    <s v="Month-to-month"/>
    <s v="DSL"/>
    <s v="Credit card"/>
    <s v="Yes"/>
    <s v="No"/>
    <n v="5"/>
    <n v="67.099999999999994"/>
    <n v="4410.8"/>
    <x v="0"/>
  </r>
  <r>
    <x v="449"/>
    <s v="Female"/>
    <n v="63"/>
    <s v="Yes"/>
    <n v="23"/>
    <x v="4"/>
    <s v="Two year"/>
    <s v="Fiber optic"/>
    <s v="Credit card"/>
    <s v="No"/>
    <s v="No"/>
    <n v="5"/>
    <n v="95.09"/>
    <n v="2165.36"/>
    <x v="0"/>
  </r>
  <r>
    <x v="450"/>
    <s v="Female"/>
    <n v="32"/>
    <s v="No"/>
    <n v="15"/>
    <x v="4"/>
    <s v="Month-to-month"/>
    <s v="Fiber optic"/>
    <s v="Credit card"/>
    <s v="No"/>
    <s v="No"/>
    <n v="3"/>
    <n v="75.459999999999994"/>
    <n v="1144.08"/>
    <x v="1"/>
  </r>
  <r>
    <x v="451"/>
    <s v="Female"/>
    <n v="42"/>
    <s v="No"/>
    <n v="27"/>
    <x v="3"/>
    <s v="Month-to-month"/>
    <s v="Fiber optic"/>
    <s v="Mailed check"/>
    <s v="No"/>
    <s v="Yes"/>
    <n v="5"/>
    <n v="72.510000000000005"/>
    <n v="1857.27"/>
    <x v="0"/>
  </r>
  <r>
    <x v="452"/>
    <s v="Female"/>
    <n v="47"/>
    <s v="No"/>
    <n v="64"/>
    <x v="0"/>
    <s v="One year"/>
    <s v="DSL"/>
    <s v="Electronic check"/>
    <s v="No"/>
    <s v="No"/>
    <n v="8"/>
    <n v="70.290000000000006"/>
    <n v="4493.41"/>
    <x v="0"/>
  </r>
  <r>
    <x v="453"/>
    <s v="Female"/>
    <n v="31"/>
    <s v="No"/>
    <n v="51"/>
    <x v="0"/>
    <s v="Two year"/>
    <s v="Fiber optic"/>
    <s v="Electronic check"/>
    <s v="Yes"/>
    <s v="No"/>
    <n v="7"/>
    <n v="98.17"/>
    <n v="5305.97"/>
    <x v="0"/>
  </r>
  <r>
    <x v="454"/>
    <s v="Male"/>
    <n v="24"/>
    <s v="No"/>
    <n v="53"/>
    <x v="0"/>
    <s v="Month-to-month"/>
    <s v="Fiber optic"/>
    <s v="Electronic check"/>
    <s v="No"/>
    <s v="No"/>
    <n v="2"/>
    <n v="67.540000000000006"/>
    <n v="3736.24"/>
    <x v="0"/>
  </r>
  <r>
    <x v="455"/>
    <s v="Male"/>
    <n v="34"/>
    <s v="No"/>
    <n v="51"/>
    <x v="0"/>
    <s v="Month-to-month"/>
    <s v="DSL"/>
    <s v="Electronic check"/>
    <s v="No"/>
    <s v="No"/>
    <n v="4"/>
    <n v="59.67"/>
    <n v="2839.25"/>
    <x v="0"/>
  </r>
  <r>
    <x v="456"/>
    <s v="Female"/>
    <n v="61"/>
    <s v="Yes"/>
    <n v="47"/>
    <x v="3"/>
    <s v="Two year"/>
    <s v="DSL"/>
    <s v="Electronic check"/>
    <s v="No"/>
    <s v="No"/>
    <n v="5"/>
    <n v="64.73"/>
    <n v="3218.56"/>
    <x v="0"/>
  </r>
  <r>
    <x v="457"/>
    <s v="Female"/>
    <n v="37"/>
    <s v="No"/>
    <n v="4"/>
    <x v="2"/>
    <s v="Month-to-month"/>
    <s v="Fiber optic"/>
    <s v="Mailed check"/>
    <s v="Yes"/>
    <s v="No"/>
    <n v="6"/>
    <n v="99.66"/>
    <n v="384.21"/>
    <x v="1"/>
  </r>
  <r>
    <x v="458"/>
    <s v="Male"/>
    <n v="53"/>
    <s v="No"/>
    <n v="7"/>
    <x v="1"/>
    <s v="Two year"/>
    <s v="Fiber optic"/>
    <s v="Bank transfer"/>
    <s v="No"/>
    <s v="Yes"/>
    <n v="5"/>
    <n v="89.16"/>
    <n v="640.66999999999996"/>
    <x v="0"/>
  </r>
  <r>
    <x v="459"/>
    <s v="Male"/>
    <n v="26"/>
    <s v="No"/>
    <n v="35"/>
    <x v="3"/>
    <s v="Month-to-month"/>
    <s v="Fiber optic"/>
    <s v="Bank transfer"/>
    <s v="No"/>
    <s v="No"/>
    <n v="7"/>
    <n v="95.78"/>
    <n v="3162.63"/>
    <x v="0"/>
  </r>
  <r>
    <x v="460"/>
    <s v="Female"/>
    <n v="55"/>
    <s v="No"/>
    <n v="48"/>
    <x v="3"/>
    <s v="One year"/>
    <s v="Fiber optic"/>
    <s v="Electronic check"/>
    <s v="No"/>
    <s v="Yes"/>
    <n v="6"/>
    <n v="88.11"/>
    <n v="4347.46"/>
    <x v="0"/>
  </r>
  <r>
    <x v="461"/>
    <s v="Male"/>
    <n v="65"/>
    <s v="Yes"/>
    <n v="72"/>
    <x v="0"/>
    <s v="One year"/>
    <s v="DSL"/>
    <s v="Bank transfer"/>
    <s v="Yes"/>
    <s v="Yes"/>
    <n v="4"/>
    <n v="53.18"/>
    <n v="3544.52"/>
    <x v="0"/>
  </r>
  <r>
    <x v="462"/>
    <s v="Female"/>
    <n v="74"/>
    <s v="Yes"/>
    <n v="45"/>
    <x v="3"/>
    <s v="Month-to-month"/>
    <s v="Fiber optic"/>
    <s v="Bank transfer"/>
    <s v="No"/>
    <s v="No"/>
    <n v="8"/>
    <n v="96.7"/>
    <n v="4421.57"/>
    <x v="1"/>
  </r>
  <r>
    <x v="463"/>
    <s v="Male"/>
    <n v="39"/>
    <s v="No"/>
    <n v="72"/>
    <x v="0"/>
    <s v="Two year"/>
    <s v="DSL"/>
    <s v="Bank transfer"/>
    <s v="No"/>
    <s v="No"/>
    <n v="4"/>
    <n v="74.23"/>
    <n v="5469.36"/>
    <x v="0"/>
  </r>
  <r>
    <x v="464"/>
    <s v="Female"/>
    <n v="71"/>
    <s v="Yes"/>
    <n v="19"/>
    <x v="4"/>
    <s v="Month-to-month"/>
    <s v="No"/>
    <s v="Credit card"/>
    <s v="No"/>
    <s v="No"/>
    <n v="5"/>
    <n v="48.59"/>
    <n v="885.47"/>
    <x v="1"/>
  </r>
  <r>
    <x v="465"/>
    <s v="Male"/>
    <n v="70"/>
    <s v="Yes"/>
    <n v="63"/>
    <x v="0"/>
    <s v="Month-to-month"/>
    <s v="Fiber optic"/>
    <s v="Electronic check"/>
    <s v="Yes"/>
    <s v="Yes"/>
    <n v="3"/>
    <n v="71.14"/>
    <n v="4795.17"/>
    <x v="0"/>
  </r>
  <r>
    <x v="466"/>
    <s v="Female"/>
    <n v="70"/>
    <s v="Yes"/>
    <n v="38"/>
    <x v="3"/>
    <s v="One year"/>
    <s v="No"/>
    <s v="Electronic check"/>
    <s v="No"/>
    <s v="Yes"/>
    <n v="6"/>
    <n v="46.07"/>
    <n v="1623.48"/>
    <x v="0"/>
  </r>
  <r>
    <x v="467"/>
    <s v="Male"/>
    <n v="19"/>
    <s v="No"/>
    <n v="67"/>
    <x v="0"/>
    <s v="Month-to-month"/>
    <s v="Fiber optic"/>
    <s v="Mailed check"/>
    <s v="No"/>
    <s v="Yes"/>
    <n v="3"/>
    <n v="84.93"/>
    <n v="6046.94"/>
    <x v="0"/>
  </r>
  <r>
    <x v="468"/>
    <s v="Male"/>
    <n v="41"/>
    <s v="No"/>
    <n v="59"/>
    <x v="0"/>
    <s v="One year"/>
    <s v="Fiber optic"/>
    <s v="Electronic check"/>
    <s v="No"/>
    <s v="Yes"/>
    <n v="4"/>
    <n v="75.27"/>
    <n v="4357.01"/>
    <x v="0"/>
  </r>
  <r>
    <x v="469"/>
    <s v="Female"/>
    <n v="25"/>
    <s v="No"/>
    <n v="69"/>
    <x v="0"/>
    <s v="Month-to-month"/>
    <s v="Fiber optic"/>
    <s v="Bank transfer"/>
    <s v="Yes"/>
    <s v="Yes"/>
    <n v="2"/>
    <n v="69.59"/>
    <n v="4966.0600000000004"/>
    <x v="0"/>
  </r>
  <r>
    <x v="470"/>
    <s v="Male"/>
    <n v="28"/>
    <s v="No"/>
    <n v="13"/>
    <x v="4"/>
    <s v="Month-to-month"/>
    <s v="Fiber optic"/>
    <s v="Mailed check"/>
    <s v="Yes"/>
    <s v="No"/>
    <n v="1"/>
    <n v="59.01"/>
    <n v="785.73"/>
    <x v="0"/>
  </r>
  <r>
    <x v="471"/>
    <s v="Female"/>
    <n v="30"/>
    <s v="No"/>
    <n v="47"/>
    <x v="3"/>
    <s v="Month-to-month"/>
    <s v="Fiber optic"/>
    <s v="Electronic check"/>
    <s v="No"/>
    <s v="No"/>
    <n v="4"/>
    <n v="77.05"/>
    <n v="3429.13"/>
    <x v="0"/>
  </r>
  <r>
    <x v="472"/>
    <s v="Male"/>
    <n v="34"/>
    <s v="No"/>
    <n v="61"/>
    <x v="0"/>
    <s v="Month-to-month"/>
    <s v="Fiber optic"/>
    <s v="Electronic check"/>
    <s v="No"/>
    <s v="No"/>
    <n v="4"/>
    <n v="82.31"/>
    <n v="4875.5"/>
    <x v="0"/>
  </r>
  <r>
    <x v="473"/>
    <s v="Female"/>
    <n v="25"/>
    <s v="No"/>
    <n v="31"/>
    <x v="3"/>
    <s v="Month-to-month"/>
    <s v="DSL"/>
    <s v="Electronic check"/>
    <s v="No"/>
    <s v="No"/>
    <n v="2"/>
    <n v="48.92"/>
    <n v="1523.72"/>
    <x v="0"/>
  </r>
  <r>
    <x v="474"/>
    <s v="Male"/>
    <n v="38"/>
    <s v="No"/>
    <n v="22"/>
    <x v="4"/>
    <s v="One year"/>
    <s v="No"/>
    <s v="Bank transfer"/>
    <s v="Yes"/>
    <s v="Yes"/>
    <n v="6"/>
    <n v="49.17"/>
    <n v="1141.71"/>
    <x v="0"/>
  </r>
  <r>
    <x v="475"/>
    <s v="Female"/>
    <n v="35"/>
    <s v="No"/>
    <n v="43"/>
    <x v="3"/>
    <s v="Two year"/>
    <s v="DSL"/>
    <s v="Bank transfer"/>
    <s v="No"/>
    <s v="No"/>
    <n v="4"/>
    <n v="50.93"/>
    <n v="2349.37"/>
    <x v="1"/>
  </r>
  <r>
    <x v="476"/>
    <s v="Male"/>
    <n v="47"/>
    <s v="No"/>
    <n v="67"/>
    <x v="0"/>
    <s v="Two year"/>
    <s v="Fiber optic"/>
    <s v="Electronic check"/>
    <s v="No"/>
    <s v="Yes"/>
    <n v="3"/>
    <n v="71.099999999999994"/>
    <n v="4398.29"/>
    <x v="0"/>
  </r>
  <r>
    <x v="477"/>
    <s v="Female"/>
    <n v="35"/>
    <s v="No"/>
    <n v="54"/>
    <x v="0"/>
    <s v="Month-to-month"/>
    <s v="DSL"/>
    <s v="Electronic check"/>
    <s v="No"/>
    <s v="No"/>
    <n v="4"/>
    <n v="73.930000000000007"/>
    <n v="3898.04"/>
    <x v="1"/>
  </r>
  <r>
    <x v="478"/>
    <s v="Male"/>
    <n v="63"/>
    <s v="Yes"/>
    <n v="10"/>
    <x v="1"/>
    <s v="Month-to-month"/>
    <s v="DSL"/>
    <s v="Electronic check"/>
    <s v="No"/>
    <s v="No"/>
    <n v="7"/>
    <n v="70.06"/>
    <n v="719.45"/>
    <x v="1"/>
  </r>
  <r>
    <x v="479"/>
    <s v="Female"/>
    <n v="64"/>
    <s v="Yes"/>
    <n v="42"/>
    <x v="3"/>
    <s v="Month-to-month"/>
    <s v="No"/>
    <s v="Electronic check"/>
    <s v="No"/>
    <s v="No"/>
    <n v="2"/>
    <n v="35.54"/>
    <n v="1499.3"/>
    <x v="1"/>
  </r>
  <r>
    <x v="480"/>
    <s v="Female"/>
    <n v="48"/>
    <s v="No"/>
    <n v="64"/>
    <x v="0"/>
    <s v="Month-to-month"/>
    <s v="No"/>
    <s v="Credit card"/>
    <s v="No"/>
    <s v="Yes"/>
    <n v="2"/>
    <n v="27.39"/>
    <n v="1877.22"/>
    <x v="0"/>
  </r>
  <r>
    <x v="481"/>
    <s v="Female"/>
    <n v="55"/>
    <s v="No"/>
    <n v="21"/>
    <x v="4"/>
    <s v="Month-to-month"/>
    <s v="No"/>
    <s v="Electronic check"/>
    <s v="No"/>
    <s v="No"/>
    <n v="2"/>
    <n v="33.36"/>
    <n v="646.41999999999996"/>
    <x v="1"/>
  </r>
  <r>
    <x v="482"/>
    <s v="Male"/>
    <n v="49"/>
    <s v="No"/>
    <n v="66"/>
    <x v="0"/>
    <s v="Month-to-month"/>
    <s v="Fiber optic"/>
    <s v="Bank transfer"/>
    <s v="Yes"/>
    <s v="Yes"/>
    <n v="6"/>
    <n v="85.11"/>
    <n v="5561.3"/>
    <x v="0"/>
  </r>
  <r>
    <x v="483"/>
    <s v="Female"/>
    <n v="28"/>
    <s v="No"/>
    <n v="41"/>
    <x v="3"/>
    <s v="Month-to-month"/>
    <s v="DSL"/>
    <s v="Credit card"/>
    <s v="Yes"/>
    <s v="Yes"/>
    <n v="3"/>
    <n v="62.7"/>
    <n v="2640.13"/>
    <x v="0"/>
  </r>
  <r>
    <x v="484"/>
    <s v="Male"/>
    <n v="62"/>
    <s v="Yes"/>
    <n v="24"/>
    <x v="4"/>
    <s v="Two year"/>
    <s v="Fiber optic"/>
    <s v="Electronic check"/>
    <s v="No"/>
    <s v="Yes"/>
    <n v="5"/>
    <n v="90.37"/>
    <n v="2070.88"/>
    <x v="1"/>
  </r>
  <r>
    <x v="485"/>
    <s v="Female"/>
    <n v="42"/>
    <s v="No"/>
    <n v="35"/>
    <x v="3"/>
    <s v="Month-to-month"/>
    <s v="No"/>
    <s v="Mailed check"/>
    <s v="No"/>
    <s v="No"/>
    <n v="1"/>
    <n v="37.11"/>
    <n v="1345.79"/>
    <x v="0"/>
  </r>
  <r>
    <x v="486"/>
    <s v="Male"/>
    <n v="50"/>
    <s v="No"/>
    <n v="56"/>
    <x v="0"/>
    <s v="Month-to-month"/>
    <s v="Fiber optic"/>
    <s v="Credit card"/>
    <s v="Yes"/>
    <s v="No"/>
    <n v="4"/>
    <n v="79.56"/>
    <n v="4156.84"/>
    <x v="0"/>
  </r>
  <r>
    <x v="487"/>
    <s v="Female"/>
    <n v="55"/>
    <s v="No"/>
    <n v="30"/>
    <x v="3"/>
    <s v="Month-to-month"/>
    <s v="Fiber optic"/>
    <s v="Credit card"/>
    <s v="Yes"/>
    <s v="Yes"/>
    <n v="1"/>
    <n v="81.28"/>
    <n v="2419.3000000000002"/>
    <x v="0"/>
  </r>
  <r>
    <x v="488"/>
    <s v="Male"/>
    <n v="58"/>
    <s v="No"/>
    <n v="57"/>
    <x v="0"/>
    <s v="Month-to-month"/>
    <s v="Fiber optic"/>
    <s v="Mailed check"/>
    <s v="No"/>
    <s v="No"/>
    <n v="4"/>
    <n v="84.63"/>
    <n v="4959.93"/>
    <x v="1"/>
  </r>
  <r>
    <x v="489"/>
    <s v="Male"/>
    <n v="25"/>
    <s v="No"/>
    <n v="47"/>
    <x v="3"/>
    <s v="Two year"/>
    <s v="DSL"/>
    <s v="Credit card"/>
    <s v="No"/>
    <s v="No"/>
    <n v="3"/>
    <n v="44.99"/>
    <n v="2035.62"/>
    <x v="0"/>
  </r>
  <r>
    <x v="490"/>
    <s v="Female"/>
    <n v="28"/>
    <s v="No"/>
    <n v="35"/>
    <x v="3"/>
    <s v="Month-to-month"/>
    <s v="Fiber optic"/>
    <s v="Credit card"/>
    <s v="No"/>
    <s v="No"/>
    <n v="2"/>
    <n v="81.8"/>
    <n v="2667.79"/>
    <x v="0"/>
  </r>
  <r>
    <x v="491"/>
    <s v="Male"/>
    <n v="39"/>
    <s v="No"/>
    <n v="19"/>
    <x v="4"/>
    <s v="Month-to-month"/>
    <s v="Fiber optic"/>
    <s v="Mailed check"/>
    <s v="No"/>
    <s v="No"/>
    <n v="4"/>
    <n v="78.959999999999994"/>
    <n v="1609.94"/>
    <x v="0"/>
  </r>
  <r>
    <x v="492"/>
    <s v="Male"/>
    <n v="68"/>
    <s v="Yes"/>
    <n v="8"/>
    <x v="1"/>
    <s v="Month-to-month"/>
    <s v="No"/>
    <s v="Credit card"/>
    <s v="No"/>
    <s v="No"/>
    <n v="2"/>
    <n v="40.97"/>
    <n v="349.46"/>
    <x v="0"/>
  </r>
  <r>
    <x v="493"/>
    <s v="Female"/>
    <n v="41"/>
    <s v="No"/>
    <n v="26"/>
    <x v="3"/>
    <s v="Month-to-month"/>
    <s v="No"/>
    <s v="Mailed check"/>
    <s v="No"/>
    <s v="No"/>
    <n v="2"/>
    <n v="25.63"/>
    <n v="711.84"/>
    <x v="0"/>
  </r>
  <r>
    <x v="494"/>
    <s v="Male"/>
    <n v="58"/>
    <s v="No"/>
    <n v="71"/>
    <x v="0"/>
    <s v="Month-to-month"/>
    <s v="Fiber optic"/>
    <s v="Bank transfer"/>
    <s v="Yes"/>
    <s v="No"/>
    <n v="3"/>
    <n v="74.5"/>
    <n v="5694.47"/>
    <x v="0"/>
  </r>
  <r>
    <x v="495"/>
    <s v="Male"/>
    <n v="34"/>
    <s v="No"/>
    <n v="30"/>
    <x v="3"/>
    <s v="Two year"/>
    <s v="Fiber optic"/>
    <s v="Credit card"/>
    <s v="No"/>
    <s v="No"/>
    <n v="5"/>
    <n v="88.25"/>
    <n v="2513.94"/>
    <x v="1"/>
  </r>
  <r>
    <x v="496"/>
    <s v="Male"/>
    <n v="29"/>
    <s v="No"/>
    <n v="7"/>
    <x v="1"/>
    <s v="Two year"/>
    <s v="No"/>
    <s v="Credit card"/>
    <s v="No"/>
    <s v="No"/>
    <n v="3"/>
    <n v="38.71"/>
    <n v="256.13"/>
    <x v="0"/>
  </r>
  <r>
    <x v="497"/>
    <s v="Female"/>
    <n v="74"/>
    <s v="Yes"/>
    <n v="67"/>
    <x v="0"/>
    <s v="One year"/>
    <s v="No"/>
    <s v="Mailed check"/>
    <s v="Yes"/>
    <s v="Yes"/>
    <n v="2"/>
    <n v="31.95"/>
    <n v="1981.12"/>
    <x v="0"/>
  </r>
  <r>
    <x v="498"/>
    <s v="Male"/>
    <n v="63"/>
    <s v="Yes"/>
    <n v="65"/>
    <x v="0"/>
    <s v="Month-to-month"/>
    <s v="DSL"/>
    <s v="Electronic check"/>
    <s v="No"/>
    <s v="Yes"/>
    <n v="1"/>
    <n v="29.79"/>
    <n v="2057.7399999999998"/>
    <x v="0"/>
  </r>
  <r>
    <x v="499"/>
    <s v="Female"/>
    <n v="49"/>
    <s v="No"/>
    <n v="36"/>
    <x v="3"/>
    <s v="Two year"/>
    <s v="DSL"/>
    <s v="Bank transfer"/>
    <s v="No"/>
    <s v="Yes"/>
    <n v="4"/>
    <n v="53.82"/>
    <n v="2015.88"/>
    <x v="0"/>
  </r>
  <r>
    <x v="500"/>
    <s v="Male"/>
    <n v="32"/>
    <s v="No"/>
    <n v="25"/>
    <x v="3"/>
    <s v="Month-to-month"/>
    <s v="Fiber optic"/>
    <s v="Bank transfer"/>
    <s v="No"/>
    <s v="No"/>
    <n v="2"/>
    <n v="64.16"/>
    <n v="1638.2"/>
    <x v="0"/>
  </r>
  <r>
    <x v="501"/>
    <s v="Male"/>
    <n v="33"/>
    <s v="No"/>
    <n v="37"/>
    <x v="3"/>
    <s v="Month-to-month"/>
    <s v="No"/>
    <s v="Bank transfer"/>
    <s v="No"/>
    <s v="Yes"/>
    <n v="2"/>
    <n v="20"/>
    <n v="790.64"/>
    <x v="0"/>
  </r>
  <r>
    <x v="502"/>
    <s v="Male"/>
    <n v="71"/>
    <s v="Yes"/>
    <n v="1"/>
    <x v="2"/>
    <s v="One year"/>
    <s v="DSL"/>
    <s v="Credit card"/>
    <s v="No"/>
    <s v="No"/>
    <n v="2"/>
    <n v="46.03"/>
    <n v="46.58"/>
    <x v="1"/>
  </r>
  <r>
    <x v="503"/>
    <s v="Female"/>
    <n v="39"/>
    <s v="No"/>
    <n v="15"/>
    <x v="4"/>
    <s v="Month-to-month"/>
    <s v="DSL"/>
    <s v="Credit card"/>
    <s v="No"/>
    <s v="No"/>
    <n v="6"/>
    <n v="80.010000000000005"/>
    <n v="1129.05"/>
    <x v="0"/>
  </r>
  <r>
    <x v="504"/>
    <s v="Male"/>
    <n v="45"/>
    <s v="No"/>
    <n v="37"/>
    <x v="3"/>
    <s v="Month-to-month"/>
    <s v="Fiber optic"/>
    <s v="Mailed check"/>
    <s v="No"/>
    <s v="No"/>
    <n v="4"/>
    <n v="87.1"/>
    <n v="3056.08"/>
    <x v="0"/>
  </r>
  <r>
    <x v="505"/>
    <s v="Male"/>
    <n v="37"/>
    <s v="No"/>
    <n v="13"/>
    <x v="4"/>
    <s v="One year"/>
    <s v="No"/>
    <s v="Electronic check"/>
    <s v="Yes"/>
    <s v="No"/>
    <n v="3"/>
    <n v="31.15"/>
    <n v="381.12"/>
    <x v="0"/>
  </r>
  <r>
    <x v="506"/>
    <s v="Female"/>
    <n v="50"/>
    <s v="No"/>
    <n v="8"/>
    <x v="1"/>
    <s v="Month-to-month"/>
    <s v="DSL"/>
    <s v="Mailed check"/>
    <s v="No"/>
    <s v="No"/>
    <n v="1"/>
    <n v="42.88"/>
    <n v="332.48"/>
    <x v="1"/>
  </r>
  <r>
    <x v="507"/>
    <s v="Male"/>
    <n v="27"/>
    <s v="No"/>
    <n v="5"/>
    <x v="2"/>
    <s v="One year"/>
    <s v="Fiber optic"/>
    <s v="Bank transfer"/>
    <s v="No"/>
    <s v="No"/>
    <n v="4"/>
    <n v="74.900000000000006"/>
    <n v="367.28"/>
    <x v="0"/>
  </r>
  <r>
    <x v="508"/>
    <s v="Female"/>
    <n v="57"/>
    <s v="No"/>
    <n v="60"/>
    <x v="0"/>
    <s v="Month-to-month"/>
    <s v="DSL"/>
    <s v="Bank transfer"/>
    <s v="Yes"/>
    <s v="No"/>
    <n v="2"/>
    <n v="56.29"/>
    <n v="3537.81"/>
    <x v="1"/>
  </r>
  <r>
    <x v="509"/>
    <s v="Female"/>
    <n v="49"/>
    <s v="No"/>
    <n v="1"/>
    <x v="2"/>
    <s v="Two year"/>
    <s v="DSL"/>
    <s v="Bank transfer"/>
    <s v="Yes"/>
    <s v="Yes"/>
    <n v="6"/>
    <n v="69.83"/>
    <n v="66.38"/>
    <x v="0"/>
  </r>
  <r>
    <x v="510"/>
    <s v="Male"/>
    <n v="67"/>
    <s v="Yes"/>
    <n v="36"/>
    <x v="3"/>
    <s v="Two year"/>
    <s v="DSL"/>
    <s v="Mailed check"/>
    <s v="No"/>
    <s v="No"/>
    <n v="4"/>
    <n v="54.02"/>
    <n v="2014.84"/>
    <x v="0"/>
  </r>
  <r>
    <x v="511"/>
    <s v="Female"/>
    <n v="50"/>
    <s v="No"/>
    <n v="35"/>
    <x v="3"/>
    <s v="Two year"/>
    <s v="DSL"/>
    <s v="Electronic check"/>
    <s v="No"/>
    <s v="No"/>
    <n v="2"/>
    <n v="46.82"/>
    <n v="1636.4"/>
    <x v="0"/>
  </r>
  <r>
    <x v="512"/>
    <s v="Male"/>
    <n v="19"/>
    <s v="No"/>
    <n v="66"/>
    <x v="0"/>
    <s v="Month-to-month"/>
    <s v="DSL"/>
    <s v="Electronic check"/>
    <s v="Yes"/>
    <s v="No"/>
    <n v="5"/>
    <n v="70.569999999999993"/>
    <n v="5029.9799999999996"/>
    <x v="0"/>
  </r>
  <r>
    <x v="513"/>
    <s v="Female"/>
    <n v="50"/>
    <s v="No"/>
    <n v="63"/>
    <x v="0"/>
    <s v="Month-to-month"/>
    <s v="No"/>
    <s v="Mailed check"/>
    <s v="Yes"/>
    <s v="No"/>
    <n v="7"/>
    <n v="63.67"/>
    <n v="4188.72"/>
    <x v="0"/>
  </r>
  <r>
    <x v="514"/>
    <s v="Female"/>
    <n v="50"/>
    <s v="No"/>
    <n v="23"/>
    <x v="4"/>
    <s v="Month-to-month"/>
    <s v="Fiber optic"/>
    <s v="Electronic check"/>
    <s v="No"/>
    <s v="No"/>
    <n v="3"/>
    <n v="68.72"/>
    <n v="1699.15"/>
    <x v="1"/>
  </r>
  <r>
    <x v="515"/>
    <s v="Male"/>
    <n v="58"/>
    <s v="No"/>
    <n v="9"/>
    <x v="1"/>
    <s v="Month-to-month"/>
    <s v="Fiber optic"/>
    <s v="Mailed check"/>
    <s v="Yes"/>
    <s v="Yes"/>
    <n v="6"/>
    <n v="86.18"/>
    <n v="756.06"/>
    <x v="1"/>
  </r>
  <r>
    <x v="516"/>
    <s v="Female"/>
    <n v="30"/>
    <s v="No"/>
    <n v="34"/>
    <x v="3"/>
    <s v="Month-to-month"/>
    <s v="Fiber optic"/>
    <s v="Electronic check"/>
    <s v="No"/>
    <s v="No"/>
    <n v="4"/>
    <n v="79.900000000000006"/>
    <n v="2552.7600000000002"/>
    <x v="0"/>
  </r>
  <r>
    <x v="517"/>
    <s v="Female"/>
    <n v="47"/>
    <s v="No"/>
    <n v="46"/>
    <x v="3"/>
    <s v="One year"/>
    <s v="DSL"/>
    <s v="Bank transfer"/>
    <s v="No"/>
    <s v="Yes"/>
    <n v="2"/>
    <n v="49.68"/>
    <n v="2287.44"/>
    <x v="1"/>
  </r>
  <r>
    <x v="518"/>
    <s v="Female"/>
    <n v="50"/>
    <s v="No"/>
    <n v="4"/>
    <x v="2"/>
    <s v="Month-to-month"/>
    <s v="DSL"/>
    <s v="Electronic check"/>
    <s v="No"/>
    <s v="Yes"/>
    <n v="3"/>
    <n v="62.91"/>
    <n v="236.51"/>
    <x v="1"/>
  </r>
  <r>
    <x v="519"/>
    <s v="Female"/>
    <n v="30"/>
    <s v="No"/>
    <n v="30"/>
    <x v="3"/>
    <s v="Two year"/>
    <s v="No"/>
    <s v="Credit card"/>
    <s v="No"/>
    <s v="No"/>
    <n v="1"/>
    <n v="27.93"/>
    <n v="836.89"/>
    <x v="0"/>
  </r>
  <r>
    <x v="520"/>
    <s v="Female"/>
    <n v="69"/>
    <s v="Yes"/>
    <n v="72"/>
    <x v="0"/>
    <s v="Month-to-month"/>
    <s v="DSL"/>
    <s v="Bank transfer"/>
    <s v="Yes"/>
    <s v="No"/>
    <n v="5"/>
    <n v="76.36"/>
    <n v="5295.54"/>
    <x v="0"/>
  </r>
  <r>
    <x v="521"/>
    <s v="Male"/>
    <n v="43"/>
    <s v="No"/>
    <n v="3"/>
    <x v="2"/>
    <s v="Month-to-month"/>
    <s v="DSL"/>
    <s v="Bank transfer"/>
    <s v="No"/>
    <s v="Yes"/>
    <n v="3"/>
    <n v="63.41"/>
    <n v="189.96"/>
    <x v="0"/>
  </r>
  <r>
    <x v="522"/>
    <s v="Female"/>
    <n v="39"/>
    <s v="No"/>
    <n v="14"/>
    <x v="4"/>
    <s v="Month-to-month"/>
    <s v="No"/>
    <s v="Bank transfer"/>
    <s v="Yes"/>
    <s v="No"/>
    <n v="6"/>
    <n v="44.2"/>
    <n v="663.32"/>
    <x v="1"/>
  </r>
  <r>
    <x v="523"/>
    <s v="Male"/>
    <n v="56"/>
    <s v="No"/>
    <n v="60"/>
    <x v="0"/>
    <s v="Two year"/>
    <s v="Fiber optic"/>
    <s v="Electronic check"/>
    <s v="No"/>
    <s v="No"/>
    <n v="1"/>
    <n v="67.47"/>
    <n v="3911.55"/>
    <x v="0"/>
  </r>
  <r>
    <x v="524"/>
    <s v="Female"/>
    <n v="19"/>
    <s v="No"/>
    <n v="45"/>
    <x v="3"/>
    <s v="One year"/>
    <s v="No"/>
    <s v="Mailed check"/>
    <s v="No"/>
    <s v="No"/>
    <n v="2"/>
    <n v="26.16"/>
    <n v="1270.1400000000001"/>
    <x v="0"/>
  </r>
  <r>
    <x v="525"/>
    <s v="Male"/>
    <n v="55"/>
    <s v="No"/>
    <n v="34"/>
    <x v="3"/>
    <s v="Two year"/>
    <s v="Fiber optic"/>
    <s v="Credit card"/>
    <s v="Yes"/>
    <s v="No"/>
    <n v="2"/>
    <n v="68.260000000000005"/>
    <n v="2220.33"/>
    <x v="0"/>
  </r>
  <r>
    <x v="526"/>
    <s v="Male"/>
    <n v="56"/>
    <s v="No"/>
    <n v="45"/>
    <x v="3"/>
    <s v="Two year"/>
    <s v="DSL"/>
    <s v="Credit card"/>
    <s v="No"/>
    <s v="No"/>
    <n v="4"/>
    <n v="65.09"/>
    <n v="2792.26"/>
    <x v="0"/>
  </r>
  <r>
    <x v="527"/>
    <s v="Female"/>
    <n v="43"/>
    <s v="No"/>
    <n v="61"/>
    <x v="0"/>
    <s v="Month-to-month"/>
    <s v="DSL"/>
    <s v="Credit card"/>
    <s v="No"/>
    <s v="Yes"/>
    <n v="5"/>
    <n v="64.72"/>
    <n v="3976.21"/>
    <x v="0"/>
  </r>
  <r>
    <x v="528"/>
    <s v="Female"/>
    <n v="63"/>
    <s v="Yes"/>
    <n v="16"/>
    <x v="4"/>
    <s v="Month-to-month"/>
    <s v="DSL"/>
    <s v="Bank transfer"/>
    <s v="No"/>
    <s v="No"/>
    <n v="2"/>
    <n v="65.790000000000006"/>
    <n v="1110.25"/>
    <x v="1"/>
  </r>
  <r>
    <x v="529"/>
    <s v="Female"/>
    <n v="75"/>
    <s v="Yes"/>
    <n v="66"/>
    <x v="0"/>
    <s v="Month-to-month"/>
    <s v="Fiber optic"/>
    <s v="Electronic check"/>
    <s v="No"/>
    <s v="Yes"/>
    <n v="5"/>
    <n v="74.45"/>
    <n v="5109.8599999999997"/>
    <x v="0"/>
  </r>
  <r>
    <x v="530"/>
    <s v="Male"/>
    <n v="67"/>
    <s v="Yes"/>
    <n v="40"/>
    <x v="3"/>
    <s v="One year"/>
    <s v="Fiber optic"/>
    <s v="Electronic check"/>
    <s v="No"/>
    <s v="No"/>
    <n v="7"/>
    <n v="90.77"/>
    <n v="3760.66"/>
    <x v="1"/>
  </r>
  <r>
    <x v="531"/>
    <s v="Female"/>
    <n v="32"/>
    <s v="No"/>
    <n v="17"/>
    <x v="4"/>
    <s v="Month-to-month"/>
    <s v="DSL"/>
    <s v="Bank transfer"/>
    <s v="No"/>
    <s v="No"/>
    <n v="4"/>
    <n v="55.46"/>
    <n v="910.03"/>
    <x v="0"/>
  </r>
  <r>
    <x v="532"/>
    <s v="Male"/>
    <n v="51"/>
    <s v="No"/>
    <n v="34"/>
    <x v="3"/>
    <s v="Month-to-month"/>
    <s v="No"/>
    <s v="Mailed check"/>
    <s v="No"/>
    <s v="No"/>
    <n v="5"/>
    <n v="42.79"/>
    <n v="1343.71"/>
    <x v="0"/>
  </r>
  <r>
    <x v="533"/>
    <s v="Male"/>
    <n v="59"/>
    <s v="No"/>
    <n v="16"/>
    <x v="4"/>
    <s v="Two year"/>
    <s v="Fiber optic"/>
    <s v="Electronic check"/>
    <s v="No"/>
    <s v="Yes"/>
    <n v="4"/>
    <n v="79.290000000000006"/>
    <n v="1199.98"/>
    <x v="1"/>
  </r>
  <r>
    <x v="534"/>
    <s v="Male"/>
    <n v="72"/>
    <s v="Yes"/>
    <n v="60"/>
    <x v="0"/>
    <s v="Two year"/>
    <s v="No"/>
    <s v="Credit card"/>
    <s v="No"/>
    <s v="Yes"/>
    <n v="3"/>
    <n v="32.26"/>
    <n v="1888.98"/>
    <x v="0"/>
  </r>
  <r>
    <x v="535"/>
    <s v="Female"/>
    <n v="61"/>
    <s v="Yes"/>
    <n v="66"/>
    <x v="0"/>
    <s v="One year"/>
    <s v="Fiber optic"/>
    <s v="Mailed check"/>
    <s v="Yes"/>
    <s v="No"/>
    <n v="8"/>
    <n v="101.71"/>
    <n v="7219.48"/>
    <x v="0"/>
  </r>
  <r>
    <x v="536"/>
    <s v="Female"/>
    <n v="66"/>
    <s v="Yes"/>
    <n v="66"/>
    <x v="0"/>
    <s v="One year"/>
    <s v="DSL"/>
    <s v="Electronic check"/>
    <s v="No"/>
    <s v="No"/>
    <n v="4"/>
    <n v="71.260000000000005"/>
    <n v="5019.04"/>
    <x v="0"/>
  </r>
  <r>
    <x v="537"/>
    <s v="Male"/>
    <n v="57"/>
    <s v="No"/>
    <n v="13"/>
    <x v="4"/>
    <s v="One year"/>
    <s v="DSL"/>
    <s v="Credit card"/>
    <s v="No"/>
    <s v="No"/>
    <n v="4"/>
    <n v="42.65"/>
    <n v="527.89"/>
    <x v="0"/>
  </r>
  <r>
    <x v="538"/>
    <s v="Male"/>
    <n v="28"/>
    <s v="No"/>
    <n v="56"/>
    <x v="0"/>
    <s v="Month-to-month"/>
    <s v="DSL"/>
    <s v="Credit card"/>
    <s v="No"/>
    <s v="Yes"/>
    <n v="4"/>
    <n v="68.75"/>
    <n v="3988.98"/>
    <x v="0"/>
  </r>
  <r>
    <x v="539"/>
    <s v="Female"/>
    <n v="20"/>
    <s v="No"/>
    <n v="31"/>
    <x v="3"/>
    <s v="Month-to-month"/>
    <s v="No"/>
    <s v="Mailed check"/>
    <s v="No"/>
    <s v="No"/>
    <n v="5"/>
    <n v="62.62"/>
    <n v="1965.76"/>
    <x v="1"/>
  </r>
  <r>
    <x v="540"/>
    <s v="Male"/>
    <n v="23"/>
    <s v="No"/>
    <n v="34"/>
    <x v="3"/>
    <s v="One year"/>
    <s v="DSL"/>
    <s v="Credit card"/>
    <s v="No"/>
    <s v="Yes"/>
    <n v="6"/>
    <n v="68.33"/>
    <n v="2155.89"/>
    <x v="0"/>
  </r>
  <r>
    <x v="541"/>
    <s v="Female"/>
    <n v="26"/>
    <s v="No"/>
    <n v="39"/>
    <x v="3"/>
    <s v="One year"/>
    <s v="DSL"/>
    <s v="Credit card"/>
    <s v="No"/>
    <s v="Yes"/>
    <n v="4"/>
    <n v="54.73"/>
    <n v="2090.66"/>
    <x v="0"/>
  </r>
  <r>
    <x v="542"/>
    <s v="Male"/>
    <n v="23"/>
    <s v="No"/>
    <n v="67"/>
    <x v="0"/>
    <s v="Month-to-month"/>
    <s v="Fiber optic"/>
    <s v="Mailed check"/>
    <s v="No"/>
    <s v="No"/>
    <n v="6"/>
    <n v="82.99"/>
    <n v="5547.94"/>
    <x v="0"/>
  </r>
  <r>
    <x v="543"/>
    <s v="Female"/>
    <n v="26"/>
    <s v="No"/>
    <n v="8"/>
    <x v="1"/>
    <s v="Two year"/>
    <s v="Fiber optic"/>
    <s v="Electronic check"/>
    <s v="Yes"/>
    <s v="No"/>
    <n v="2"/>
    <n v="68.849999999999994"/>
    <n v="565.57000000000005"/>
    <x v="1"/>
  </r>
  <r>
    <x v="544"/>
    <s v="Male"/>
    <n v="56"/>
    <s v="No"/>
    <n v="55"/>
    <x v="0"/>
    <s v="Month-to-month"/>
    <s v="Fiber optic"/>
    <s v="Electronic check"/>
    <s v="Yes"/>
    <s v="Yes"/>
    <n v="5"/>
    <n v="86.01"/>
    <n v="4575.32"/>
    <x v="0"/>
  </r>
  <r>
    <x v="545"/>
    <s v="Female"/>
    <n v="48"/>
    <s v="No"/>
    <n v="27"/>
    <x v="3"/>
    <s v="Month-to-month"/>
    <s v="DSL"/>
    <s v="Bank transfer"/>
    <s v="No"/>
    <s v="Yes"/>
    <n v="3"/>
    <n v="52.01"/>
    <n v="1501.74"/>
    <x v="0"/>
  </r>
  <r>
    <x v="546"/>
    <s v="Male"/>
    <n v="49"/>
    <s v="No"/>
    <n v="53"/>
    <x v="0"/>
    <s v="One year"/>
    <s v="Fiber optic"/>
    <s v="Mailed check"/>
    <s v="No"/>
    <s v="No"/>
    <n v="5"/>
    <n v="82.44"/>
    <n v="4335.68"/>
    <x v="0"/>
  </r>
  <r>
    <x v="547"/>
    <s v="Female"/>
    <n v="58"/>
    <s v="No"/>
    <n v="39"/>
    <x v="3"/>
    <s v="Month-to-month"/>
    <s v="Fiber optic"/>
    <s v="Credit card"/>
    <s v="No"/>
    <s v="Yes"/>
    <n v="1"/>
    <n v="60.31"/>
    <n v="2257.4499999999998"/>
    <x v="0"/>
  </r>
  <r>
    <x v="548"/>
    <s v="Female"/>
    <n v="67"/>
    <s v="Yes"/>
    <n v="65"/>
    <x v="0"/>
    <s v="Month-to-month"/>
    <s v="Fiber optic"/>
    <s v="Credit card"/>
    <s v="Yes"/>
    <s v="No"/>
    <n v="4"/>
    <n v="75.8"/>
    <n v="4782.29"/>
    <x v="0"/>
  </r>
  <r>
    <x v="549"/>
    <s v="Male"/>
    <n v="29"/>
    <s v="No"/>
    <n v="17"/>
    <x v="4"/>
    <s v="Month-to-month"/>
    <s v="Fiber optic"/>
    <s v="Credit card"/>
    <s v="Yes"/>
    <s v="No"/>
    <n v="4"/>
    <n v="76.11"/>
    <n v="1346.02"/>
    <x v="0"/>
  </r>
  <r>
    <x v="550"/>
    <s v="Male"/>
    <n v="25"/>
    <s v="No"/>
    <n v="30"/>
    <x v="3"/>
    <s v="One year"/>
    <s v="Fiber optic"/>
    <s v="Credit card"/>
    <s v="Yes"/>
    <s v="Yes"/>
    <n v="4"/>
    <n v="78.75"/>
    <n v="2415.5300000000002"/>
    <x v="0"/>
  </r>
  <r>
    <x v="551"/>
    <s v="Female"/>
    <n v="25"/>
    <s v="No"/>
    <n v="53"/>
    <x v="0"/>
    <s v="Month-to-month"/>
    <s v="No"/>
    <s v="Credit card"/>
    <s v="No"/>
    <s v="Yes"/>
    <n v="1"/>
    <n v="20"/>
    <n v="1101.07"/>
    <x v="0"/>
  </r>
  <r>
    <x v="552"/>
    <s v="Male"/>
    <n v="67"/>
    <s v="Yes"/>
    <n v="13"/>
    <x v="4"/>
    <s v="One year"/>
    <s v="DSL"/>
    <s v="Electronic check"/>
    <s v="No"/>
    <s v="No"/>
    <n v="5"/>
    <n v="60.69"/>
    <n v="762.76"/>
    <x v="0"/>
  </r>
  <r>
    <x v="553"/>
    <s v="Female"/>
    <n v="45"/>
    <s v="No"/>
    <n v="21"/>
    <x v="4"/>
    <s v="One year"/>
    <s v="DSL"/>
    <s v="Electronic check"/>
    <s v="Yes"/>
    <s v="No"/>
    <n v="1"/>
    <n v="45.5"/>
    <n v="929.03"/>
    <x v="0"/>
  </r>
  <r>
    <x v="554"/>
    <s v="Male"/>
    <n v="37"/>
    <s v="No"/>
    <n v="19"/>
    <x v="4"/>
    <s v="Month-to-month"/>
    <s v="DSL"/>
    <s v="Bank transfer"/>
    <s v="No"/>
    <s v="No"/>
    <n v="5"/>
    <n v="64.290000000000006"/>
    <n v="1201.32"/>
    <x v="1"/>
  </r>
  <r>
    <x v="555"/>
    <s v="Female"/>
    <n v="64"/>
    <s v="Yes"/>
    <n v="53"/>
    <x v="0"/>
    <s v="Two year"/>
    <s v="Fiber optic"/>
    <s v="Mailed check"/>
    <s v="No"/>
    <s v="No"/>
    <n v="4"/>
    <n v="88.79"/>
    <n v="4471.3999999999996"/>
    <x v="0"/>
  </r>
  <r>
    <x v="556"/>
    <s v="Female"/>
    <n v="24"/>
    <s v="No"/>
    <n v="19"/>
    <x v="4"/>
    <s v="Month-to-month"/>
    <s v="No"/>
    <s v="Mailed check"/>
    <s v="Yes"/>
    <s v="No"/>
    <n v="6"/>
    <n v="48.29"/>
    <n v="945.56"/>
    <x v="0"/>
  </r>
  <r>
    <x v="557"/>
    <s v="Female"/>
    <n v="28"/>
    <s v="No"/>
    <n v="57"/>
    <x v="0"/>
    <s v="Two year"/>
    <s v="Fiber optic"/>
    <s v="Bank transfer"/>
    <s v="No"/>
    <s v="No"/>
    <n v="2"/>
    <n v="62.48"/>
    <n v="3464.12"/>
    <x v="0"/>
  </r>
  <r>
    <x v="558"/>
    <s v="Female"/>
    <n v="37"/>
    <s v="No"/>
    <n v="25"/>
    <x v="3"/>
    <s v="Month-to-month"/>
    <s v="Fiber optic"/>
    <s v="Credit card"/>
    <s v="No"/>
    <s v="No"/>
    <n v="5"/>
    <n v="83.92"/>
    <n v="2039.67"/>
    <x v="1"/>
  </r>
  <r>
    <x v="559"/>
    <s v="Female"/>
    <n v="33"/>
    <s v="No"/>
    <n v="31"/>
    <x v="3"/>
    <s v="Two year"/>
    <s v="DSL"/>
    <s v="Mailed check"/>
    <s v="Yes"/>
    <s v="Yes"/>
    <n v="4"/>
    <n v="54.04"/>
    <n v="1613.42"/>
    <x v="0"/>
  </r>
  <r>
    <x v="560"/>
    <s v="Female"/>
    <n v="21"/>
    <s v="No"/>
    <n v="55"/>
    <x v="0"/>
    <s v="Month-to-month"/>
    <s v="Fiber optic"/>
    <s v="Credit card"/>
    <s v="Yes"/>
    <s v="No"/>
    <n v="7"/>
    <n v="85.86"/>
    <n v="4686.66"/>
    <x v="0"/>
  </r>
  <r>
    <x v="561"/>
    <s v="Male"/>
    <n v="23"/>
    <s v="No"/>
    <n v="23"/>
    <x v="4"/>
    <s v="Month-to-month"/>
    <s v="DSL"/>
    <s v="Electronic check"/>
    <s v="No"/>
    <s v="No"/>
    <n v="5"/>
    <n v="60.93"/>
    <n v="1462.37"/>
    <x v="1"/>
  </r>
  <r>
    <x v="562"/>
    <s v="Male"/>
    <n v="75"/>
    <s v="Yes"/>
    <n v="32"/>
    <x v="3"/>
    <s v="Month-to-month"/>
    <s v="Fiber optic"/>
    <s v="Bank transfer"/>
    <s v="No"/>
    <s v="No"/>
    <n v="4"/>
    <n v="75.36"/>
    <n v="2541.0100000000002"/>
    <x v="0"/>
  </r>
  <r>
    <x v="563"/>
    <s v="Male"/>
    <n v="39"/>
    <s v="No"/>
    <n v="62"/>
    <x v="0"/>
    <s v="Month-to-month"/>
    <s v="DSL"/>
    <s v="Electronic check"/>
    <s v="No"/>
    <s v="No"/>
    <n v="4"/>
    <n v="51.54"/>
    <n v="3351.17"/>
    <x v="0"/>
  </r>
  <r>
    <x v="564"/>
    <s v="Female"/>
    <n v="43"/>
    <s v="No"/>
    <n v="10"/>
    <x v="1"/>
    <s v="One year"/>
    <s v="DSL"/>
    <s v="Credit card"/>
    <s v="No"/>
    <s v="No"/>
    <n v="3"/>
    <n v="51.6"/>
    <n v="526.01"/>
    <x v="0"/>
  </r>
  <r>
    <x v="565"/>
    <s v="Female"/>
    <n v="20"/>
    <s v="No"/>
    <n v="72"/>
    <x v="0"/>
    <s v="Month-to-month"/>
    <s v="Fiber optic"/>
    <s v="Electronic check"/>
    <s v="Yes"/>
    <s v="No"/>
    <n v="1"/>
    <n v="70.19"/>
    <n v="4876.1400000000003"/>
    <x v="0"/>
  </r>
  <r>
    <x v="566"/>
    <s v="Female"/>
    <n v="58"/>
    <s v="No"/>
    <n v="54"/>
    <x v="0"/>
    <s v="One year"/>
    <s v="DSL"/>
    <s v="Bank transfer"/>
    <s v="No"/>
    <s v="Yes"/>
    <n v="3"/>
    <n v="55.28"/>
    <n v="3097.29"/>
    <x v="0"/>
  </r>
  <r>
    <x v="567"/>
    <s v="Female"/>
    <n v="59"/>
    <s v="No"/>
    <n v="52"/>
    <x v="0"/>
    <s v="Month-to-month"/>
    <s v="Fiber optic"/>
    <s v="Electronic check"/>
    <s v="No"/>
    <s v="Yes"/>
    <n v="6"/>
    <n v="80.05"/>
    <n v="3855.81"/>
    <x v="0"/>
  </r>
  <r>
    <x v="568"/>
    <s v="Male"/>
    <n v="31"/>
    <s v="No"/>
    <n v="20"/>
    <x v="4"/>
    <s v="Month-to-month"/>
    <s v="DSL"/>
    <s v="Electronic check"/>
    <s v="No"/>
    <s v="No"/>
    <n v="4"/>
    <n v="52.98"/>
    <n v="1110.1500000000001"/>
    <x v="0"/>
  </r>
  <r>
    <x v="569"/>
    <s v="Male"/>
    <n v="28"/>
    <s v="No"/>
    <n v="32"/>
    <x v="3"/>
    <s v="One year"/>
    <s v="Fiber optic"/>
    <s v="Mailed check"/>
    <s v="No"/>
    <s v="Yes"/>
    <n v="7"/>
    <n v="91.86"/>
    <n v="3071.32"/>
    <x v="0"/>
  </r>
  <r>
    <x v="570"/>
    <s v="Female"/>
    <n v="35"/>
    <s v="No"/>
    <n v="14"/>
    <x v="4"/>
    <s v="Month-to-month"/>
    <s v="DSL"/>
    <s v="Mailed check"/>
    <s v="No"/>
    <s v="Yes"/>
    <n v="7"/>
    <n v="64.09"/>
    <n v="921.67"/>
    <x v="0"/>
  </r>
  <r>
    <x v="571"/>
    <s v="Male"/>
    <n v="71"/>
    <s v="Yes"/>
    <n v="50"/>
    <x v="0"/>
    <s v="One year"/>
    <s v="DSL"/>
    <s v="Electronic check"/>
    <s v="No"/>
    <s v="No"/>
    <n v="5"/>
    <n v="56.72"/>
    <n v="2653.55"/>
    <x v="1"/>
  </r>
  <r>
    <x v="572"/>
    <s v="Male"/>
    <n v="29"/>
    <s v="No"/>
    <n v="28"/>
    <x v="3"/>
    <s v="One year"/>
    <s v="Fiber optic"/>
    <s v="Electronic check"/>
    <s v="No"/>
    <s v="No"/>
    <n v="5"/>
    <n v="79"/>
    <n v="2388.02"/>
    <x v="0"/>
  </r>
  <r>
    <x v="573"/>
    <s v="Female"/>
    <n v="40"/>
    <s v="No"/>
    <n v="53"/>
    <x v="0"/>
    <s v="Two year"/>
    <s v="No"/>
    <s v="Bank transfer"/>
    <s v="No"/>
    <s v="No"/>
    <n v="3"/>
    <n v="30.2"/>
    <n v="1666.27"/>
    <x v="0"/>
  </r>
  <r>
    <x v="574"/>
    <s v="Male"/>
    <n v="29"/>
    <s v="No"/>
    <n v="24"/>
    <x v="4"/>
    <s v="Month-to-month"/>
    <s v="No"/>
    <s v="Bank transfer"/>
    <s v="Yes"/>
    <s v="Yes"/>
    <n v="3"/>
    <n v="37.71"/>
    <n v="939.04"/>
    <x v="0"/>
  </r>
  <r>
    <x v="575"/>
    <s v="Female"/>
    <n v="30"/>
    <s v="No"/>
    <n v="22"/>
    <x v="4"/>
    <s v="One year"/>
    <s v="DSL"/>
    <s v="Electronic check"/>
    <s v="No"/>
    <s v="Yes"/>
    <n v="6"/>
    <n v="64.849999999999994"/>
    <n v="1327.18"/>
    <x v="0"/>
  </r>
  <r>
    <x v="576"/>
    <s v="Male"/>
    <n v="42"/>
    <s v="No"/>
    <n v="30"/>
    <x v="3"/>
    <s v="Two year"/>
    <s v="DSL"/>
    <s v="Bank transfer"/>
    <s v="No"/>
    <s v="Yes"/>
    <n v="2"/>
    <n v="60.83"/>
    <n v="1795.32"/>
    <x v="0"/>
  </r>
  <r>
    <x v="577"/>
    <s v="Female"/>
    <n v="62"/>
    <s v="Yes"/>
    <n v="63"/>
    <x v="0"/>
    <s v="One year"/>
    <s v="Fiber optic"/>
    <s v="Electronic check"/>
    <s v="No"/>
    <s v="No"/>
    <n v="6"/>
    <n v="78.87"/>
    <n v="4639.8100000000004"/>
    <x v="0"/>
  </r>
  <r>
    <x v="578"/>
    <s v="Female"/>
    <n v="68"/>
    <s v="Yes"/>
    <n v="4"/>
    <x v="2"/>
    <s v="Month-to-month"/>
    <s v="DSL"/>
    <s v="Bank transfer"/>
    <s v="No"/>
    <s v="Yes"/>
    <n v="3"/>
    <n v="63.06"/>
    <n v="246.63"/>
    <x v="0"/>
  </r>
  <r>
    <x v="579"/>
    <s v="Female"/>
    <n v="75"/>
    <s v="Yes"/>
    <n v="59"/>
    <x v="0"/>
    <s v="One year"/>
    <s v="Fiber optic"/>
    <s v="Electronic check"/>
    <s v="Yes"/>
    <s v="No"/>
    <n v="8"/>
    <n v="96.66"/>
    <n v="5767.26"/>
    <x v="0"/>
  </r>
  <r>
    <x v="580"/>
    <s v="Female"/>
    <n v="36"/>
    <s v="No"/>
    <n v="8"/>
    <x v="1"/>
    <s v="One year"/>
    <s v="Fiber optic"/>
    <s v="Bank transfer"/>
    <s v="Yes"/>
    <s v="Yes"/>
    <n v="7"/>
    <n v="101.44"/>
    <n v="860.71"/>
    <x v="0"/>
  </r>
  <r>
    <x v="581"/>
    <s v="Male"/>
    <n v="72"/>
    <s v="Yes"/>
    <n v="12"/>
    <x v="1"/>
    <s v="One year"/>
    <s v="No"/>
    <s v="Electronic check"/>
    <s v="Yes"/>
    <s v="No"/>
    <n v="2"/>
    <n v="42.49"/>
    <n v="492.17"/>
    <x v="0"/>
  </r>
  <r>
    <x v="582"/>
    <s v="Female"/>
    <n v="63"/>
    <s v="Yes"/>
    <n v="31"/>
    <x v="3"/>
    <s v="Month-to-month"/>
    <s v="DSL"/>
    <s v="Credit card"/>
    <s v="No"/>
    <s v="No"/>
    <n v="4"/>
    <n v="56.01"/>
    <n v="1770.6"/>
    <x v="1"/>
  </r>
  <r>
    <x v="583"/>
    <s v="Female"/>
    <n v="53"/>
    <s v="No"/>
    <n v="34"/>
    <x v="3"/>
    <s v="Month-to-month"/>
    <s v="Fiber optic"/>
    <s v="Electronic check"/>
    <s v="No"/>
    <s v="Yes"/>
    <n v="3"/>
    <n v="65.14"/>
    <n v="2095.9299999999998"/>
    <x v="0"/>
  </r>
  <r>
    <x v="584"/>
    <s v="Female"/>
    <n v="62"/>
    <s v="Yes"/>
    <n v="49"/>
    <x v="0"/>
    <s v="Two year"/>
    <s v="Fiber optic"/>
    <s v="Electronic check"/>
    <s v="Yes"/>
    <s v="No"/>
    <n v="3"/>
    <n v="73.97"/>
    <n v="3539.84"/>
    <x v="0"/>
  </r>
  <r>
    <x v="585"/>
    <s v="Male"/>
    <n v="25"/>
    <s v="No"/>
    <n v="57"/>
    <x v="0"/>
    <s v="Month-to-month"/>
    <s v="DSL"/>
    <s v="Electronic check"/>
    <s v="Yes"/>
    <s v="No"/>
    <n v="3"/>
    <n v="41.16"/>
    <n v="2514"/>
    <x v="0"/>
  </r>
  <r>
    <x v="586"/>
    <s v="Female"/>
    <n v="46"/>
    <s v="No"/>
    <n v="26"/>
    <x v="3"/>
    <s v="One year"/>
    <s v="Fiber optic"/>
    <s v="Credit card"/>
    <s v="No"/>
    <s v="No"/>
    <n v="7"/>
    <n v="95.62"/>
    <n v="2584.63"/>
    <x v="0"/>
  </r>
  <r>
    <x v="587"/>
    <s v="Male"/>
    <n v="72"/>
    <s v="Yes"/>
    <n v="18"/>
    <x v="4"/>
    <s v="Month-to-month"/>
    <s v="Fiber optic"/>
    <s v="Bank transfer"/>
    <s v="Yes"/>
    <s v="No"/>
    <n v="2"/>
    <n v="72.06"/>
    <n v="1306.5899999999999"/>
    <x v="0"/>
  </r>
  <r>
    <x v="588"/>
    <s v="Female"/>
    <n v="70"/>
    <s v="Yes"/>
    <n v="38"/>
    <x v="3"/>
    <s v="Month-to-month"/>
    <s v="Fiber optic"/>
    <s v="Bank transfer"/>
    <s v="No"/>
    <s v="No"/>
    <n v="1"/>
    <n v="62.81"/>
    <n v="2291.96"/>
    <x v="1"/>
  </r>
  <r>
    <x v="589"/>
    <s v="Male"/>
    <n v="72"/>
    <s v="Yes"/>
    <n v="50"/>
    <x v="0"/>
    <s v="Month-to-month"/>
    <s v="DSL"/>
    <s v="Credit card"/>
    <s v="No"/>
    <s v="No"/>
    <n v="6"/>
    <n v="63.85"/>
    <n v="3131.05"/>
    <x v="1"/>
  </r>
  <r>
    <x v="590"/>
    <s v="Male"/>
    <n v="49"/>
    <s v="No"/>
    <n v="8"/>
    <x v="1"/>
    <s v="Month-to-month"/>
    <s v="DSL"/>
    <s v="Credit card"/>
    <s v="Yes"/>
    <s v="No"/>
    <n v="5"/>
    <n v="55.85"/>
    <n v="422.26"/>
    <x v="1"/>
  </r>
  <r>
    <x v="591"/>
    <s v="Female"/>
    <n v="68"/>
    <s v="Yes"/>
    <n v="41"/>
    <x v="3"/>
    <s v="Two year"/>
    <s v="Fiber optic"/>
    <s v="Bank transfer"/>
    <s v="Yes"/>
    <s v="No"/>
    <n v="4"/>
    <n v="78.78"/>
    <n v="3154.25"/>
    <x v="0"/>
  </r>
  <r>
    <x v="592"/>
    <s v="Male"/>
    <n v="61"/>
    <s v="Yes"/>
    <n v="6"/>
    <x v="2"/>
    <s v="Two year"/>
    <s v="DSL"/>
    <s v="Electronic check"/>
    <s v="Yes"/>
    <s v="Yes"/>
    <n v="6"/>
    <n v="60.06"/>
    <n v="340.22"/>
    <x v="1"/>
  </r>
  <r>
    <x v="593"/>
    <s v="Female"/>
    <n v="35"/>
    <s v="No"/>
    <n v="69"/>
    <x v="0"/>
    <s v="One year"/>
    <s v="Fiber optic"/>
    <s v="Credit card"/>
    <s v="No"/>
    <s v="No"/>
    <n v="1"/>
    <n v="66.739999999999995"/>
    <n v="4822.6499999999996"/>
    <x v="0"/>
  </r>
  <r>
    <x v="594"/>
    <s v="Female"/>
    <n v="23"/>
    <s v="No"/>
    <n v="44"/>
    <x v="3"/>
    <s v="Month-to-month"/>
    <s v="DSL"/>
    <s v="Electronic check"/>
    <s v="Yes"/>
    <s v="No"/>
    <n v="5"/>
    <n v="65.47"/>
    <n v="2687.45"/>
    <x v="1"/>
  </r>
  <r>
    <x v="595"/>
    <s v="Female"/>
    <n v="35"/>
    <s v="No"/>
    <n v="64"/>
    <x v="0"/>
    <s v="One year"/>
    <s v="No"/>
    <s v="Bank transfer"/>
    <s v="No"/>
    <s v="No"/>
    <n v="2"/>
    <n v="37.549999999999997"/>
    <n v="2283.77"/>
    <x v="0"/>
  </r>
  <r>
    <x v="596"/>
    <s v="Male"/>
    <n v="36"/>
    <s v="No"/>
    <n v="29"/>
    <x v="3"/>
    <s v="One year"/>
    <s v="DSL"/>
    <s v="Bank transfer"/>
    <s v="No"/>
    <s v="No"/>
    <n v="6"/>
    <n v="70.12"/>
    <n v="2095.6799999999998"/>
    <x v="0"/>
  </r>
  <r>
    <x v="597"/>
    <s v="Male"/>
    <n v="39"/>
    <s v="No"/>
    <n v="28"/>
    <x v="3"/>
    <s v="One year"/>
    <s v="No"/>
    <s v="Bank transfer"/>
    <s v="Yes"/>
    <s v="No"/>
    <n v="3"/>
    <n v="34.909999999999997"/>
    <n v="1040.43"/>
    <x v="0"/>
  </r>
  <r>
    <x v="598"/>
    <s v="Female"/>
    <n v="54"/>
    <s v="No"/>
    <n v="11"/>
    <x v="1"/>
    <s v="Month-to-month"/>
    <s v="No"/>
    <s v="Bank transfer"/>
    <s v="Yes"/>
    <s v="No"/>
    <n v="2"/>
    <n v="36.11"/>
    <n v="426.74"/>
    <x v="0"/>
  </r>
  <r>
    <x v="599"/>
    <s v="Female"/>
    <n v="49"/>
    <s v="No"/>
    <n v="65"/>
    <x v="0"/>
    <s v="One year"/>
    <s v="DSL"/>
    <s v="Bank transfer"/>
    <s v="No"/>
    <s v="No"/>
    <n v="6"/>
    <n v="67.95"/>
    <n v="4654.21"/>
    <x v="0"/>
  </r>
  <r>
    <x v="600"/>
    <s v="Male"/>
    <n v="73"/>
    <s v="Yes"/>
    <n v="19"/>
    <x v="4"/>
    <s v="One year"/>
    <s v="DSL"/>
    <s v="Credit card"/>
    <s v="No"/>
    <s v="No"/>
    <n v="2"/>
    <n v="51.89"/>
    <n v="940.4"/>
    <x v="0"/>
  </r>
  <r>
    <x v="601"/>
    <s v="Female"/>
    <n v="58"/>
    <s v="No"/>
    <n v="9"/>
    <x v="1"/>
    <s v="Two year"/>
    <s v="No"/>
    <s v="Electronic check"/>
    <s v="No"/>
    <s v="No"/>
    <n v="3"/>
    <n v="29.81"/>
    <n v="259.08999999999997"/>
    <x v="0"/>
  </r>
  <r>
    <x v="602"/>
    <s v="Female"/>
    <n v="20"/>
    <s v="No"/>
    <n v="27"/>
    <x v="3"/>
    <s v="Month-to-month"/>
    <s v="Fiber optic"/>
    <s v="Electronic check"/>
    <s v="Yes"/>
    <s v="Yes"/>
    <n v="2"/>
    <n v="62.26"/>
    <n v="1780.74"/>
    <x v="0"/>
  </r>
  <r>
    <x v="603"/>
    <s v="Female"/>
    <n v="45"/>
    <s v="No"/>
    <n v="34"/>
    <x v="3"/>
    <s v="One year"/>
    <s v="Fiber optic"/>
    <s v="Bank transfer"/>
    <s v="Yes"/>
    <s v="Yes"/>
    <n v="5"/>
    <n v="84.81"/>
    <n v="3063.17"/>
    <x v="0"/>
  </r>
  <r>
    <x v="604"/>
    <s v="Male"/>
    <n v="27"/>
    <s v="No"/>
    <n v="44"/>
    <x v="3"/>
    <s v="One year"/>
    <s v="No"/>
    <s v="Credit card"/>
    <s v="Yes"/>
    <s v="No"/>
    <n v="2"/>
    <n v="36.4"/>
    <n v="1637.64"/>
    <x v="0"/>
  </r>
  <r>
    <x v="605"/>
    <s v="Male"/>
    <n v="68"/>
    <s v="Yes"/>
    <n v="68"/>
    <x v="0"/>
    <s v="Month-to-month"/>
    <s v="DSL"/>
    <s v="Electronic check"/>
    <s v="No"/>
    <s v="No"/>
    <n v="4"/>
    <n v="54.65"/>
    <n v="3605.39"/>
    <x v="0"/>
  </r>
  <r>
    <x v="606"/>
    <s v="Male"/>
    <n v="52"/>
    <s v="No"/>
    <n v="15"/>
    <x v="4"/>
    <s v="Month-to-month"/>
    <s v="Fiber optic"/>
    <s v="Electronic check"/>
    <s v="No"/>
    <s v="Yes"/>
    <n v="5"/>
    <n v="91.22"/>
    <n v="1307.8900000000001"/>
    <x v="0"/>
  </r>
  <r>
    <x v="607"/>
    <s v="Female"/>
    <n v="46"/>
    <s v="No"/>
    <n v="51"/>
    <x v="0"/>
    <s v="Month-to-month"/>
    <s v="Fiber optic"/>
    <s v="Electronic check"/>
    <s v="No"/>
    <s v="Yes"/>
    <n v="2"/>
    <n v="86.49"/>
    <n v="4659.62"/>
    <x v="0"/>
  </r>
  <r>
    <x v="608"/>
    <s v="Female"/>
    <n v="71"/>
    <s v="Yes"/>
    <n v="13"/>
    <x v="4"/>
    <s v="Month-to-month"/>
    <s v="DSL"/>
    <s v="Electronic check"/>
    <s v="No"/>
    <s v="No"/>
    <n v="5"/>
    <n v="75.27"/>
    <n v="932.36"/>
    <x v="1"/>
  </r>
  <r>
    <x v="609"/>
    <s v="Female"/>
    <n v="32"/>
    <s v="No"/>
    <n v="49"/>
    <x v="0"/>
    <s v="Month-to-month"/>
    <s v="DSL"/>
    <s v="Credit card"/>
    <s v="Yes"/>
    <s v="No"/>
    <n v="2"/>
    <n v="49.13"/>
    <n v="2469.69"/>
    <x v="0"/>
  </r>
  <r>
    <x v="610"/>
    <s v="Male"/>
    <n v="50"/>
    <s v="No"/>
    <n v="70"/>
    <x v="0"/>
    <s v="One year"/>
    <s v="DSL"/>
    <s v="Bank transfer"/>
    <s v="No"/>
    <s v="No"/>
    <n v="5"/>
    <n v="59.97"/>
    <n v="4512.21"/>
    <x v="0"/>
  </r>
  <r>
    <x v="611"/>
    <s v="Female"/>
    <n v="24"/>
    <s v="No"/>
    <n v="56"/>
    <x v="0"/>
    <s v="One year"/>
    <s v="DSL"/>
    <s v="Bank transfer"/>
    <s v="No"/>
    <s v="No"/>
    <n v="3"/>
    <n v="60.51"/>
    <n v="3499.86"/>
    <x v="0"/>
  </r>
  <r>
    <x v="612"/>
    <s v="Female"/>
    <n v="29"/>
    <s v="No"/>
    <n v="51"/>
    <x v="0"/>
    <s v="One year"/>
    <s v="DSL"/>
    <s v="Bank transfer"/>
    <s v="No"/>
    <s v="No"/>
    <n v="4"/>
    <n v="63.75"/>
    <n v="3125.19"/>
    <x v="0"/>
  </r>
  <r>
    <x v="613"/>
    <s v="Female"/>
    <n v="66"/>
    <s v="Yes"/>
    <n v="37"/>
    <x v="3"/>
    <s v="Two year"/>
    <s v="DSL"/>
    <s v="Credit card"/>
    <s v="No"/>
    <s v="Yes"/>
    <n v="8"/>
    <n v="67.209999999999994"/>
    <n v="2400.23"/>
    <x v="1"/>
  </r>
  <r>
    <x v="614"/>
    <s v="Female"/>
    <n v="47"/>
    <s v="No"/>
    <n v="17"/>
    <x v="4"/>
    <s v="Month-to-month"/>
    <s v="DSL"/>
    <s v="Electronic check"/>
    <s v="No"/>
    <s v="No"/>
    <n v="2"/>
    <n v="49.3"/>
    <n v="783.51"/>
    <x v="1"/>
  </r>
  <r>
    <x v="615"/>
    <s v="Male"/>
    <n v="38"/>
    <s v="No"/>
    <n v="58"/>
    <x v="0"/>
    <s v="Month-to-month"/>
    <s v="DSL"/>
    <s v="Mailed check"/>
    <s v="No"/>
    <s v="No"/>
    <n v="3"/>
    <n v="59.63"/>
    <n v="3561.6"/>
    <x v="1"/>
  </r>
  <r>
    <x v="616"/>
    <s v="Male"/>
    <n v="48"/>
    <s v="No"/>
    <n v="29"/>
    <x v="3"/>
    <s v="One year"/>
    <s v="DSL"/>
    <s v="Mailed check"/>
    <s v="No"/>
    <s v="No"/>
    <n v="7"/>
    <n v="64.73"/>
    <n v="1882.71"/>
    <x v="0"/>
  </r>
  <r>
    <x v="617"/>
    <s v="Female"/>
    <n v="75"/>
    <s v="Yes"/>
    <n v="33"/>
    <x v="3"/>
    <s v="Month-to-month"/>
    <s v="Fiber optic"/>
    <s v="Electronic check"/>
    <s v="Yes"/>
    <s v="No"/>
    <n v="6"/>
    <n v="81.790000000000006"/>
    <n v="2572.31"/>
    <x v="1"/>
  </r>
  <r>
    <x v="618"/>
    <s v="Male"/>
    <n v="41"/>
    <s v="No"/>
    <n v="60"/>
    <x v="0"/>
    <s v="Month-to-month"/>
    <s v="Fiber optic"/>
    <s v="Mailed check"/>
    <s v="No"/>
    <s v="Yes"/>
    <n v="2"/>
    <n v="66.84"/>
    <n v="3835.65"/>
    <x v="1"/>
  </r>
  <r>
    <x v="619"/>
    <s v="Male"/>
    <n v="37"/>
    <s v="No"/>
    <n v="55"/>
    <x v="0"/>
    <s v="Month-to-month"/>
    <s v="No"/>
    <s v="Electronic check"/>
    <s v="Yes"/>
    <s v="No"/>
    <n v="2"/>
    <n v="30.21"/>
    <n v="1531.03"/>
    <x v="0"/>
  </r>
  <r>
    <x v="620"/>
    <s v="Female"/>
    <n v="54"/>
    <s v="No"/>
    <n v="10"/>
    <x v="1"/>
    <s v="Month-to-month"/>
    <s v="Fiber optic"/>
    <s v="Electronic check"/>
    <s v="No"/>
    <s v="Yes"/>
    <n v="2"/>
    <n v="60.02"/>
    <n v="646.14"/>
    <x v="1"/>
  </r>
  <r>
    <x v="621"/>
    <s v="Female"/>
    <n v="21"/>
    <s v="No"/>
    <n v="47"/>
    <x v="3"/>
    <s v="Two year"/>
    <s v="Fiber optic"/>
    <s v="Electronic check"/>
    <s v="Yes"/>
    <s v="No"/>
    <n v="4"/>
    <n v="83.85"/>
    <n v="4147.78"/>
    <x v="0"/>
  </r>
  <r>
    <x v="622"/>
    <s v="Male"/>
    <n v="45"/>
    <s v="No"/>
    <n v="23"/>
    <x v="4"/>
    <s v="Month-to-month"/>
    <s v="DSL"/>
    <s v="Credit card"/>
    <s v="No"/>
    <s v="No"/>
    <n v="4"/>
    <n v="53.86"/>
    <n v="1217.8"/>
    <x v="1"/>
  </r>
  <r>
    <x v="623"/>
    <s v="Female"/>
    <n v="61"/>
    <s v="Yes"/>
    <n v="21"/>
    <x v="4"/>
    <s v="Month-to-month"/>
    <s v="No"/>
    <s v="Electronic check"/>
    <s v="No"/>
    <s v="No"/>
    <n v="3"/>
    <n v="38.42"/>
    <n v="864.41"/>
    <x v="0"/>
  </r>
  <r>
    <x v="624"/>
    <s v="Male"/>
    <n v="37"/>
    <s v="No"/>
    <n v="13"/>
    <x v="4"/>
    <s v="Month-to-month"/>
    <s v="Fiber optic"/>
    <s v="Credit card"/>
    <s v="No"/>
    <s v="No"/>
    <n v="4"/>
    <n v="79.67"/>
    <n v="1065.06"/>
    <x v="1"/>
  </r>
  <r>
    <x v="625"/>
    <s v="Female"/>
    <n v="41"/>
    <s v="No"/>
    <n v="33"/>
    <x v="3"/>
    <s v="One year"/>
    <s v="Fiber optic"/>
    <s v="Electronic check"/>
    <s v="Yes"/>
    <s v="Yes"/>
    <n v="8"/>
    <n v="87.92"/>
    <n v="3018.09"/>
    <x v="0"/>
  </r>
  <r>
    <x v="626"/>
    <s v="Male"/>
    <n v="67"/>
    <s v="Yes"/>
    <n v="24"/>
    <x v="4"/>
    <s v="Month-to-month"/>
    <s v="Fiber optic"/>
    <s v="Credit card"/>
    <s v="Yes"/>
    <s v="No"/>
    <n v="3"/>
    <n v="62.64"/>
    <n v="1546.65"/>
    <x v="0"/>
  </r>
  <r>
    <x v="627"/>
    <s v="Female"/>
    <n v="66"/>
    <s v="Yes"/>
    <n v="11"/>
    <x v="1"/>
    <s v="One year"/>
    <s v="DSL"/>
    <s v="Credit card"/>
    <s v="No"/>
    <s v="No"/>
    <n v="1"/>
    <n v="47.62"/>
    <n v="545.35"/>
    <x v="0"/>
  </r>
  <r>
    <x v="628"/>
    <s v="Male"/>
    <n v="68"/>
    <s v="Yes"/>
    <n v="17"/>
    <x v="4"/>
    <s v="Month-to-month"/>
    <s v="Fiber optic"/>
    <s v="Credit card"/>
    <s v="No"/>
    <s v="Yes"/>
    <n v="8"/>
    <n v="91.95"/>
    <n v="1480.85"/>
    <x v="1"/>
  </r>
  <r>
    <x v="629"/>
    <s v="Male"/>
    <n v="49"/>
    <s v="No"/>
    <n v="68"/>
    <x v="0"/>
    <s v="Month-to-month"/>
    <s v="Fiber optic"/>
    <s v="Credit card"/>
    <s v="No"/>
    <s v="No"/>
    <n v="1"/>
    <n v="70.19"/>
    <n v="4820.57"/>
    <x v="0"/>
  </r>
  <r>
    <x v="630"/>
    <s v="Male"/>
    <n v="58"/>
    <s v="No"/>
    <n v="47"/>
    <x v="3"/>
    <s v="Month-to-month"/>
    <s v="Fiber optic"/>
    <s v="Electronic check"/>
    <s v="No"/>
    <s v="No"/>
    <n v="4"/>
    <n v="84.69"/>
    <n v="4202.9399999999996"/>
    <x v="0"/>
  </r>
  <r>
    <x v="631"/>
    <s v="Female"/>
    <n v="53"/>
    <s v="No"/>
    <n v="25"/>
    <x v="3"/>
    <s v="Month-to-month"/>
    <s v="No"/>
    <s v="Electronic check"/>
    <s v="No"/>
    <s v="Yes"/>
    <n v="1"/>
    <n v="20"/>
    <n v="461.56"/>
    <x v="0"/>
  </r>
  <r>
    <x v="632"/>
    <s v="Male"/>
    <n v="75"/>
    <s v="Yes"/>
    <n v="21"/>
    <x v="4"/>
    <s v="Month-to-month"/>
    <s v="Fiber optic"/>
    <s v="Mailed check"/>
    <s v="No"/>
    <s v="No"/>
    <n v="8"/>
    <n v="93.38"/>
    <n v="1842.83"/>
    <x v="0"/>
  </r>
  <r>
    <x v="633"/>
    <s v="Male"/>
    <n v="70"/>
    <s v="Yes"/>
    <n v="12"/>
    <x v="1"/>
    <s v="Month-to-month"/>
    <s v="Fiber optic"/>
    <s v="Electronic check"/>
    <s v="No"/>
    <s v="No"/>
    <n v="5"/>
    <n v="90.29"/>
    <n v="1039.3800000000001"/>
    <x v="1"/>
  </r>
  <r>
    <x v="634"/>
    <s v="Female"/>
    <n v="51"/>
    <s v="No"/>
    <n v="37"/>
    <x v="3"/>
    <s v="Two year"/>
    <s v="DSL"/>
    <s v="Electronic check"/>
    <s v="No"/>
    <s v="No"/>
    <n v="3"/>
    <n v="65.06"/>
    <n v="2328.16"/>
    <x v="0"/>
  </r>
  <r>
    <x v="635"/>
    <s v="Female"/>
    <n v="53"/>
    <s v="No"/>
    <n v="42"/>
    <x v="3"/>
    <s v="Month-to-month"/>
    <s v="No"/>
    <s v="Credit card"/>
    <s v="No"/>
    <s v="No"/>
    <n v="2"/>
    <n v="20.170000000000002"/>
    <n v="804.13"/>
    <x v="0"/>
  </r>
  <r>
    <x v="636"/>
    <s v="Male"/>
    <n v="19"/>
    <s v="No"/>
    <n v="17"/>
    <x v="4"/>
    <s v="One year"/>
    <s v="DSL"/>
    <s v="Bank transfer"/>
    <s v="Yes"/>
    <s v="Yes"/>
    <n v="4"/>
    <n v="67.06"/>
    <n v="1162.7"/>
    <x v="0"/>
  </r>
  <r>
    <x v="637"/>
    <s v="Male"/>
    <n v="32"/>
    <s v="No"/>
    <n v="48"/>
    <x v="3"/>
    <s v="Month-to-month"/>
    <s v="No"/>
    <s v="Bank transfer"/>
    <s v="Yes"/>
    <s v="Yes"/>
    <n v="4"/>
    <n v="33.93"/>
    <n v="1574.96"/>
    <x v="0"/>
  </r>
  <r>
    <x v="638"/>
    <s v="Female"/>
    <n v="51"/>
    <s v="No"/>
    <n v="28"/>
    <x v="3"/>
    <s v="Month-to-month"/>
    <s v="No"/>
    <s v="Credit card"/>
    <s v="No"/>
    <s v="No"/>
    <n v="2"/>
    <n v="37.94"/>
    <n v="1004.21"/>
    <x v="0"/>
  </r>
  <r>
    <x v="639"/>
    <s v="Female"/>
    <n v="53"/>
    <s v="No"/>
    <n v="41"/>
    <x v="3"/>
    <s v="Month-to-month"/>
    <s v="Fiber optic"/>
    <s v="Bank transfer"/>
    <s v="Yes"/>
    <s v="No"/>
    <n v="3"/>
    <n v="71.16"/>
    <n v="3107"/>
    <x v="0"/>
  </r>
  <r>
    <x v="640"/>
    <s v="Female"/>
    <n v="23"/>
    <s v="No"/>
    <n v="47"/>
    <x v="3"/>
    <s v="Two year"/>
    <s v="DSL"/>
    <s v="Bank transfer"/>
    <s v="No"/>
    <s v="No"/>
    <n v="7"/>
    <n v="76.23"/>
    <n v="3694.61"/>
    <x v="0"/>
  </r>
  <r>
    <x v="641"/>
    <s v="Female"/>
    <n v="56"/>
    <s v="No"/>
    <n v="18"/>
    <x v="4"/>
    <s v="Month-to-month"/>
    <s v="Fiber optic"/>
    <s v="Credit card"/>
    <s v="No"/>
    <s v="Yes"/>
    <n v="5"/>
    <n v="80.47"/>
    <n v="1389.61"/>
    <x v="0"/>
  </r>
  <r>
    <x v="642"/>
    <s v="Female"/>
    <n v="59"/>
    <s v="No"/>
    <n v="71"/>
    <x v="0"/>
    <s v="Month-to-month"/>
    <s v="DSL"/>
    <s v="Electronic check"/>
    <s v="No"/>
    <s v="No"/>
    <n v="5"/>
    <n v="52.93"/>
    <n v="3674.42"/>
    <x v="0"/>
  </r>
  <r>
    <x v="643"/>
    <s v="Male"/>
    <n v="68"/>
    <s v="Yes"/>
    <n v="13"/>
    <x v="4"/>
    <s v="Month-to-month"/>
    <s v="Fiber optic"/>
    <s v="Mailed check"/>
    <s v="No"/>
    <s v="Yes"/>
    <n v="4"/>
    <n v="74.930000000000007"/>
    <n v="1011.62"/>
    <x v="1"/>
  </r>
  <r>
    <x v="644"/>
    <s v="Female"/>
    <n v="68"/>
    <s v="Yes"/>
    <n v="13"/>
    <x v="4"/>
    <s v="Month-to-month"/>
    <s v="Fiber optic"/>
    <s v="Credit card"/>
    <s v="Yes"/>
    <s v="Yes"/>
    <n v="5"/>
    <n v="86.78"/>
    <n v="1180.6500000000001"/>
    <x v="1"/>
  </r>
  <r>
    <x v="645"/>
    <s v="Male"/>
    <n v="75"/>
    <s v="Yes"/>
    <n v="31"/>
    <x v="3"/>
    <s v="Month-to-month"/>
    <s v="No"/>
    <s v="Credit card"/>
    <s v="Yes"/>
    <s v="No"/>
    <n v="1"/>
    <n v="26.04"/>
    <n v="765.45"/>
    <x v="0"/>
  </r>
  <r>
    <x v="646"/>
    <s v="Male"/>
    <n v="71"/>
    <s v="Yes"/>
    <n v="2"/>
    <x v="2"/>
    <s v="One year"/>
    <s v="Fiber optic"/>
    <s v="Credit card"/>
    <s v="No"/>
    <s v="No"/>
    <n v="4"/>
    <n v="71.489999999999995"/>
    <n v="152.97"/>
    <x v="1"/>
  </r>
  <r>
    <x v="647"/>
    <s v="Male"/>
    <n v="29"/>
    <s v="No"/>
    <n v="16"/>
    <x v="4"/>
    <s v="Month-to-month"/>
    <s v="No"/>
    <s v="Mailed check"/>
    <s v="Yes"/>
    <s v="Yes"/>
    <n v="1"/>
    <n v="20.100000000000001"/>
    <n v="336.28"/>
    <x v="0"/>
  </r>
  <r>
    <x v="648"/>
    <s v="Female"/>
    <n v="20"/>
    <s v="No"/>
    <n v="9"/>
    <x v="1"/>
    <s v="Month-to-month"/>
    <s v="Fiber optic"/>
    <s v="Credit card"/>
    <s v="No"/>
    <s v="Yes"/>
    <n v="4"/>
    <n v="73.33"/>
    <n v="697.65"/>
    <x v="1"/>
  </r>
  <r>
    <x v="649"/>
    <s v="Male"/>
    <n v="62"/>
    <s v="Yes"/>
    <n v="38"/>
    <x v="3"/>
    <s v="One year"/>
    <s v="Fiber optic"/>
    <s v="Electronic check"/>
    <s v="No"/>
    <s v="No"/>
    <n v="1"/>
    <n v="61.27"/>
    <n v="2195.59"/>
    <x v="0"/>
  </r>
  <r>
    <x v="650"/>
    <s v="Male"/>
    <n v="35"/>
    <s v="No"/>
    <n v="54"/>
    <x v="0"/>
    <s v="Month-to-month"/>
    <s v="No"/>
    <s v="Electronic check"/>
    <s v="No"/>
    <s v="No"/>
    <n v="4"/>
    <n v="45.02"/>
    <n v="2292.36"/>
    <x v="0"/>
  </r>
  <r>
    <x v="651"/>
    <s v="Female"/>
    <n v="57"/>
    <s v="No"/>
    <n v="56"/>
    <x v="0"/>
    <s v="Month-to-month"/>
    <s v="DSL"/>
    <s v="Mailed check"/>
    <s v="No"/>
    <s v="No"/>
    <n v="6"/>
    <n v="64.23"/>
    <n v="3484.87"/>
    <x v="0"/>
  </r>
  <r>
    <x v="652"/>
    <s v="Male"/>
    <n v="38"/>
    <s v="No"/>
    <n v="45"/>
    <x v="3"/>
    <s v="Month-to-month"/>
    <s v="DSL"/>
    <s v="Mailed check"/>
    <s v="No"/>
    <s v="Yes"/>
    <n v="3"/>
    <n v="52.91"/>
    <n v="2215.1"/>
    <x v="0"/>
  </r>
  <r>
    <x v="653"/>
    <s v="Male"/>
    <n v="32"/>
    <s v="No"/>
    <n v="34"/>
    <x v="3"/>
    <s v="One year"/>
    <s v="Fiber optic"/>
    <s v="Electronic check"/>
    <s v="No"/>
    <s v="No"/>
    <n v="3"/>
    <n v="73.739999999999995"/>
    <n v="2343.12"/>
    <x v="1"/>
  </r>
  <r>
    <x v="654"/>
    <s v="Female"/>
    <n v="50"/>
    <s v="No"/>
    <n v="9"/>
    <x v="1"/>
    <s v="Month-to-month"/>
    <s v="DSL"/>
    <s v="Mailed check"/>
    <s v="Yes"/>
    <s v="No"/>
    <n v="2"/>
    <n v="54.78"/>
    <n v="464.88"/>
    <x v="0"/>
  </r>
  <r>
    <x v="655"/>
    <s v="Male"/>
    <n v="52"/>
    <s v="No"/>
    <n v="8"/>
    <x v="1"/>
    <s v="Month-to-month"/>
    <s v="DSL"/>
    <s v="Electronic check"/>
    <s v="No"/>
    <s v="No"/>
    <n v="3"/>
    <n v="59.46"/>
    <n v="491.85"/>
    <x v="1"/>
  </r>
  <r>
    <x v="656"/>
    <s v="Male"/>
    <n v="43"/>
    <s v="No"/>
    <n v="7"/>
    <x v="1"/>
    <s v="Month-to-month"/>
    <s v="DSL"/>
    <s v="Mailed check"/>
    <s v="No"/>
    <s v="Yes"/>
    <n v="8"/>
    <n v="71.31"/>
    <n v="461.65"/>
    <x v="0"/>
  </r>
  <r>
    <x v="657"/>
    <s v="Male"/>
    <n v="25"/>
    <s v="No"/>
    <n v="36"/>
    <x v="3"/>
    <s v="One year"/>
    <s v="DSL"/>
    <s v="Credit card"/>
    <s v="No"/>
    <s v="No"/>
    <n v="6"/>
    <n v="65.150000000000006"/>
    <n v="2189.0100000000002"/>
    <x v="0"/>
  </r>
  <r>
    <x v="658"/>
    <s v="Female"/>
    <n v="53"/>
    <s v="No"/>
    <n v="18"/>
    <x v="4"/>
    <s v="Month-to-month"/>
    <s v="No"/>
    <s v="Bank transfer"/>
    <s v="Yes"/>
    <s v="No"/>
    <n v="1"/>
    <n v="33.5"/>
    <n v="645.85"/>
    <x v="0"/>
  </r>
  <r>
    <x v="659"/>
    <s v="Female"/>
    <n v="65"/>
    <s v="Yes"/>
    <n v="3"/>
    <x v="2"/>
    <s v="One year"/>
    <s v="DSL"/>
    <s v="Electronic check"/>
    <s v="Yes"/>
    <s v="Yes"/>
    <n v="3"/>
    <n v="50.13"/>
    <n v="140.37"/>
    <x v="0"/>
  </r>
  <r>
    <x v="660"/>
    <s v="Female"/>
    <n v="47"/>
    <s v="No"/>
    <n v="28"/>
    <x v="3"/>
    <s v="Two year"/>
    <s v="No"/>
    <s v="Mailed check"/>
    <s v="No"/>
    <s v="No"/>
    <n v="2"/>
    <n v="29.17"/>
    <n v="821.66"/>
    <x v="0"/>
  </r>
  <r>
    <x v="661"/>
    <s v="Male"/>
    <n v="40"/>
    <s v="No"/>
    <n v="70"/>
    <x v="0"/>
    <s v="One year"/>
    <s v="DSL"/>
    <s v="Bank transfer"/>
    <s v="No"/>
    <s v="No"/>
    <n v="6"/>
    <n v="71.48"/>
    <n v="5117.74"/>
    <x v="0"/>
  </r>
  <r>
    <x v="662"/>
    <s v="Male"/>
    <n v="59"/>
    <s v="No"/>
    <n v="44"/>
    <x v="3"/>
    <s v="Month-to-month"/>
    <s v="DSL"/>
    <s v="Bank transfer"/>
    <s v="No"/>
    <s v="No"/>
    <n v="4"/>
    <n v="54.98"/>
    <n v="2596.62"/>
    <x v="0"/>
  </r>
  <r>
    <x v="663"/>
    <s v="Female"/>
    <n v="61"/>
    <s v="Yes"/>
    <n v="21"/>
    <x v="4"/>
    <s v="Month-to-month"/>
    <s v="Fiber optic"/>
    <s v="Mailed check"/>
    <s v="No"/>
    <s v="Yes"/>
    <n v="4"/>
    <n v="80.73"/>
    <n v="1803.78"/>
    <x v="0"/>
  </r>
  <r>
    <x v="664"/>
    <s v="Male"/>
    <n v="31"/>
    <s v="No"/>
    <n v="28"/>
    <x v="3"/>
    <s v="Month-to-month"/>
    <s v="Fiber optic"/>
    <s v="Bank transfer"/>
    <s v="No"/>
    <s v="Yes"/>
    <n v="3"/>
    <n v="63.94"/>
    <n v="1773.33"/>
    <x v="1"/>
  </r>
  <r>
    <x v="665"/>
    <s v="Male"/>
    <n v="31"/>
    <s v="No"/>
    <n v="54"/>
    <x v="0"/>
    <s v="Month-to-month"/>
    <s v="No"/>
    <s v="Credit card"/>
    <s v="Yes"/>
    <s v="Yes"/>
    <n v="3"/>
    <n v="41.09"/>
    <n v="2375.84"/>
    <x v="0"/>
  </r>
  <r>
    <x v="666"/>
    <s v="Female"/>
    <n v="19"/>
    <s v="No"/>
    <n v="54"/>
    <x v="0"/>
    <s v="Month-to-month"/>
    <s v="Fiber optic"/>
    <s v="Electronic check"/>
    <s v="No"/>
    <s v="No"/>
    <n v="3"/>
    <n v="73.59"/>
    <n v="3930.79"/>
    <x v="0"/>
  </r>
  <r>
    <x v="667"/>
    <s v="Female"/>
    <n v="72"/>
    <s v="Yes"/>
    <n v="65"/>
    <x v="0"/>
    <s v="One year"/>
    <s v="Fiber optic"/>
    <s v="Mailed check"/>
    <s v="No"/>
    <s v="Yes"/>
    <n v="1"/>
    <n v="69.849999999999994"/>
    <n v="4663.6899999999996"/>
    <x v="0"/>
  </r>
  <r>
    <x v="668"/>
    <s v="Male"/>
    <n v="54"/>
    <s v="No"/>
    <n v="21"/>
    <x v="4"/>
    <s v="Month-to-month"/>
    <s v="Fiber optic"/>
    <s v="Mailed check"/>
    <s v="No"/>
    <s v="No"/>
    <n v="5"/>
    <n v="90.84"/>
    <n v="1834.27"/>
    <x v="1"/>
  </r>
  <r>
    <x v="669"/>
    <s v="Male"/>
    <n v="22"/>
    <s v="No"/>
    <n v="13"/>
    <x v="4"/>
    <s v="Month-to-month"/>
    <s v="Fiber optic"/>
    <s v="Bank transfer"/>
    <s v="No"/>
    <s v="No"/>
    <n v="6"/>
    <n v="84.66"/>
    <n v="1124.6400000000001"/>
    <x v="1"/>
  </r>
  <r>
    <x v="670"/>
    <s v="Male"/>
    <n v="55"/>
    <s v="No"/>
    <n v="57"/>
    <x v="0"/>
    <s v="One year"/>
    <s v="No"/>
    <s v="Electronic check"/>
    <s v="No"/>
    <s v="No"/>
    <n v="3"/>
    <n v="26.26"/>
    <n v="1505.97"/>
    <x v="0"/>
  </r>
  <r>
    <x v="671"/>
    <s v="Female"/>
    <n v="62"/>
    <s v="Yes"/>
    <n v="49"/>
    <x v="0"/>
    <s v="One year"/>
    <s v="No"/>
    <s v="Electronic check"/>
    <s v="No"/>
    <s v="Yes"/>
    <n v="5"/>
    <n v="42.47"/>
    <n v="2116.6"/>
    <x v="0"/>
  </r>
  <r>
    <x v="672"/>
    <s v="Female"/>
    <n v="58"/>
    <s v="No"/>
    <n v="54"/>
    <x v="0"/>
    <s v="Month-to-month"/>
    <s v="DSL"/>
    <s v="Electronic check"/>
    <s v="Yes"/>
    <s v="No"/>
    <n v="4"/>
    <n v="67.5"/>
    <n v="3751.52"/>
    <x v="0"/>
  </r>
  <r>
    <x v="673"/>
    <s v="Female"/>
    <n v="71"/>
    <s v="Yes"/>
    <n v="10"/>
    <x v="1"/>
    <s v="Two year"/>
    <s v="Fiber optic"/>
    <s v="Credit card"/>
    <s v="No"/>
    <s v="No"/>
    <n v="2"/>
    <n v="72.19"/>
    <n v="684.18"/>
    <x v="0"/>
  </r>
  <r>
    <x v="674"/>
    <s v="Female"/>
    <n v="64"/>
    <s v="Yes"/>
    <n v="53"/>
    <x v="0"/>
    <s v="Month-to-month"/>
    <s v="DSL"/>
    <s v="Bank transfer"/>
    <s v="No"/>
    <s v="Yes"/>
    <n v="7"/>
    <n v="63.55"/>
    <n v="3261.05"/>
    <x v="0"/>
  </r>
  <r>
    <x v="675"/>
    <s v="Male"/>
    <n v="31"/>
    <s v="No"/>
    <n v="44"/>
    <x v="3"/>
    <s v="One year"/>
    <s v="DSL"/>
    <s v="Bank transfer"/>
    <s v="No"/>
    <s v="No"/>
    <n v="8"/>
    <n v="73.64"/>
    <n v="3362.63"/>
    <x v="0"/>
  </r>
  <r>
    <x v="676"/>
    <s v="Female"/>
    <n v="73"/>
    <s v="Yes"/>
    <n v="47"/>
    <x v="3"/>
    <s v="One year"/>
    <s v="No"/>
    <s v="Credit card"/>
    <s v="No"/>
    <s v="No"/>
    <n v="5"/>
    <n v="48.41"/>
    <n v="2152.89"/>
    <x v="1"/>
  </r>
  <r>
    <x v="677"/>
    <s v="Female"/>
    <n v="56"/>
    <s v="No"/>
    <n v="53"/>
    <x v="0"/>
    <s v="One year"/>
    <s v="DSL"/>
    <s v="Electronic check"/>
    <s v="Yes"/>
    <s v="No"/>
    <n v="4"/>
    <n v="58.12"/>
    <n v="3003.59"/>
    <x v="0"/>
  </r>
  <r>
    <x v="678"/>
    <s v="Female"/>
    <n v="42"/>
    <s v="No"/>
    <n v="46"/>
    <x v="3"/>
    <s v="One year"/>
    <s v="Fiber optic"/>
    <s v="Credit card"/>
    <s v="Yes"/>
    <s v="No"/>
    <n v="7"/>
    <n v="89.93"/>
    <n v="4246.97"/>
    <x v="0"/>
  </r>
  <r>
    <x v="679"/>
    <s v="Female"/>
    <n v="37"/>
    <s v="No"/>
    <n v="13"/>
    <x v="4"/>
    <s v="Month-to-month"/>
    <s v="DSL"/>
    <s v="Bank transfer"/>
    <s v="No"/>
    <s v="Yes"/>
    <n v="3"/>
    <n v="50"/>
    <n v="695.52"/>
    <x v="0"/>
  </r>
  <r>
    <x v="680"/>
    <s v="Female"/>
    <n v="19"/>
    <s v="No"/>
    <n v="37"/>
    <x v="3"/>
    <s v="Month-to-month"/>
    <s v="No"/>
    <s v="Electronic check"/>
    <s v="No"/>
    <s v="No"/>
    <n v="1"/>
    <n v="24.57"/>
    <n v="847.32"/>
    <x v="0"/>
  </r>
  <r>
    <x v="681"/>
    <s v="Male"/>
    <n v="56"/>
    <s v="No"/>
    <n v="24"/>
    <x v="4"/>
    <s v="One year"/>
    <s v="DSL"/>
    <s v="Credit card"/>
    <s v="No"/>
    <s v="No"/>
    <n v="4"/>
    <n v="60.56"/>
    <n v="1457.29"/>
    <x v="0"/>
  </r>
  <r>
    <x v="682"/>
    <s v="Male"/>
    <n v="23"/>
    <s v="No"/>
    <n v="2"/>
    <x v="2"/>
    <s v="Month-to-month"/>
    <s v="DSL"/>
    <s v="Credit card"/>
    <s v="No"/>
    <s v="Yes"/>
    <n v="4"/>
    <n v="62.45"/>
    <n v="116.54"/>
    <x v="0"/>
  </r>
  <r>
    <x v="683"/>
    <s v="Female"/>
    <n v="34"/>
    <s v="No"/>
    <n v="14"/>
    <x v="4"/>
    <s v="Two year"/>
    <s v="Fiber optic"/>
    <s v="Credit card"/>
    <s v="No"/>
    <s v="No"/>
    <n v="5"/>
    <n v="81.790000000000006"/>
    <n v="1122.92"/>
    <x v="0"/>
  </r>
  <r>
    <x v="684"/>
    <s v="Male"/>
    <n v="42"/>
    <s v="No"/>
    <n v="10"/>
    <x v="1"/>
    <s v="Month-to-month"/>
    <s v="DSL"/>
    <s v="Electronic check"/>
    <s v="Yes"/>
    <s v="Yes"/>
    <n v="7"/>
    <n v="67.540000000000006"/>
    <n v="640.32000000000005"/>
    <x v="0"/>
  </r>
  <r>
    <x v="685"/>
    <s v="Female"/>
    <n v="74"/>
    <s v="Yes"/>
    <n v="35"/>
    <x v="3"/>
    <s v="Month-to-month"/>
    <s v="DSL"/>
    <s v="Credit card"/>
    <s v="No"/>
    <s v="No"/>
    <n v="5"/>
    <n v="68.290000000000006"/>
    <n v="2447.3000000000002"/>
    <x v="0"/>
  </r>
  <r>
    <x v="686"/>
    <s v="Female"/>
    <n v="45"/>
    <s v="No"/>
    <n v="25"/>
    <x v="3"/>
    <s v="Month-to-month"/>
    <s v="Fiber optic"/>
    <s v="Credit card"/>
    <s v="No"/>
    <s v="No"/>
    <n v="5"/>
    <n v="80.03"/>
    <n v="2083.29"/>
    <x v="0"/>
  </r>
  <r>
    <x v="687"/>
    <s v="Male"/>
    <n v="19"/>
    <s v="No"/>
    <n v="3"/>
    <x v="2"/>
    <s v="Month-to-month"/>
    <s v="DSL"/>
    <s v="Mailed check"/>
    <s v="No"/>
    <s v="No"/>
    <n v="6"/>
    <n v="69.03"/>
    <n v="198.72"/>
    <x v="0"/>
  </r>
  <r>
    <x v="688"/>
    <s v="Male"/>
    <n v="52"/>
    <s v="No"/>
    <n v="17"/>
    <x v="4"/>
    <s v="One year"/>
    <s v="Fiber optic"/>
    <s v="Electronic check"/>
    <s v="Yes"/>
    <s v="Yes"/>
    <n v="3"/>
    <n v="78.73"/>
    <n v="1384"/>
    <x v="0"/>
  </r>
  <r>
    <x v="689"/>
    <s v="Female"/>
    <n v="54"/>
    <s v="No"/>
    <n v="12"/>
    <x v="1"/>
    <s v="One year"/>
    <s v="Fiber optic"/>
    <s v="Electronic check"/>
    <s v="No"/>
    <s v="No"/>
    <n v="6"/>
    <n v="78.150000000000006"/>
    <n v="929.82"/>
    <x v="0"/>
  </r>
  <r>
    <x v="690"/>
    <s v="Female"/>
    <n v="22"/>
    <s v="No"/>
    <n v="54"/>
    <x v="0"/>
    <s v="One year"/>
    <s v="Fiber optic"/>
    <s v="Credit card"/>
    <s v="Yes"/>
    <s v="Yes"/>
    <n v="2"/>
    <n v="71.98"/>
    <n v="3752.33"/>
    <x v="0"/>
  </r>
  <r>
    <x v="691"/>
    <s v="Female"/>
    <n v="18"/>
    <s v="No"/>
    <n v="24"/>
    <x v="4"/>
    <s v="Two year"/>
    <s v="Fiber optic"/>
    <s v="Bank transfer"/>
    <s v="No"/>
    <s v="No"/>
    <n v="3"/>
    <n v="56.12"/>
    <n v="1351.92"/>
    <x v="0"/>
  </r>
  <r>
    <x v="692"/>
    <s v="Male"/>
    <n v="57"/>
    <s v="No"/>
    <n v="29"/>
    <x v="3"/>
    <s v="Two year"/>
    <s v="DSL"/>
    <s v="Mailed check"/>
    <s v="No"/>
    <s v="No"/>
    <n v="7"/>
    <n v="70.28"/>
    <n v="1998.87"/>
    <x v="0"/>
  </r>
  <r>
    <x v="693"/>
    <s v="Female"/>
    <n v="29"/>
    <s v="No"/>
    <n v="43"/>
    <x v="3"/>
    <s v="Two year"/>
    <s v="Fiber optic"/>
    <s v="Electronic check"/>
    <s v="Yes"/>
    <s v="No"/>
    <n v="2"/>
    <n v="75.06"/>
    <n v="3088.15"/>
    <x v="0"/>
  </r>
  <r>
    <x v="694"/>
    <s v="Female"/>
    <n v="73"/>
    <s v="Yes"/>
    <n v="25"/>
    <x v="3"/>
    <s v="Month-to-month"/>
    <s v="Fiber optic"/>
    <s v="Electronic check"/>
    <s v="No"/>
    <s v="Yes"/>
    <n v="5"/>
    <n v="85.36"/>
    <n v="2221.6999999999998"/>
    <x v="1"/>
  </r>
  <r>
    <x v="695"/>
    <s v="Female"/>
    <n v="53"/>
    <s v="No"/>
    <n v="60"/>
    <x v="0"/>
    <s v="One year"/>
    <s v="No"/>
    <s v="Bank transfer"/>
    <s v="No"/>
    <s v="No"/>
    <n v="4"/>
    <n v="46.6"/>
    <n v="2929.1"/>
    <x v="0"/>
  </r>
  <r>
    <x v="696"/>
    <s v="Male"/>
    <n v="62"/>
    <s v="Yes"/>
    <n v="65"/>
    <x v="0"/>
    <s v="Month-to-month"/>
    <s v="DSL"/>
    <s v="Mailed check"/>
    <s v="Yes"/>
    <s v="No"/>
    <n v="5"/>
    <n v="65.45"/>
    <n v="4458.67"/>
    <x v="0"/>
  </r>
  <r>
    <x v="697"/>
    <s v="Female"/>
    <n v="40"/>
    <s v="No"/>
    <n v="28"/>
    <x v="3"/>
    <s v="Month-to-month"/>
    <s v="DSL"/>
    <s v="Credit card"/>
    <s v="Yes"/>
    <s v="No"/>
    <n v="5"/>
    <n v="59.2"/>
    <n v="1626.34"/>
    <x v="0"/>
  </r>
  <r>
    <x v="698"/>
    <s v="Female"/>
    <n v="64"/>
    <s v="Yes"/>
    <n v="16"/>
    <x v="4"/>
    <s v="One year"/>
    <s v="Fiber optic"/>
    <s v="Bank transfer"/>
    <s v="No"/>
    <s v="No"/>
    <n v="4"/>
    <n v="68.23"/>
    <n v="1033.96"/>
    <x v="0"/>
  </r>
  <r>
    <x v="699"/>
    <s v="Male"/>
    <n v="48"/>
    <s v="No"/>
    <n v="47"/>
    <x v="3"/>
    <s v="Month-to-month"/>
    <s v="DSL"/>
    <s v="Credit card"/>
    <s v="No"/>
    <s v="No"/>
    <n v="4"/>
    <n v="59.79"/>
    <n v="2963.19"/>
    <x v="0"/>
  </r>
  <r>
    <x v="700"/>
    <s v="Female"/>
    <n v="28"/>
    <s v="No"/>
    <n v="58"/>
    <x v="0"/>
    <s v="Month-to-month"/>
    <s v="Fiber optic"/>
    <s v="Electronic check"/>
    <s v="No"/>
    <s v="No"/>
    <n v="3"/>
    <n v="78.349999999999994"/>
    <n v="4420.16"/>
    <x v="0"/>
  </r>
  <r>
    <x v="701"/>
    <s v="Female"/>
    <n v="27"/>
    <s v="No"/>
    <n v="27"/>
    <x v="3"/>
    <s v="Month-to-month"/>
    <s v="No"/>
    <s v="Electronic check"/>
    <s v="No"/>
    <s v="No"/>
    <n v="4"/>
    <n v="28.7"/>
    <n v="805.66"/>
    <x v="0"/>
  </r>
  <r>
    <x v="702"/>
    <s v="Male"/>
    <n v="20"/>
    <s v="No"/>
    <n v="53"/>
    <x v="0"/>
    <s v="Month-to-month"/>
    <s v="Fiber optic"/>
    <s v="Mailed check"/>
    <s v="No"/>
    <s v="Yes"/>
    <n v="3"/>
    <n v="77.83"/>
    <n v="4334.51"/>
    <x v="0"/>
  </r>
  <r>
    <x v="703"/>
    <s v="Female"/>
    <n v="71"/>
    <s v="Yes"/>
    <n v="42"/>
    <x v="3"/>
    <s v="Two year"/>
    <s v="DSL"/>
    <s v="Electronic check"/>
    <s v="No"/>
    <s v="No"/>
    <n v="3"/>
    <n v="55.61"/>
    <n v="2435.83"/>
    <x v="0"/>
  </r>
  <r>
    <x v="704"/>
    <s v="Male"/>
    <n v="31"/>
    <s v="No"/>
    <n v="59"/>
    <x v="0"/>
    <s v="Month-to-month"/>
    <s v="Fiber optic"/>
    <s v="Electronic check"/>
    <s v="No"/>
    <s v="Yes"/>
    <n v="4"/>
    <n v="76.45"/>
    <n v="4431.0200000000004"/>
    <x v="0"/>
  </r>
  <r>
    <x v="705"/>
    <s v="Male"/>
    <n v="33"/>
    <s v="No"/>
    <n v="47"/>
    <x v="3"/>
    <s v="Month-to-month"/>
    <s v="DSL"/>
    <s v="Credit card"/>
    <s v="Yes"/>
    <s v="No"/>
    <n v="6"/>
    <n v="70.08"/>
    <n v="3524.6"/>
    <x v="0"/>
  </r>
  <r>
    <x v="706"/>
    <s v="Female"/>
    <n v="27"/>
    <s v="No"/>
    <n v="34"/>
    <x v="3"/>
    <s v="Month-to-month"/>
    <s v="DSL"/>
    <s v="Mailed check"/>
    <s v="No"/>
    <s v="No"/>
    <n v="8"/>
    <n v="73.069999999999993"/>
    <n v="2548.04"/>
    <x v="1"/>
  </r>
  <r>
    <x v="707"/>
    <s v="Female"/>
    <n v="46"/>
    <s v="No"/>
    <n v="37"/>
    <x v="3"/>
    <s v="Month-to-month"/>
    <s v="DSL"/>
    <s v="Electronic check"/>
    <s v="No"/>
    <s v="No"/>
    <n v="5"/>
    <n v="60.62"/>
    <n v="2270.12"/>
    <x v="0"/>
  </r>
  <r>
    <x v="708"/>
    <s v="Female"/>
    <n v="27"/>
    <s v="No"/>
    <n v="6"/>
    <x v="2"/>
    <s v="Two year"/>
    <s v="Fiber optic"/>
    <s v="Electronic check"/>
    <s v="Yes"/>
    <s v="Yes"/>
    <n v="5"/>
    <n v="74.099999999999994"/>
    <n v="458.68"/>
    <x v="1"/>
  </r>
  <r>
    <x v="709"/>
    <s v="Female"/>
    <n v="29"/>
    <s v="No"/>
    <n v="7"/>
    <x v="1"/>
    <s v="Month-to-month"/>
    <s v="DSL"/>
    <s v="Electronic check"/>
    <s v="Yes"/>
    <s v="No"/>
    <n v="3"/>
    <n v="57.83"/>
    <n v="375.32"/>
    <x v="1"/>
  </r>
  <r>
    <x v="710"/>
    <s v="Male"/>
    <n v="47"/>
    <s v="No"/>
    <n v="25"/>
    <x v="3"/>
    <s v="Month-to-month"/>
    <s v="No"/>
    <s v="Credit card"/>
    <s v="Yes"/>
    <s v="Yes"/>
    <n v="5"/>
    <n v="35.86"/>
    <n v="880.8"/>
    <x v="0"/>
  </r>
  <r>
    <x v="711"/>
    <s v="Female"/>
    <n v="58"/>
    <s v="No"/>
    <n v="33"/>
    <x v="3"/>
    <s v="One year"/>
    <s v="No"/>
    <s v="Electronic check"/>
    <s v="No"/>
    <s v="No"/>
    <n v="2"/>
    <n v="28.21"/>
    <n v="987.71"/>
    <x v="0"/>
  </r>
  <r>
    <x v="712"/>
    <s v="Male"/>
    <n v="18"/>
    <s v="No"/>
    <n v="55"/>
    <x v="0"/>
    <s v="Two year"/>
    <s v="Fiber optic"/>
    <s v="Electronic check"/>
    <s v="No"/>
    <s v="Yes"/>
    <n v="3"/>
    <n v="78.19"/>
    <n v="4067.25"/>
    <x v="0"/>
  </r>
  <r>
    <x v="713"/>
    <s v="Female"/>
    <n v="22"/>
    <s v="No"/>
    <n v="58"/>
    <x v="0"/>
    <s v="One year"/>
    <s v="Fiber optic"/>
    <s v="Bank transfer"/>
    <s v="No"/>
    <s v="No"/>
    <n v="3"/>
    <n v="73.83"/>
    <n v="4223.49"/>
    <x v="0"/>
  </r>
  <r>
    <x v="714"/>
    <s v="Female"/>
    <n v="37"/>
    <s v="No"/>
    <n v="7"/>
    <x v="1"/>
    <s v="Two year"/>
    <s v="No"/>
    <s v="Electronic check"/>
    <s v="Yes"/>
    <s v="Yes"/>
    <n v="2"/>
    <n v="44.96"/>
    <n v="309.95"/>
    <x v="0"/>
  </r>
  <r>
    <x v="715"/>
    <s v="Female"/>
    <n v="25"/>
    <s v="No"/>
    <n v="57"/>
    <x v="0"/>
    <s v="Month-to-month"/>
    <s v="DSL"/>
    <s v="Electronic check"/>
    <s v="Yes"/>
    <s v="Yes"/>
    <n v="6"/>
    <n v="71.150000000000006"/>
    <n v="3962.14"/>
    <x v="1"/>
  </r>
  <r>
    <x v="716"/>
    <s v="Male"/>
    <n v="60"/>
    <s v="Yes"/>
    <n v="12"/>
    <x v="1"/>
    <s v="Month-to-month"/>
    <s v="DSL"/>
    <s v="Electronic check"/>
    <s v="No"/>
    <s v="Yes"/>
    <n v="4"/>
    <n v="64.260000000000005"/>
    <n v="778.81"/>
    <x v="0"/>
  </r>
  <r>
    <x v="717"/>
    <s v="Female"/>
    <n v="29"/>
    <s v="No"/>
    <n v="16"/>
    <x v="4"/>
    <s v="Month-to-month"/>
    <s v="No"/>
    <s v="Electronic check"/>
    <s v="No"/>
    <s v="No"/>
    <n v="2"/>
    <n v="38.979999999999997"/>
    <n v="673.2"/>
    <x v="1"/>
  </r>
  <r>
    <x v="718"/>
    <s v="Female"/>
    <n v="18"/>
    <s v="No"/>
    <n v="43"/>
    <x v="3"/>
    <s v="Two year"/>
    <s v="No"/>
    <s v="Electronic check"/>
    <s v="Yes"/>
    <s v="No"/>
    <n v="7"/>
    <n v="51.31"/>
    <n v="2120.14"/>
    <x v="0"/>
  </r>
  <r>
    <x v="719"/>
    <s v="Female"/>
    <n v="74"/>
    <s v="Yes"/>
    <n v="7"/>
    <x v="1"/>
    <s v="Month-to-month"/>
    <s v="DSL"/>
    <s v="Electronic check"/>
    <s v="No"/>
    <s v="No"/>
    <n v="2"/>
    <n v="47.28"/>
    <n v="341.81"/>
    <x v="1"/>
  </r>
  <r>
    <x v="720"/>
    <s v="Female"/>
    <n v="71"/>
    <s v="Yes"/>
    <n v="51"/>
    <x v="0"/>
    <s v="Month-to-month"/>
    <s v="Fiber optic"/>
    <s v="Credit card"/>
    <s v="No"/>
    <s v="Yes"/>
    <n v="7"/>
    <n v="82.5"/>
    <n v="4381.18"/>
    <x v="0"/>
  </r>
  <r>
    <x v="721"/>
    <s v="Male"/>
    <n v="37"/>
    <s v="No"/>
    <n v="32"/>
    <x v="3"/>
    <s v="Month-to-month"/>
    <s v="Fiber optic"/>
    <s v="Electronic check"/>
    <s v="Yes"/>
    <s v="No"/>
    <n v="8"/>
    <n v="84.82"/>
    <n v="2750.94"/>
    <x v="1"/>
  </r>
  <r>
    <x v="722"/>
    <s v="Female"/>
    <n v="45"/>
    <s v="No"/>
    <n v="8"/>
    <x v="1"/>
    <s v="Month-to-month"/>
    <s v="DSL"/>
    <s v="Credit card"/>
    <s v="No"/>
    <s v="No"/>
    <n v="7"/>
    <n v="79.03"/>
    <n v="591.52"/>
    <x v="0"/>
  </r>
  <r>
    <x v="723"/>
    <s v="Male"/>
    <n v="74"/>
    <s v="Yes"/>
    <n v="72"/>
    <x v="0"/>
    <s v="Month-to-month"/>
    <s v="Fiber optic"/>
    <s v="Credit card"/>
    <s v="Yes"/>
    <s v="No"/>
    <n v="6"/>
    <n v="82.64"/>
    <n v="6018.98"/>
    <x v="0"/>
  </r>
  <r>
    <x v="724"/>
    <s v="Male"/>
    <n v="60"/>
    <s v="Yes"/>
    <n v="45"/>
    <x v="3"/>
    <s v="Two year"/>
    <s v="Fiber optic"/>
    <s v="Bank transfer"/>
    <s v="No"/>
    <s v="No"/>
    <n v="4"/>
    <n v="85.26"/>
    <n v="4115.07"/>
    <x v="0"/>
  </r>
  <r>
    <x v="725"/>
    <s v="Male"/>
    <n v="54"/>
    <s v="No"/>
    <n v="59"/>
    <x v="0"/>
    <s v="Month-to-month"/>
    <s v="Fiber optic"/>
    <s v="Electronic check"/>
    <s v="No"/>
    <s v="Yes"/>
    <n v="4"/>
    <n v="68.7"/>
    <n v="3950.87"/>
    <x v="0"/>
  </r>
  <r>
    <x v="726"/>
    <s v="Male"/>
    <n v="64"/>
    <s v="Yes"/>
    <n v="4"/>
    <x v="2"/>
    <s v="One year"/>
    <s v="Fiber optic"/>
    <s v="Electronic check"/>
    <s v="No"/>
    <s v="No"/>
    <n v="4"/>
    <n v="77.72"/>
    <n v="317.83"/>
    <x v="0"/>
  </r>
  <r>
    <x v="727"/>
    <s v="Male"/>
    <n v="54"/>
    <s v="No"/>
    <n v="67"/>
    <x v="0"/>
    <s v="One year"/>
    <s v="DSL"/>
    <s v="Bank transfer"/>
    <s v="No"/>
    <s v="No"/>
    <n v="1"/>
    <n v="55.87"/>
    <n v="4018.44"/>
    <x v="0"/>
  </r>
  <r>
    <x v="728"/>
    <s v="Male"/>
    <n v="29"/>
    <s v="No"/>
    <n v="29"/>
    <x v="3"/>
    <s v="Month-to-month"/>
    <s v="DSL"/>
    <s v="Bank transfer"/>
    <s v="No"/>
    <s v="Yes"/>
    <n v="2"/>
    <n v="52.86"/>
    <n v="1606.03"/>
    <x v="0"/>
  </r>
  <r>
    <x v="729"/>
    <s v="Female"/>
    <n v="54"/>
    <s v="No"/>
    <n v="29"/>
    <x v="3"/>
    <s v="Month-to-month"/>
    <s v="DSL"/>
    <s v="Bank transfer"/>
    <s v="No"/>
    <s v="No"/>
    <n v="2"/>
    <n v="53.05"/>
    <n v="1584.8"/>
    <x v="0"/>
  </r>
  <r>
    <x v="730"/>
    <s v="Male"/>
    <n v="66"/>
    <s v="Yes"/>
    <n v="28"/>
    <x v="3"/>
    <s v="Month-to-month"/>
    <s v="Fiber optic"/>
    <s v="Electronic check"/>
    <s v="Yes"/>
    <s v="No"/>
    <n v="4"/>
    <n v="74.900000000000006"/>
    <n v="2255.29"/>
    <x v="0"/>
  </r>
  <r>
    <x v="731"/>
    <s v="Male"/>
    <n v="66"/>
    <s v="Yes"/>
    <n v="44"/>
    <x v="3"/>
    <s v="Month-to-month"/>
    <s v="No"/>
    <s v="Credit card"/>
    <s v="No"/>
    <s v="Yes"/>
    <n v="8"/>
    <n v="50.68"/>
    <n v="2112.39"/>
    <x v="0"/>
  </r>
  <r>
    <x v="732"/>
    <s v="Male"/>
    <n v="73"/>
    <s v="Yes"/>
    <n v="4"/>
    <x v="2"/>
    <s v="One year"/>
    <s v="Fiber optic"/>
    <s v="Electronic check"/>
    <s v="Yes"/>
    <s v="No"/>
    <n v="3"/>
    <n v="74.69"/>
    <n v="311.8"/>
    <x v="1"/>
  </r>
  <r>
    <x v="733"/>
    <s v="Female"/>
    <n v="61"/>
    <s v="Yes"/>
    <n v="9"/>
    <x v="1"/>
    <s v="Month-to-month"/>
    <s v="DSL"/>
    <s v="Mailed check"/>
    <s v="No"/>
    <s v="No"/>
    <n v="4"/>
    <n v="51.12"/>
    <n v="453.22"/>
    <x v="1"/>
  </r>
  <r>
    <x v="734"/>
    <s v="Female"/>
    <n v="73"/>
    <s v="Yes"/>
    <n v="5"/>
    <x v="2"/>
    <s v="Month-to-month"/>
    <s v="No"/>
    <s v="Mailed check"/>
    <s v="Yes"/>
    <s v="No"/>
    <n v="2"/>
    <n v="32.25"/>
    <n v="157.65"/>
    <x v="1"/>
  </r>
  <r>
    <x v="735"/>
    <s v="Male"/>
    <n v="45"/>
    <s v="No"/>
    <n v="56"/>
    <x v="0"/>
    <s v="Month-to-month"/>
    <s v="Fiber optic"/>
    <s v="Electronic check"/>
    <s v="No"/>
    <s v="No"/>
    <n v="4"/>
    <n v="85.87"/>
    <n v="4824.63"/>
    <x v="0"/>
  </r>
  <r>
    <x v="736"/>
    <s v="Female"/>
    <n v="64"/>
    <s v="Yes"/>
    <n v="50"/>
    <x v="0"/>
    <s v="Two year"/>
    <s v="DSL"/>
    <s v="Mailed check"/>
    <s v="Yes"/>
    <s v="No"/>
    <n v="6"/>
    <n v="58.13"/>
    <n v="2689.68"/>
    <x v="0"/>
  </r>
  <r>
    <x v="737"/>
    <s v="Male"/>
    <n v="32"/>
    <s v="No"/>
    <n v="15"/>
    <x v="4"/>
    <s v="Two year"/>
    <s v="No"/>
    <s v="Bank transfer"/>
    <s v="No"/>
    <s v="No"/>
    <n v="7"/>
    <n v="57.5"/>
    <n v="836.63"/>
    <x v="0"/>
  </r>
  <r>
    <x v="738"/>
    <s v="Male"/>
    <n v="23"/>
    <s v="No"/>
    <n v="32"/>
    <x v="3"/>
    <s v="Two year"/>
    <s v="Fiber optic"/>
    <s v="Credit card"/>
    <s v="No"/>
    <s v="No"/>
    <n v="3"/>
    <n v="81.97"/>
    <n v="2482.96"/>
    <x v="0"/>
  </r>
  <r>
    <x v="739"/>
    <s v="Female"/>
    <n v="61"/>
    <s v="Yes"/>
    <n v="28"/>
    <x v="3"/>
    <s v="One year"/>
    <s v="DSL"/>
    <s v="Credit card"/>
    <s v="No"/>
    <s v="Yes"/>
    <n v="5"/>
    <n v="61.18"/>
    <n v="1614.01"/>
    <x v="0"/>
  </r>
  <r>
    <x v="740"/>
    <s v="Male"/>
    <n v="37"/>
    <s v="No"/>
    <n v="22"/>
    <x v="4"/>
    <s v="Month-to-month"/>
    <s v="DSL"/>
    <s v="Mailed check"/>
    <s v="No"/>
    <s v="No"/>
    <n v="4"/>
    <n v="59.23"/>
    <n v="1269.1500000000001"/>
    <x v="0"/>
  </r>
  <r>
    <x v="741"/>
    <s v="Female"/>
    <n v="67"/>
    <s v="Yes"/>
    <n v="17"/>
    <x v="4"/>
    <s v="One year"/>
    <s v="Fiber optic"/>
    <s v="Bank transfer"/>
    <s v="No"/>
    <s v="No"/>
    <n v="3"/>
    <n v="71.64"/>
    <n v="1276.78"/>
    <x v="1"/>
  </r>
  <r>
    <x v="742"/>
    <s v="Female"/>
    <n v="31"/>
    <s v="No"/>
    <n v="59"/>
    <x v="0"/>
    <s v="Month-to-month"/>
    <s v="No"/>
    <s v="Electronic check"/>
    <s v="No"/>
    <s v="No"/>
    <n v="2"/>
    <n v="30.83"/>
    <n v="1731.98"/>
    <x v="0"/>
  </r>
  <r>
    <x v="743"/>
    <s v="Male"/>
    <n v="19"/>
    <s v="No"/>
    <n v="71"/>
    <x v="0"/>
    <s v="One year"/>
    <s v="No"/>
    <s v="Mailed check"/>
    <s v="Yes"/>
    <s v="No"/>
    <n v="1"/>
    <n v="34.729999999999997"/>
    <n v="2478.2199999999998"/>
    <x v="0"/>
  </r>
  <r>
    <x v="744"/>
    <s v="Male"/>
    <n v="26"/>
    <s v="No"/>
    <n v="57"/>
    <x v="0"/>
    <s v="One year"/>
    <s v="DSL"/>
    <s v="Electronic check"/>
    <s v="No"/>
    <s v="No"/>
    <n v="5"/>
    <n v="68.069999999999993"/>
    <n v="4034.36"/>
    <x v="0"/>
  </r>
  <r>
    <x v="745"/>
    <s v="Female"/>
    <n v="54"/>
    <s v="No"/>
    <n v="26"/>
    <x v="3"/>
    <s v="Month-to-month"/>
    <s v="Fiber optic"/>
    <s v="Mailed check"/>
    <s v="No"/>
    <s v="Yes"/>
    <n v="2"/>
    <n v="73.75"/>
    <n v="1838.03"/>
    <x v="0"/>
  </r>
  <r>
    <x v="746"/>
    <s v="Male"/>
    <n v="37"/>
    <s v="No"/>
    <n v="25"/>
    <x v="3"/>
    <s v="One year"/>
    <s v="Fiber optic"/>
    <s v="Electronic check"/>
    <s v="No"/>
    <s v="Yes"/>
    <n v="4"/>
    <n v="83.26"/>
    <n v="2222.7800000000002"/>
    <x v="0"/>
  </r>
  <r>
    <x v="747"/>
    <s v="Male"/>
    <n v="43"/>
    <s v="No"/>
    <n v="10"/>
    <x v="1"/>
    <s v="Two year"/>
    <s v="DSL"/>
    <s v="Mailed check"/>
    <s v="Yes"/>
    <s v="Yes"/>
    <n v="2"/>
    <n v="52.4"/>
    <n v="554.73"/>
    <x v="0"/>
  </r>
  <r>
    <x v="748"/>
    <s v="Male"/>
    <n v="46"/>
    <s v="No"/>
    <n v="45"/>
    <x v="3"/>
    <s v="Month-to-month"/>
    <s v="Fiber optic"/>
    <s v="Bank transfer"/>
    <s v="No"/>
    <s v="No"/>
    <n v="4"/>
    <n v="70.41"/>
    <n v="3042.31"/>
    <x v="0"/>
  </r>
  <r>
    <x v="749"/>
    <s v="Female"/>
    <n v="18"/>
    <s v="No"/>
    <n v="11"/>
    <x v="1"/>
    <s v="Two year"/>
    <s v="DSL"/>
    <s v="Credit card"/>
    <s v="No"/>
    <s v="No"/>
    <n v="1"/>
    <n v="54.45"/>
    <n v="645.87"/>
    <x v="0"/>
  </r>
  <r>
    <x v="750"/>
    <s v="Female"/>
    <n v="72"/>
    <s v="Yes"/>
    <n v="53"/>
    <x v="0"/>
    <s v="Month-to-month"/>
    <s v="DSL"/>
    <s v="Mailed check"/>
    <s v="No"/>
    <s v="No"/>
    <n v="5"/>
    <n v="56.75"/>
    <n v="3089.16"/>
    <x v="0"/>
  </r>
  <r>
    <x v="751"/>
    <s v="Male"/>
    <n v="52"/>
    <s v="No"/>
    <n v="72"/>
    <x v="0"/>
    <s v="One year"/>
    <s v="DSL"/>
    <s v="Credit card"/>
    <s v="No"/>
    <s v="No"/>
    <n v="4"/>
    <n v="58.3"/>
    <n v="4053.94"/>
    <x v="0"/>
  </r>
  <r>
    <x v="752"/>
    <s v="Female"/>
    <n v="23"/>
    <s v="No"/>
    <n v="68"/>
    <x v="0"/>
    <s v="Month-to-month"/>
    <s v="DSL"/>
    <s v="Bank transfer"/>
    <s v="Yes"/>
    <s v="No"/>
    <n v="2"/>
    <n v="56.97"/>
    <n v="3986.17"/>
    <x v="0"/>
  </r>
  <r>
    <x v="753"/>
    <s v="Female"/>
    <n v="54"/>
    <s v="No"/>
    <n v="28"/>
    <x v="3"/>
    <s v="Month-to-month"/>
    <s v="Fiber optic"/>
    <s v="Mailed check"/>
    <s v="No"/>
    <s v="No"/>
    <n v="1"/>
    <n v="57.19"/>
    <n v="1643.91"/>
    <x v="0"/>
  </r>
  <r>
    <x v="754"/>
    <s v="Female"/>
    <n v="70"/>
    <s v="Yes"/>
    <n v="65"/>
    <x v="0"/>
    <s v="Two year"/>
    <s v="Fiber optic"/>
    <s v="Bank transfer"/>
    <s v="No"/>
    <s v="No"/>
    <n v="6"/>
    <n v="91.37"/>
    <n v="6039.96"/>
    <x v="0"/>
  </r>
  <r>
    <x v="755"/>
    <s v="Female"/>
    <n v="22"/>
    <s v="No"/>
    <n v="49"/>
    <x v="0"/>
    <s v="Two year"/>
    <s v="Fiber optic"/>
    <s v="Electronic check"/>
    <s v="No"/>
    <s v="No"/>
    <n v="4"/>
    <n v="70.66"/>
    <n v="3579.61"/>
    <x v="0"/>
  </r>
  <r>
    <x v="756"/>
    <s v="Female"/>
    <n v="50"/>
    <s v="No"/>
    <n v="47"/>
    <x v="3"/>
    <s v="One year"/>
    <s v="DSL"/>
    <s v="Credit card"/>
    <s v="Yes"/>
    <s v="No"/>
    <n v="6"/>
    <n v="71.16"/>
    <n v="3220.54"/>
    <x v="0"/>
  </r>
  <r>
    <x v="757"/>
    <s v="Male"/>
    <n v="66"/>
    <s v="Yes"/>
    <n v="52"/>
    <x v="0"/>
    <s v="Month-to-month"/>
    <s v="DSL"/>
    <s v="Bank transfer"/>
    <s v="Yes"/>
    <s v="No"/>
    <n v="4"/>
    <n v="67.42"/>
    <n v="3774.52"/>
    <x v="0"/>
  </r>
  <r>
    <x v="758"/>
    <s v="Male"/>
    <n v="68"/>
    <s v="Yes"/>
    <n v="54"/>
    <x v="0"/>
    <s v="Two year"/>
    <s v="DSL"/>
    <s v="Credit card"/>
    <s v="No"/>
    <s v="No"/>
    <n v="5"/>
    <n v="57.84"/>
    <n v="3302.21"/>
    <x v="1"/>
  </r>
  <r>
    <x v="759"/>
    <s v="Male"/>
    <n v="31"/>
    <s v="No"/>
    <n v="60"/>
    <x v="0"/>
    <s v="Month-to-month"/>
    <s v="DSL"/>
    <s v="Bank transfer"/>
    <s v="Yes"/>
    <s v="No"/>
    <n v="5"/>
    <n v="56.93"/>
    <n v="3550.1"/>
    <x v="0"/>
  </r>
  <r>
    <x v="760"/>
    <s v="Female"/>
    <n v="29"/>
    <s v="No"/>
    <n v="57"/>
    <x v="0"/>
    <s v="Two year"/>
    <s v="No"/>
    <s v="Credit card"/>
    <s v="No"/>
    <s v="Yes"/>
    <n v="5"/>
    <n v="45.53"/>
    <n v="2398.52"/>
    <x v="0"/>
  </r>
  <r>
    <x v="761"/>
    <s v="Female"/>
    <n v="59"/>
    <s v="No"/>
    <n v="47"/>
    <x v="3"/>
    <s v="Month-to-month"/>
    <s v="Fiber optic"/>
    <s v="Credit card"/>
    <s v="No"/>
    <s v="Yes"/>
    <n v="3"/>
    <n v="68.709999999999994"/>
    <n v="3276.07"/>
    <x v="0"/>
  </r>
  <r>
    <x v="762"/>
    <s v="Male"/>
    <n v="37"/>
    <s v="No"/>
    <n v="31"/>
    <x v="3"/>
    <s v="Month-to-month"/>
    <s v="Fiber optic"/>
    <s v="Mailed check"/>
    <s v="No"/>
    <s v="No"/>
    <n v="3"/>
    <n v="59.76"/>
    <n v="1913.76"/>
    <x v="0"/>
  </r>
  <r>
    <x v="763"/>
    <s v="Female"/>
    <n v="70"/>
    <s v="Yes"/>
    <n v="46"/>
    <x v="3"/>
    <s v="One year"/>
    <s v="Fiber optic"/>
    <s v="Electronic check"/>
    <s v="Yes"/>
    <s v="No"/>
    <n v="4"/>
    <n v="78.819999999999993"/>
    <n v="3831.14"/>
    <x v="1"/>
  </r>
  <r>
    <x v="764"/>
    <s v="Male"/>
    <n v="67"/>
    <s v="Yes"/>
    <n v="26"/>
    <x v="3"/>
    <s v="Month-to-month"/>
    <s v="DSL"/>
    <s v="Mailed check"/>
    <s v="No"/>
    <s v="Yes"/>
    <n v="6"/>
    <n v="69.349999999999994"/>
    <n v="1931.81"/>
    <x v="1"/>
  </r>
  <r>
    <x v="765"/>
    <s v="Male"/>
    <n v="41"/>
    <s v="No"/>
    <n v="5"/>
    <x v="2"/>
    <s v="Month-to-month"/>
    <s v="Fiber optic"/>
    <s v="Mailed check"/>
    <s v="No"/>
    <s v="Yes"/>
    <n v="3"/>
    <n v="72.7"/>
    <n v="387.69"/>
    <x v="1"/>
  </r>
  <r>
    <x v="766"/>
    <s v="Male"/>
    <n v="60"/>
    <s v="Yes"/>
    <n v="52"/>
    <x v="0"/>
    <s v="Month-to-month"/>
    <s v="No"/>
    <s v="Electronic check"/>
    <s v="No"/>
    <s v="Yes"/>
    <n v="2"/>
    <n v="33.79"/>
    <n v="1730.67"/>
    <x v="0"/>
  </r>
  <r>
    <x v="767"/>
    <s v="Female"/>
    <n v="51"/>
    <s v="No"/>
    <n v="54"/>
    <x v="0"/>
    <s v="Month-to-month"/>
    <s v="DSL"/>
    <s v="Credit card"/>
    <s v="No"/>
    <s v="No"/>
    <n v="2"/>
    <n v="58.34"/>
    <n v="3350.22"/>
    <x v="0"/>
  </r>
  <r>
    <x v="768"/>
    <s v="Female"/>
    <n v="42"/>
    <s v="No"/>
    <n v="33"/>
    <x v="3"/>
    <s v="Month-to-month"/>
    <s v="No"/>
    <s v="Bank transfer"/>
    <s v="No"/>
    <s v="Yes"/>
    <n v="3"/>
    <n v="34.49"/>
    <n v="1047.25"/>
    <x v="0"/>
  </r>
  <r>
    <x v="769"/>
    <s v="Male"/>
    <n v="67"/>
    <s v="Yes"/>
    <n v="50"/>
    <x v="0"/>
    <s v="Month-to-month"/>
    <s v="No"/>
    <s v="Credit card"/>
    <s v="No"/>
    <s v="Yes"/>
    <n v="1"/>
    <n v="27.41"/>
    <n v="1337.93"/>
    <x v="0"/>
  </r>
  <r>
    <x v="770"/>
    <s v="Male"/>
    <n v="46"/>
    <s v="No"/>
    <n v="38"/>
    <x v="3"/>
    <s v="Month-to-month"/>
    <s v="Fiber optic"/>
    <s v="Credit card"/>
    <s v="No"/>
    <s v="Yes"/>
    <n v="2"/>
    <n v="70.86"/>
    <n v="2526.33"/>
    <x v="0"/>
  </r>
  <r>
    <x v="771"/>
    <s v="Male"/>
    <n v="74"/>
    <s v="Yes"/>
    <n v="27"/>
    <x v="3"/>
    <s v="Month-to-month"/>
    <s v="DSL"/>
    <s v="Bank transfer"/>
    <s v="No"/>
    <s v="Yes"/>
    <n v="7"/>
    <n v="68.8"/>
    <n v="1971.45"/>
    <x v="0"/>
  </r>
  <r>
    <x v="772"/>
    <s v="Male"/>
    <n v="56"/>
    <s v="No"/>
    <n v="15"/>
    <x v="4"/>
    <s v="One year"/>
    <s v="DSL"/>
    <s v="Credit card"/>
    <s v="No"/>
    <s v="No"/>
    <n v="2"/>
    <n v="48.8"/>
    <n v="782.13"/>
    <x v="0"/>
  </r>
  <r>
    <x v="773"/>
    <s v="Female"/>
    <n v="48"/>
    <s v="No"/>
    <n v="61"/>
    <x v="0"/>
    <s v="Month-to-month"/>
    <s v="Fiber optic"/>
    <s v="Mailed check"/>
    <s v="No"/>
    <s v="Yes"/>
    <n v="6"/>
    <n v="98.96"/>
    <n v="5800.9"/>
    <x v="0"/>
  </r>
  <r>
    <x v="774"/>
    <s v="Female"/>
    <n v="73"/>
    <s v="Yes"/>
    <n v="21"/>
    <x v="4"/>
    <s v="Two year"/>
    <s v="Fiber optic"/>
    <s v="Credit card"/>
    <s v="No"/>
    <s v="No"/>
    <n v="3"/>
    <n v="75.88"/>
    <n v="1559.65"/>
    <x v="0"/>
  </r>
  <r>
    <x v="775"/>
    <s v="Male"/>
    <n v="64"/>
    <s v="Yes"/>
    <n v="46"/>
    <x v="3"/>
    <s v="Two year"/>
    <s v="DSL"/>
    <s v="Mailed check"/>
    <s v="Yes"/>
    <s v="No"/>
    <n v="6"/>
    <n v="64.92"/>
    <n v="3217.52"/>
    <x v="0"/>
  </r>
  <r>
    <x v="776"/>
    <s v="Male"/>
    <n v="60"/>
    <s v="Yes"/>
    <n v="69"/>
    <x v="0"/>
    <s v="Month-to-month"/>
    <s v="Fiber optic"/>
    <s v="Mailed check"/>
    <s v="No"/>
    <s v="No"/>
    <n v="4"/>
    <n v="88.69"/>
    <n v="6184.3"/>
    <x v="0"/>
  </r>
  <r>
    <x v="777"/>
    <s v="Female"/>
    <n v="67"/>
    <s v="Yes"/>
    <n v="6"/>
    <x v="2"/>
    <s v="One year"/>
    <s v="DSL"/>
    <s v="Mailed check"/>
    <s v="No"/>
    <s v="Yes"/>
    <n v="1"/>
    <n v="54.6"/>
    <n v="327.45"/>
    <x v="0"/>
  </r>
  <r>
    <x v="778"/>
    <s v="Female"/>
    <n v="40"/>
    <s v="No"/>
    <n v="38"/>
    <x v="3"/>
    <s v="Two year"/>
    <s v="DSL"/>
    <s v="Bank transfer"/>
    <s v="Yes"/>
    <s v="Yes"/>
    <n v="2"/>
    <n v="55.37"/>
    <n v="2104.21"/>
    <x v="0"/>
  </r>
  <r>
    <x v="779"/>
    <s v="Male"/>
    <n v="61"/>
    <s v="Yes"/>
    <n v="62"/>
    <x v="0"/>
    <s v="Two year"/>
    <s v="Fiber optic"/>
    <s v="Bank transfer"/>
    <s v="No"/>
    <s v="Yes"/>
    <n v="4"/>
    <n v="74.73"/>
    <n v="4778.7"/>
    <x v="0"/>
  </r>
  <r>
    <x v="780"/>
    <s v="Male"/>
    <n v="55"/>
    <s v="No"/>
    <n v="62"/>
    <x v="0"/>
    <s v="One year"/>
    <s v="DSL"/>
    <s v="Mailed check"/>
    <s v="Yes"/>
    <s v="Yes"/>
    <n v="1"/>
    <n v="66.13"/>
    <n v="4398.24"/>
    <x v="0"/>
  </r>
  <r>
    <x v="781"/>
    <s v="Male"/>
    <n v="37"/>
    <s v="No"/>
    <n v="46"/>
    <x v="3"/>
    <s v="Month-to-month"/>
    <s v="Fiber optic"/>
    <s v="Electronic check"/>
    <s v="No"/>
    <s v="No"/>
    <n v="2"/>
    <n v="60.04"/>
    <n v="2702.9"/>
    <x v="0"/>
  </r>
  <r>
    <x v="782"/>
    <s v="Female"/>
    <n v="40"/>
    <s v="No"/>
    <n v="13"/>
    <x v="4"/>
    <s v="One year"/>
    <s v="DSL"/>
    <s v="Credit card"/>
    <s v="No"/>
    <s v="Yes"/>
    <n v="1"/>
    <n v="34.53"/>
    <n v="425.38"/>
    <x v="1"/>
  </r>
  <r>
    <x v="783"/>
    <s v="Female"/>
    <n v="62"/>
    <s v="Yes"/>
    <n v="3"/>
    <x v="2"/>
    <s v="One year"/>
    <s v="Fiber optic"/>
    <s v="Bank transfer"/>
    <s v="No"/>
    <s v="Yes"/>
    <n v="5"/>
    <n v="85.68"/>
    <n v="244.09"/>
    <x v="0"/>
  </r>
  <r>
    <x v="784"/>
    <s v="Female"/>
    <n v="69"/>
    <s v="Yes"/>
    <n v="6"/>
    <x v="2"/>
    <s v="One year"/>
    <s v="No"/>
    <s v="Mailed check"/>
    <s v="No"/>
    <s v="No"/>
    <n v="2"/>
    <n v="30.5"/>
    <n v="168.96"/>
    <x v="1"/>
  </r>
  <r>
    <x v="785"/>
    <s v="Male"/>
    <n v="33"/>
    <s v="No"/>
    <n v="8"/>
    <x v="1"/>
    <s v="Month-to-month"/>
    <s v="Fiber optic"/>
    <s v="Bank transfer"/>
    <s v="No"/>
    <s v="No"/>
    <n v="3"/>
    <n v="57.66"/>
    <n v="465.37"/>
    <x v="0"/>
  </r>
  <r>
    <x v="786"/>
    <s v="Male"/>
    <n v="67"/>
    <s v="Yes"/>
    <n v="44"/>
    <x v="3"/>
    <s v="Two year"/>
    <s v="Fiber optic"/>
    <s v="Credit card"/>
    <s v="No"/>
    <s v="Yes"/>
    <n v="5"/>
    <n v="82.01"/>
    <n v="3856.19"/>
    <x v="0"/>
  </r>
  <r>
    <x v="787"/>
    <s v="Female"/>
    <n v="59"/>
    <s v="No"/>
    <n v="33"/>
    <x v="3"/>
    <s v="Two year"/>
    <s v="Fiber optic"/>
    <s v="Credit card"/>
    <s v="No"/>
    <s v="Yes"/>
    <n v="5"/>
    <n v="83.55"/>
    <n v="2851.15"/>
    <x v="0"/>
  </r>
  <r>
    <x v="788"/>
    <s v="Female"/>
    <n v="72"/>
    <s v="Yes"/>
    <n v="50"/>
    <x v="0"/>
    <s v="Month-to-month"/>
    <s v="Fiber optic"/>
    <s v="Mailed check"/>
    <s v="No"/>
    <s v="Yes"/>
    <n v="5"/>
    <n v="81.819999999999993"/>
    <n v="4413.67"/>
    <x v="1"/>
  </r>
  <r>
    <x v="789"/>
    <s v="Male"/>
    <n v="25"/>
    <s v="No"/>
    <n v="11"/>
    <x v="1"/>
    <s v="Month-to-month"/>
    <s v="Fiber optic"/>
    <s v="Electronic check"/>
    <s v="No"/>
    <s v="No"/>
    <n v="2"/>
    <n v="73.12"/>
    <n v="857.02"/>
    <x v="1"/>
  </r>
  <r>
    <x v="790"/>
    <s v="Female"/>
    <n v="67"/>
    <s v="Yes"/>
    <n v="28"/>
    <x v="3"/>
    <s v="Month-to-month"/>
    <s v="DSL"/>
    <s v="Mailed check"/>
    <s v="No"/>
    <s v="No"/>
    <n v="4"/>
    <n v="55.71"/>
    <n v="1557.85"/>
    <x v="0"/>
  </r>
  <r>
    <x v="791"/>
    <s v="Female"/>
    <n v="38"/>
    <s v="No"/>
    <n v="70"/>
    <x v="0"/>
    <s v="Two year"/>
    <s v="DSL"/>
    <s v="Mailed check"/>
    <s v="Yes"/>
    <s v="No"/>
    <n v="3"/>
    <n v="54.03"/>
    <n v="3773.96"/>
    <x v="0"/>
  </r>
  <r>
    <x v="792"/>
    <s v="Male"/>
    <n v="18"/>
    <s v="No"/>
    <n v="41"/>
    <x v="3"/>
    <s v="One year"/>
    <s v="Fiber optic"/>
    <s v="Credit card"/>
    <s v="No"/>
    <s v="No"/>
    <n v="2"/>
    <n v="80.16"/>
    <n v="3354.06"/>
    <x v="0"/>
  </r>
  <r>
    <x v="793"/>
    <s v="Female"/>
    <n v="72"/>
    <s v="Yes"/>
    <n v="16"/>
    <x v="4"/>
    <s v="One year"/>
    <s v="Fiber optic"/>
    <s v="Mailed check"/>
    <s v="Yes"/>
    <s v="No"/>
    <n v="1"/>
    <n v="73.709999999999994"/>
    <n v="1105.94"/>
    <x v="0"/>
  </r>
  <r>
    <x v="794"/>
    <s v="Male"/>
    <n v="25"/>
    <s v="No"/>
    <n v="68"/>
    <x v="0"/>
    <s v="Month-to-month"/>
    <s v="DSL"/>
    <s v="Credit card"/>
    <s v="No"/>
    <s v="Yes"/>
    <n v="6"/>
    <n v="65.540000000000006"/>
    <n v="4533.51"/>
    <x v="0"/>
  </r>
  <r>
    <x v="795"/>
    <s v="Male"/>
    <n v="46"/>
    <s v="No"/>
    <n v="48"/>
    <x v="3"/>
    <s v="One year"/>
    <s v="DSL"/>
    <s v="Mailed check"/>
    <s v="No"/>
    <s v="No"/>
    <n v="2"/>
    <n v="54.84"/>
    <n v="2617.19"/>
    <x v="0"/>
  </r>
  <r>
    <x v="796"/>
    <s v="Male"/>
    <n v="49"/>
    <s v="No"/>
    <n v="56"/>
    <x v="0"/>
    <s v="Month-to-month"/>
    <s v="Fiber optic"/>
    <s v="Credit card"/>
    <s v="No"/>
    <s v="No"/>
    <n v="3"/>
    <n v="81.12"/>
    <n v="4646.47"/>
    <x v="0"/>
  </r>
  <r>
    <x v="797"/>
    <s v="Male"/>
    <n v="55"/>
    <s v="No"/>
    <n v="64"/>
    <x v="0"/>
    <s v="Month-to-month"/>
    <s v="No"/>
    <s v="Electronic check"/>
    <s v="No"/>
    <s v="No"/>
    <n v="1"/>
    <n v="22.44"/>
    <n v="1451.14"/>
    <x v="0"/>
  </r>
  <r>
    <x v="798"/>
    <s v="Male"/>
    <n v="22"/>
    <s v="No"/>
    <n v="59"/>
    <x v="0"/>
    <s v="One year"/>
    <s v="Fiber optic"/>
    <s v="Credit card"/>
    <s v="No"/>
    <s v="No"/>
    <n v="4"/>
    <n v="81.31"/>
    <n v="4651.76"/>
    <x v="0"/>
  </r>
  <r>
    <x v="799"/>
    <s v="Male"/>
    <n v="64"/>
    <s v="Yes"/>
    <n v="62"/>
    <x v="0"/>
    <s v="Two year"/>
    <s v="DSL"/>
    <s v="Credit card"/>
    <s v="No"/>
    <s v="No"/>
    <n v="5"/>
    <n v="64.09"/>
    <n v="4042.09"/>
    <x v="0"/>
  </r>
  <r>
    <x v="800"/>
    <s v="Male"/>
    <n v="39"/>
    <s v="No"/>
    <n v="11"/>
    <x v="1"/>
    <s v="Two year"/>
    <s v="Fiber optic"/>
    <s v="Credit card"/>
    <s v="No"/>
    <s v="No"/>
    <n v="7"/>
    <n v="95.6"/>
    <n v="1029.06"/>
    <x v="0"/>
  </r>
  <r>
    <x v="801"/>
    <s v="Female"/>
    <n v="64"/>
    <s v="Yes"/>
    <n v="18"/>
    <x v="4"/>
    <s v="Two year"/>
    <s v="Fiber optic"/>
    <s v="Electronic check"/>
    <s v="No"/>
    <s v="Yes"/>
    <n v="3"/>
    <n v="68.39"/>
    <n v="1170.8699999999999"/>
    <x v="0"/>
  </r>
  <r>
    <x v="802"/>
    <s v="Male"/>
    <n v="51"/>
    <s v="No"/>
    <n v="19"/>
    <x v="4"/>
    <s v="Month-to-month"/>
    <s v="No"/>
    <s v="Electronic check"/>
    <s v="Yes"/>
    <s v="No"/>
    <n v="2"/>
    <n v="32.76"/>
    <n v="639.88"/>
    <x v="0"/>
  </r>
  <r>
    <x v="803"/>
    <s v="Male"/>
    <n v="18"/>
    <s v="No"/>
    <n v="55"/>
    <x v="0"/>
    <s v="Month-to-month"/>
    <s v="Fiber optic"/>
    <s v="Bank transfer"/>
    <s v="Yes"/>
    <s v="Yes"/>
    <n v="4"/>
    <n v="73.72"/>
    <n v="3928.97"/>
    <x v="0"/>
  </r>
  <r>
    <x v="804"/>
    <s v="Female"/>
    <n v="72"/>
    <s v="Yes"/>
    <n v="26"/>
    <x v="3"/>
    <s v="One year"/>
    <s v="DSL"/>
    <s v="Electronic check"/>
    <s v="No"/>
    <s v="No"/>
    <n v="3"/>
    <n v="57.32"/>
    <n v="1583.08"/>
    <x v="0"/>
  </r>
  <r>
    <x v="805"/>
    <s v="Female"/>
    <n v="72"/>
    <s v="Yes"/>
    <n v="6"/>
    <x v="2"/>
    <s v="Two year"/>
    <s v="Fiber optic"/>
    <s v="Electronic check"/>
    <s v="No"/>
    <s v="Yes"/>
    <n v="2"/>
    <n v="65.22"/>
    <n v="372.49"/>
    <x v="1"/>
  </r>
  <r>
    <x v="806"/>
    <s v="Female"/>
    <n v="43"/>
    <s v="No"/>
    <n v="4"/>
    <x v="2"/>
    <s v="Month-to-month"/>
    <s v="DSL"/>
    <s v="Electronic check"/>
    <s v="Yes"/>
    <s v="No"/>
    <n v="2"/>
    <n v="47.18"/>
    <n v="191.74"/>
    <x v="0"/>
  </r>
  <r>
    <x v="807"/>
    <s v="Male"/>
    <n v="60"/>
    <s v="Yes"/>
    <n v="29"/>
    <x v="3"/>
    <s v="Month-to-month"/>
    <s v="No"/>
    <s v="Mailed check"/>
    <s v="No"/>
    <s v="No"/>
    <n v="2"/>
    <n v="33.86"/>
    <n v="993.18"/>
    <x v="0"/>
  </r>
  <r>
    <x v="808"/>
    <s v="Female"/>
    <n v="27"/>
    <s v="No"/>
    <n v="59"/>
    <x v="0"/>
    <s v="Month-to-month"/>
    <s v="Fiber optic"/>
    <s v="Bank transfer"/>
    <s v="Yes"/>
    <s v="No"/>
    <n v="4"/>
    <n v="72.42"/>
    <n v="4066.14"/>
    <x v="0"/>
  </r>
  <r>
    <x v="809"/>
    <s v="Male"/>
    <n v="47"/>
    <s v="No"/>
    <n v="17"/>
    <x v="4"/>
    <s v="One year"/>
    <s v="No"/>
    <s v="Electronic check"/>
    <s v="Yes"/>
    <s v="No"/>
    <n v="6"/>
    <n v="37.69"/>
    <n v="634.57000000000005"/>
    <x v="0"/>
  </r>
  <r>
    <x v="810"/>
    <s v="Male"/>
    <n v="67"/>
    <s v="Yes"/>
    <n v="43"/>
    <x v="3"/>
    <s v="Month-to-month"/>
    <s v="DSL"/>
    <s v="Electronic check"/>
    <s v="No"/>
    <s v="No"/>
    <n v="3"/>
    <n v="62.27"/>
    <n v="2752.81"/>
    <x v="1"/>
  </r>
  <r>
    <x v="811"/>
    <s v="Male"/>
    <n v="35"/>
    <s v="No"/>
    <n v="66"/>
    <x v="0"/>
    <s v="Month-to-month"/>
    <s v="DSL"/>
    <s v="Mailed check"/>
    <s v="No"/>
    <s v="No"/>
    <n v="1"/>
    <n v="42.5"/>
    <n v="2723.56"/>
    <x v="0"/>
  </r>
  <r>
    <x v="812"/>
    <s v="Male"/>
    <n v="34"/>
    <s v="No"/>
    <n v="34"/>
    <x v="3"/>
    <s v="Month-to-month"/>
    <s v="DSL"/>
    <s v="Bank transfer"/>
    <s v="No"/>
    <s v="Yes"/>
    <n v="3"/>
    <n v="45.2"/>
    <n v="1441.85"/>
    <x v="1"/>
  </r>
  <r>
    <x v="813"/>
    <s v="Female"/>
    <n v="43"/>
    <s v="No"/>
    <n v="8"/>
    <x v="1"/>
    <s v="Month-to-month"/>
    <s v="No"/>
    <s v="Electronic check"/>
    <s v="No"/>
    <s v="No"/>
    <n v="3"/>
    <n v="29.24"/>
    <n v="238.23"/>
    <x v="1"/>
  </r>
  <r>
    <x v="814"/>
    <s v="Female"/>
    <n v="25"/>
    <s v="No"/>
    <n v="13"/>
    <x v="4"/>
    <s v="Two year"/>
    <s v="Fiber optic"/>
    <s v="Mailed check"/>
    <s v="No"/>
    <s v="Yes"/>
    <n v="3"/>
    <n v="74.3"/>
    <n v="923.26"/>
    <x v="0"/>
  </r>
  <r>
    <x v="815"/>
    <s v="Male"/>
    <n v="64"/>
    <s v="Yes"/>
    <n v="8"/>
    <x v="1"/>
    <s v="Month-to-month"/>
    <s v="Fiber optic"/>
    <s v="Credit card"/>
    <s v="No"/>
    <s v="Yes"/>
    <n v="3"/>
    <n v="86.04"/>
    <n v="708.31"/>
    <x v="1"/>
  </r>
  <r>
    <x v="816"/>
    <s v="Male"/>
    <n v="57"/>
    <s v="No"/>
    <n v="65"/>
    <x v="0"/>
    <s v="One year"/>
    <s v="No"/>
    <s v="Credit card"/>
    <s v="Yes"/>
    <s v="Yes"/>
    <n v="7"/>
    <n v="52.02"/>
    <n v="3564.95"/>
    <x v="0"/>
  </r>
  <r>
    <x v="817"/>
    <s v="Male"/>
    <n v="66"/>
    <s v="Yes"/>
    <n v="43"/>
    <x v="3"/>
    <s v="One year"/>
    <s v="DSL"/>
    <s v="Credit card"/>
    <s v="No"/>
    <s v="No"/>
    <n v="1"/>
    <n v="51.08"/>
    <n v="2064.08"/>
    <x v="0"/>
  </r>
  <r>
    <x v="818"/>
    <s v="Female"/>
    <n v="29"/>
    <s v="No"/>
    <n v="39"/>
    <x v="3"/>
    <s v="Two year"/>
    <s v="Fiber optic"/>
    <s v="Credit card"/>
    <s v="Yes"/>
    <s v="No"/>
    <n v="2"/>
    <n v="68.31"/>
    <n v="2637.5"/>
    <x v="0"/>
  </r>
  <r>
    <x v="819"/>
    <s v="Male"/>
    <n v="44"/>
    <s v="No"/>
    <n v="59"/>
    <x v="0"/>
    <s v="Month-to-month"/>
    <s v="DSL"/>
    <s v="Mailed check"/>
    <s v="No"/>
    <s v="Yes"/>
    <n v="5"/>
    <n v="64.3"/>
    <n v="3760.27"/>
    <x v="0"/>
  </r>
  <r>
    <x v="820"/>
    <s v="Male"/>
    <n v="25"/>
    <s v="No"/>
    <n v="44"/>
    <x v="3"/>
    <s v="Two year"/>
    <s v="DSL"/>
    <s v="Bank transfer"/>
    <s v="Yes"/>
    <s v="No"/>
    <n v="4"/>
    <n v="57.55"/>
    <n v="2585.9"/>
    <x v="0"/>
  </r>
  <r>
    <x v="821"/>
    <s v="Female"/>
    <n v="42"/>
    <s v="No"/>
    <n v="9"/>
    <x v="1"/>
    <s v="One year"/>
    <s v="Fiber optic"/>
    <s v="Mailed check"/>
    <s v="No"/>
    <s v="No"/>
    <n v="5"/>
    <n v="86.99"/>
    <n v="762.17"/>
    <x v="0"/>
  </r>
  <r>
    <x v="822"/>
    <s v="Female"/>
    <n v="63"/>
    <s v="Yes"/>
    <n v="37"/>
    <x v="3"/>
    <s v="Two year"/>
    <s v="Fiber optic"/>
    <s v="Bank transfer"/>
    <s v="Yes"/>
    <s v="No"/>
    <n v="2"/>
    <n v="63.07"/>
    <n v="2303.19"/>
    <x v="0"/>
  </r>
  <r>
    <x v="823"/>
    <s v="Male"/>
    <n v="21"/>
    <s v="No"/>
    <n v="36"/>
    <x v="3"/>
    <s v="Two year"/>
    <s v="DSL"/>
    <s v="Electronic check"/>
    <s v="No"/>
    <s v="No"/>
    <n v="4"/>
    <n v="59.53"/>
    <n v="1975.75"/>
    <x v="0"/>
  </r>
  <r>
    <x v="824"/>
    <s v="Female"/>
    <n v="50"/>
    <s v="No"/>
    <n v="28"/>
    <x v="3"/>
    <s v="Month-to-month"/>
    <s v="Fiber optic"/>
    <s v="Bank transfer"/>
    <s v="No"/>
    <s v="Yes"/>
    <n v="6"/>
    <n v="88.08"/>
    <n v="2317.25"/>
    <x v="0"/>
  </r>
  <r>
    <x v="825"/>
    <s v="Female"/>
    <n v="18"/>
    <s v="No"/>
    <n v="42"/>
    <x v="3"/>
    <s v="Month-to-month"/>
    <s v="DSL"/>
    <s v="Bank transfer"/>
    <s v="No"/>
    <s v="No"/>
    <n v="4"/>
    <n v="61.77"/>
    <n v="2623.34"/>
    <x v="0"/>
  </r>
  <r>
    <x v="826"/>
    <s v="Male"/>
    <n v="36"/>
    <s v="No"/>
    <n v="43"/>
    <x v="3"/>
    <s v="Month-to-month"/>
    <s v="No"/>
    <s v="Electronic check"/>
    <s v="Yes"/>
    <s v="Yes"/>
    <n v="3"/>
    <n v="27.58"/>
    <n v="1132.03"/>
    <x v="0"/>
  </r>
  <r>
    <x v="827"/>
    <s v="Female"/>
    <n v="48"/>
    <s v="No"/>
    <n v="42"/>
    <x v="3"/>
    <s v="Month-to-month"/>
    <s v="Fiber optic"/>
    <s v="Credit card"/>
    <s v="Yes"/>
    <s v="No"/>
    <n v="4"/>
    <n v="75.67"/>
    <n v="2997.41"/>
    <x v="1"/>
  </r>
  <r>
    <x v="828"/>
    <s v="Male"/>
    <n v="33"/>
    <s v="No"/>
    <n v="66"/>
    <x v="0"/>
    <s v="Month-to-month"/>
    <s v="Fiber optic"/>
    <s v="Electronic check"/>
    <s v="Yes"/>
    <s v="No"/>
    <n v="5"/>
    <n v="87.21"/>
    <n v="5594.16"/>
    <x v="1"/>
  </r>
  <r>
    <x v="829"/>
    <s v="Female"/>
    <n v="31"/>
    <s v="No"/>
    <n v="55"/>
    <x v="0"/>
    <s v="Month-to-month"/>
    <s v="Fiber optic"/>
    <s v="Electronic check"/>
    <s v="No"/>
    <s v="No"/>
    <n v="3"/>
    <n v="76.58"/>
    <n v="3985.16"/>
    <x v="0"/>
  </r>
  <r>
    <x v="830"/>
    <s v="Male"/>
    <n v="70"/>
    <s v="Yes"/>
    <n v="72"/>
    <x v="0"/>
    <s v="Month-to-month"/>
    <s v="DSL"/>
    <s v="Electronic check"/>
    <s v="No"/>
    <s v="Yes"/>
    <n v="4"/>
    <n v="71.14"/>
    <n v="4761.18"/>
    <x v="1"/>
  </r>
  <r>
    <x v="831"/>
    <s v="Male"/>
    <n v="65"/>
    <s v="Yes"/>
    <n v="48"/>
    <x v="3"/>
    <s v="Month-to-month"/>
    <s v="DSL"/>
    <s v="Mailed check"/>
    <s v="Yes"/>
    <s v="Yes"/>
    <n v="5"/>
    <n v="59.29"/>
    <n v="2747.5"/>
    <x v="0"/>
  </r>
  <r>
    <x v="832"/>
    <s v="Male"/>
    <n v="22"/>
    <s v="No"/>
    <n v="22"/>
    <x v="4"/>
    <s v="Month-to-month"/>
    <s v="Fiber optic"/>
    <s v="Electronic check"/>
    <s v="Yes"/>
    <s v="Yes"/>
    <n v="4"/>
    <n v="65.09"/>
    <n v="1355.08"/>
    <x v="0"/>
  </r>
  <r>
    <x v="833"/>
    <s v="Female"/>
    <n v="58"/>
    <s v="No"/>
    <n v="27"/>
    <x v="3"/>
    <s v="Month-to-month"/>
    <s v="DSL"/>
    <s v="Credit card"/>
    <s v="No"/>
    <s v="No"/>
    <n v="1"/>
    <n v="43.74"/>
    <n v="1237.55"/>
    <x v="0"/>
  </r>
  <r>
    <x v="834"/>
    <s v="Male"/>
    <n v="43"/>
    <s v="No"/>
    <n v="67"/>
    <x v="0"/>
    <s v="Month-to-month"/>
    <s v="Fiber optic"/>
    <s v="Mailed check"/>
    <s v="Yes"/>
    <s v="Yes"/>
    <n v="3"/>
    <n v="56.37"/>
    <n v="3512.51"/>
    <x v="0"/>
  </r>
  <r>
    <x v="835"/>
    <s v="Female"/>
    <n v="45"/>
    <s v="No"/>
    <n v="13"/>
    <x v="4"/>
    <s v="Month-to-month"/>
    <s v="Fiber optic"/>
    <s v="Mailed check"/>
    <s v="Yes"/>
    <s v="No"/>
    <n v="5"/>
    <n v="87.92"/>
    <n v="1188.21"/>
    <x v="0"/>
  </r>
  <r>
    <x v="836"/>
    <s v="Male"/>
    <n v="19"/>
    <s v="No"/>
    <n v="45"/>
    <x v="3"/>
    <s v="Month-to-month"/>
    <s v="Fiber optic"/>
    <s v="Mailed check"/>
    <s v="Yes"/>
    <s v="Yes"/>
    <n v="2"/>
    <n v="70.98"/>
    <n v="3134.2"/>
    <x v="0"/>
  </r>
  <r>
    <x v="837"/>
    <s v="Male"/>
    <n v="67"/>
    <s v="Yes"/>
    <n v="10"/>
    <x v="1"/>
    <s v="Month-to-month"/>
    <s v="Fiber optic"/>
    <s v="Bank transfer"/>
    <s v="Yes"/>
    <s v="No"/>
    <n v="7"/>
    <n v="93.79"/>
    <n v="964.21"/>
    <x v="1"/>
  </r>
  <r>
    <x v="838"/>
    <s v="Female"/>
    <n v="23"/>
    <s v="No"/>
    <n v="9"/>
    <x v="1"/>
    <s v="Two year"/>
    <s v="Fiber optic"/>
    <s v="Credit card"/>
    <s v="Yes"/>
    <s v="Yes"/>
    <n v="4"/>
    <n v="82.9"/>
    <n v="692.7"/>
    <x v="0"/>
  </r>
  <r>
    <x v="839"/>
    <s v="Male"/>
    <n v="26"/>
    <s v="No"/>
    <n v="54"/>
    <x v="0"/>
    <s v="Month-to-month"/>
    <s v="Fiber optic"/>
    <s v="Bank transfer"/>
    <s v="Yes"/>
    <s v="Yes"/>
    <n v="3"/>
    <n v="82.28"/>
    <n v="4742.2"/>
    <x v="0"/>
  </r>
  <r>
    <x v="840"/>
    <s v="Male"/>
    <n v="50"/>
    <s v="No"/>
    <n v="27"/>
    <x v="3"/>
    <s v="Month-to-month"/>
    <s v="No"/>
    <s v="Bank transfer"/>
    <s v="No"/>
    <s v="No"/>
    <n v="5"/>
    <n v="26.86"/>
    <n v="756.24"/>
    <x v="0"/>
  </r>
  <r>
    <x v="841"/>
    <s v="Female"/>
    <n v="58"/>
    <s v="No"/>
    <n v="34"/>
    <x v="3"/>
    <s v="Month-to-month"/>
    <s v="DSL"/>
    <s v="Credit card"/>
    <s v="No"/>
    <s v="No"/>
    <n v="4"/>
    <n v="44.71"/>
    <n v="1432.61"/>
    <x v="0"/>
  </r>
  <r>
    <x v="842"/>
    <s v="Male"/>
    <n v="42"/>
    <s v="No"/>
    <n v="1"/>
    <x v="2"/>
    <s v="Two year"/>
    <s v="Fiber optic"/>
    <s v="Credit card"/>
    <s v="No"/>
    <s v="No"/>
    <n v="4"/>
    <n v="73.709999999999994"/>
    <n v="70.39"/>
    <x v="1"/>
  </r>
  <r>
    <x v="843"/>
    <s v="Male"/>
    <n v="65"/>
    <s v="Yes"/>
    <n v="32"/>
    <x v="3"/>
    <s v="Two year"/>
    <s v="Fiber optic"/>
    <s v="Bank transfer"/>
    <s v="No"/>
    <s v="Yes"/>
    <n v="3"/>
    <n v="72.87"/>
    <n v="2385.56"/>
    <x v="0"/>
  </r>
  <r>
    <x v="844"/>
    <s v="Male"/>
    <n v="30"/>
    <s v="No"/>
    <n v="71"/>
    <x v="0"/>
    <s v="Two year"/>
    <s v="Fiber optic"/>
    <s v="Electronic check"/>
    <s v="Yes"/>
    <s v="No"/>
    <n v="1"/>
    <n v="68.400000000000006"/>
    <n v="5183.96"/>
    <x v="0"/>
  </r>
  <r>
    <x v="845"/>
    <s v="Male"/>
    <n v="26"/>
    <s v="No"/>
    <n v="67"/>
    <x v="0"/>
    <s v="One year"/>
    <s v="Fiber optic"/>
    <s v="Bank transfer"/>
    <s v="No"/>
    <s v="No"/>
    <n v="6"/>
    <n v="87.87"/>
    <n v="5836.27"/>
    <x v="0"/>
  </r>
  <r>
    <x v="846"/>
    <s v="Female"/>
    <n v="70"/>
    <s v="Yes"/>
    <n v="20"/>
    <x v="4"/>
    <s v="Month-to-month"/>
    <s v="DSL"/>
    <s v="Mailed check"/>
    <s v="No"/>
    <s v="Yes"/>
    <n v="5"/>
    <n v="64.23"/>
    <n v="1281.6500000000001"/>
    <x v="1"/>
  </r>
  <r>
    <x v="847"/>
    <s v="Female"/>
    <n v="30"/>
    <s v="No"/>
    <n v="35"/>
    <x v="3"/>
    <s v="Month-to-month"/>
    <s v="Fiber optic"/>
    <s v="Bank transfer"/>
    <s v="No"/>
    <s v="No"/>
    <n v="4"/>
    <n v="68.06"/>
    <n v="2282.17"/>
    <x v="0"/>
  </r>
  <r>
    <x v="848"/>
    <s v="Male"/>
    <n v="48"/>
    <s v="No"/>
    <n v="17"/>
    <x v="4"/>
    <s v="Month-to-month"/>
    <s v="Fiber optic"/>
    <s v="Credit card"/>
    <s v="Yes"/>
    <s v="No"/>
    <n v="6"/>
    <n v="81.44"/>
    <n v="1358.56"/>
    <x v="1"/>
  </r>
  <r>
    <x v="849"/>
    <s v="Female"/>
    <n v="58"/>
    <s v="No"/>
    <n v="18"/>
    <x v="4"/>
    <s v="Two year"/>
    <s v="Fiber optic"/>
    <s v="Bank transfer"/>
    <s v="No"/>
    <s v="Yes"/>
    <n v="4"/>
    <n v="76.739999999999995"/>
    <n v="1334.03"/>
    <x v="0"/>
  </r>
  <r>
    <x v="850"/>
    <s v="Male"/>
    <n v="28"/>
    <s v="No"/>
    <n v="45"/>
    <x v="3"/>
    <s v="One year"/>
    <s v="Fiber optic"/>
    <s v="Credit card"/>
    <s v="Yes"/>
    <s v="No"/>
    <n v="2"/>
    <n v="69.95"/>
    <n v="3072.49"/>
    <x v="0"/>
  </r>
  <r>
    <x v="851"/>
    <s v="Female"/>
    <n v="21"/>
    <s v="No"/>
    <n v="53"/>
    <x v="0"/>
    <s v="One year"/>
    <s v="Fiber optic"/>
    <s v="Electronic check"/>
    <s v="No"/>
    <s v="No"/>
    <n v="2"/>
    <n v="67.5"/>
    <n v="3303.09"/>
    <x v="0"/>
  </r>
  <r>
    <x v="852"/>
    <s v="Male"/>
    <n v="51"/>
    <s v="No"/>
    <n v="68"/>
    <x v="0"/>
    <s v="Month-to-month"/>
    <s v="DSL"/>
    <s v="Electronic check"/>
    <s v="No"/>
    <s v="Yes"/>
    <n v="5"/>
    <n v="64.78"/>
    <n v="4081.58"/>
    <x v="0"/>
  </r>
  <r>
    <x v="853"/>
    <s v="Male"/>
    <n v="55"/>
    <s v="No"/>
    <n v="65"/>
    <x v="0"/>
    <s v="Two year"/>
    <s v="Fiber optic"/>
    <s v="Electronic check"/>
    <s v="No"/>
    <s v="No"/>
    <n v="4"/>
    <n v="71.010000000000005"/>
    <n v="4749.09"/>
    <x v="0"/>
  </r>
  <r>
    <x v="854"/>
    <s v="Male"/>
    <n v="63"/>
    <s v="Yes"/>
    <n v="1"/>
    <x v="2"/>
    <s v="Month-to-month"/>
    <s v="DSL"/>
    <s v="Credit card"/>
    <s v="No"/>
    <s v="Yes"/>
    <n v="2"/>
    <n v="47.62"/>
    <n v="49.01"/>
    <x v="0"/>
  </r>
  <r>
    <x v="855"/>
    <s v="Male"/>
    <n v="21"/>
    <s v="No"/>
    <n v="58"/>
    <x v="0"/>
    <s v="Month-to-month"/>
    <s v="DSL"/>
    <s v="Credit card"/>
    <s v="No"/>
    <s v="No"/>
    <n v="2"/>
    <n v="54.52"/>
    <n v="3076.27"/>
    <x v="0"/>
  </r>
  <r>
    <x v="856"/>
    <s v="Male"/>
    <n v="55"/>
    <s v="No"/>
    <n v="26"/>
    <x v="3"/>
    <s v="Month-to-month"/>
    <s v="No"/>
    <s v="Bank transfer"/>
    <s v="No"/>
    <s v="No"/>
    <n v="1"/>
    <n v="30.43"/>
    <n v="839.98"/>
    <x v="0"/>
  </r>
  <r>
    <x v="857"/>
    <s v="Male"/>
    <n v="36"/>
    <s v="No"/>
    <n v="20"/>
    <x v="4"/>
    <s v="One year"/>
    <s v="No"/>
    <s v="Bank transfer"/>
    <s v="Yes"/>
    <s v="Yes"/>
    <n v="2"/>
    <n v="30.39"/>
    <n v="585.04999999999995"/>
    <x v="0"/>
  </r>
  <r>
    <x v="858"/>
    <s v="Female"/>
    <n v="23"/>
    <s v="No"/>
    <n v="10"/>
    <x v="1"/>
    <s v="Month-to-month"/>
    <s v="DSL"/>
    <s v="Bank transfer"/>
    <s v="No"/>
    <s v="Yes"/>
    <n v="4"/>
    <n v="56.55"/>
    <n v="556.07000000000005"/>
    <x v="1"/>
  </r>
  <r>
    <x v="859"/>
    <s v="Male"/>
    <n v="51"/>
    <s v="No"/>
    <n v="59"/>
    <x v="0"/>
    <s v="Two year"/>
    <s v="Fiber optic"/>
    <s v="Credit card"/>
    <s v="Yes"/>
    <s v="Yes"/>
    <n v="2"/>
    <n v="67.67"/>
    <n v="4140.33"/>
    <x v="0"/>
  </r>
  <r>
    <x v="860"/>
    <s v="Female"/>
    <n v="35"/>
    <s v="No"/>
    <n v="41"/>
    <x v="3"/>
    <s v="Month-to-month"/>
    <s v="DSL"/>
    <s v="Credit card"/>
    <s v="No"/>
    <s v="No"/>
    <n v="3"/>
    <n v="52.65"/>
    <n v="2242.77"/>
    <x v="1"/>
  </r>
  <r>
    <x v="861"/>
    <s v="Male"/>
    <n v="30"/>
    <s v="No"/>
    <n v="5"/>
    <x v="2"/>
    <s v="One year"/>
    <s v="DSL"/>
    <s v="Bank transfer"/>
    <s v="Yes"/>
    <s v="No"/>
    <n v="3"/>
    <n v="51.47"/>
    <n v="272.22000000000003"/>
    <x v="0"/>
  </r>
  <r>
    <x v="862"/>
    <s v="Female"/>
    <n v="58"/>
    <s v="No"/>
    <n v="65"/>
    <x v="0"/>
    <s v="Month-to-month"/>
    <s v="Fiber optic"/>
    <s v="Bank transfer"/>
    <s v="No"/>
    <s v="Yes"/>
    <n v="5"/>
    <n v="80.45"/>
    <n v="4835.22"/>
    <x v="0"/>
  </r>
  <r>
    <x v="863"/>
    <s v="Female"/>
    <n v="40"/>
    <s v="No"/>
    <n v="17"/>
    <x v="4"/>
    <s v="Month-to-month"/>
    <s v="DSL"/>
    <s v="Electronic check"/>
    <s v="No"/>
    <s v="Yes"/>
    <n v="3"/>
    <n v="57.07"/>
    <n v="921.1"/>
    <x v="1"/>
  </r>
  <r>
    <x v="864"/>
    <s v="Female"/>
    <n v="36"/>
    <s v="No"/>
    <n v="22"/>
    <x v="4"/>
    <s v="Two year"/>
    <s v="No"/>
    <s v="Bank transfer"/>
    <s v="No"/>
    <s v="Yes"/>
    <n v="3"/>
    <n v="38.92"/>
    <n v="875.5"/>
    <x v="0"/>
  </r>
  <r>
    <x v="865"/>
    <s v="Male"/>
    <n v="62"/>
    <s v="Yes"/>
    <n v="41"/>
    <x v="3"/>
    <s v="One year"/>
    <s v="DSL"/>
    <s v="Mailed check"/>
    <s v="No"/>
    <s v="Yes"/>
    <n v="5"/>
    <n v="53.81"/>
    <n v="2149.1"/>
    <x v="0"/>
  </r>
  <r>
    <x v="866"/>
    <s v="Male"/>
    <n v="28"/>
    <s v="No"/>
    <n v="68"/>
    <x v="0"/>
    <s v="One year"/>
    <s v="Fiber optic"/>
    <s v="Electronic check"/>
    <s v="Yes"/>
    <s v="No"/>
    <n v="5"/>
    <n v="95.54"/>
    <n v="6022.26"/>
    <x v="0"/>
  </r>
  <r>
    <x v="867"/>
    <s v="Female"/>
    <n v="18"/>
    <s v="No"/>
    <n v="69"/>
    <x v="0"/>
    <s v="Two year"/>
    <s v="Fiber optic"/>
    <s v="Credit card"/>
    <s v="No"/>
    <s v="No"/>
    <n v="2"/>
    <n v="67.2"/>
    <n v="4700.95"/>
    <x v="0"/>
  </r>
  <r>
    <x v="868"/>
    <s v="Male"/>
    <n v="41"/>
    <s v="No"/>
    <n v="11"/>
    <x v="1"/>
    <s v="One year"/>
    <s v="Fiber optic"/>
    <s v="Mailed check"/>
    <s v="Yes"/>
    <s v="No"/>
    <n v="5"/>
    <n v="86.28"/>
    <n v="932.84"/>
    <x v="1"/>
  </r>
  <r>
    <x v="869"/>
    <s v="Female"/>
    <n v="71"/>
    <s v="Yes"/>
    <n v="56"/>
    <x v="0"/>
    <s v="Month-to-month"/>
    <s v="Fiber optic"/>
    <s v="Credit card"/>
    <s v="No"/>
    <s v="No"/>
    <n v="3"/>
    <n v="67.5"/>
    <n v="3697.8"/>
    <x v="1"/>
  </r>
  <r>
    <x v="870"/>
    <s v="Male"/>
    <n v="24"/>
    <s v="No"/>
    <n v="51"/>
    <x v="0"/>
    <s v="One year"/>
    <s v="DSL"/>
    <s v="Electronic check"/>
    <s v="No"/>
    <s v="No"/>
    <n v="5"/>
    <n v="73.239999999999995"/>
    <n v="3594.42"/>
    <x v="0"/>
  </r>
  <r>
    <x v="871"/>
    <s v="Female"/>
    <n v="42"/>
    <s v="No"/>
    <n v="21"/>
    <x v="4"/>
    <s v="Month-to-month"/>
    <s v="DSL"/>
    <s v="Mailed check"/>
    <s v="No"/>
    <s v="No"/>
    <n v="8"/>
    <n v="78.77"/>
    <n v="1523.42"/>
    <x v="1"/>
  </r>
  <r>
    <x v="872"/>
    <s v="Female"/>
    <n v="38"/>
    <s v="No"/>
    <n v="26"/>
    <x v="3"/>
    <s v="Month-to-month"/>
    <s v="Fiber optic"/>
    <s v="Mailed check"/>
    <s v="No"/>
    <s v="No"/>
    <n v="5"/>
    <n v="85.68"/>
    <n v="2114.46"/>
    <x v="0"/>
  </r>
  <r>
    <x v="873"/>
    <s v="Male"/>
    <n v="32"/>
    <s v="No"/>
    <n v="19"/>
    <x v="4"/>
    <s v="Month-to-month"/>
    <s v="No"/>
    <s v="Electronic check"/>
    <s v="Yes"/>
    <s v="No"/>
    <n v="1"/>
    <n v="27.75"/>
    <n v="525.08000000000004"/>
    <x v="0"/>
  </r>
  <r>
    <x v="874"/>
    <s v="Female"/>
    <n v="18"/>
    <s v="No"/>
    <n v="60"/>
    <x v="0"/>
    <s v="One year"/>
    <s v="Fiber optic"/>
    <s v="Mailed check"/>
    <s v="No"/>
    <s v="Yes"/>
    <n v="6"/>
    <n v="74.12"/>
    <n v="4287.62"/>
    <x v="0"/>
  </r>
  <r>
    <x v="875"/>
    <s v="Male"/>
    <n v="29"/>
    <s v="No"/>
    <n v="71"/>
    <x v="0"/>
    <s v="One year"/>
    <s v="Fiber optic"/>
    <s v="Electronic check"/>
    <s v="No"/>
    <s v="Yes"/>
    <n v="5"/>
    <n v="94.64"/>
    <n v="7121.95"/>
    <x v="0"/>
  </r>
  <r>
    <x v="876"/>
    <s v="Female"/>
    <n v="75"/>
    <s v="Yes"/>
    <n v="47"/>
    <x v="3"/>
    <s v="Month-to-month"/>
    <s v="DSL"/>
    <s v="Electronic check"/>
    <s v="No"/>
    <s v="Yes"/>
    <n v="2"/>
    <n v="56.98"/>
    <n v="2525.09"/>
    <x v="0"/>
  </r>
  <r>
    <x v="877"/>
    <s v="Female"/>
    <n v="24"/>
    <s v="No"/>
    <n v="71"/>
    <x v="0"/>
    <s v="One year"/>
    <s v="DSL"/>
    <s v="Electronic check"/>
    <s v="Yes"/>
    <s v="No"/>
    <n v="6"/>
    <n v="64.75"/>
    <n v="4873.34"/>
    <x v="0"/>
  </r>
  <r>
    <x v="878"/>
    <s v="Male"/>
    <n v="32"/>
    <s v="No"/>
    <n v="26"/>
    <x v="3"/>
    <s v="Two year"/>
    <s v="DSL"/>
    <s v="Electronic check"/>
    <s v="No"/>
    <s v="No"/>
    <n v="2"/>
    <n v="54.35"/>
    <n v="1391.58"/>
    <x v="0"/>
  </r>
  <r>
    <x v="879"/>
    <s v="Male"/>
    <n v="38"/>
    <s v="No"/>
    <n v="40"/>
    <x v="3"/>
    <s v="Month-to-month"/>
    <s v="No"/>
    <s v="Bank transfer"/>
    <s v="Yes"/>
    <s v="No"/>
    <n v="3"/>
    <n v="27.83"/>
    <n v="1073.27"/>
    <x v="0"/>
  </r>
  <r>
    <x v="880"/>
    <s v="Male"/>
    <n v="36"/>
    <s v="No"/>
    <n v="5"/>
    <x v="2"/>
    <s v="Month-to-month"/>
    <s v="DSL"/>
    <s v="Electronic check"/>
    <s v="No"/>
    <s v="No"/>
    <n v="5"/>
    <n v="49.65"/>
    <n v="240.48"/>
    <x v="1"/>
  </r>
  <r>
    <x v="881"/>
    <s v="Female"/>
    <n v="46"/>
    <s v="No"/>
    <n v="21"/>
    <x v="4"/>
    <s v="One year"/>
    <s v="No"/>
    <s v="Bank transfer"/>
    <s v="Yes"/>
    <s v="No"/>
    <n v="5"/>
    <n v="45.12"/>
    <n v="921.76"/>
    <x v="0"/>
  </r>
  <r>
    <x v="882"/>
    <s v="Male"/>
    <n v="42"/>
    <s v="No"/>
    <n v="4"/>
    <x v="2"/>
    <s v="Month-to-month"/>
    <s v="Fiber optic"/>
    <s v="Credit card"/>
    <s v="No"/>
    <s v="Yes"/>
    <n v="3"/>
    <n v="69.42"/>
    <n v="277.97000000000003"/>
    <x v="1"/>
  </r>
  <r>
    <x v="883"/>
    <s v="Female"/>
    <n v="50"/>
    <s v="No"/>
    <n v="23"/>
    <x v="4"/>
    <s v="One year"/>
    <s v="DSL"/>
    <s v="Mailed check"/>
    <s v="Yes"/>
    <s v="Yes"/>
    <n v="2"/>
    <n v="47.62"/>
    <n v="1069.6500000000001"/>
    <x v="1"/>
  </r>
  <r>
    <x v="884"/>
    <s v="Female"/>
    <n v="66"/>
    <s v="Yes"/>
    <n v="15"/>
    <x v="4"/>
    <s v="Month-to-month"/>
    <s v="No"/>
    <s v="Credit card"/>
    <s v="No"/>
    <s v="Yes"/>
    <n v="1"/>
    <n v="28.63"/>
    <n v="439.56"/>
    <x v="0"/>
  </r>
  <r>
    <x v="885"/>
    <s v="Male"/>
    <n v="49"/>
    <s v="No"/>
    <n v="8"/>
    <x v="1"/>
    <s v="Month-to-month"/>
    <s v="DSL"/>
    <s v="Bank transfer"/>
    <s v="Yes"/>
    <s v="Yes"/>
    <n v="1"/>
    <n v="38.69"/>
    <n v="305.81"/>
    <x v="0"/>
  </r>
  <r>
    <x v="886"/>
    <s v="Male"/>
    <n v="66"/>
    <s v="Yes"/>
    <n v="41"/>
    <x v="3"/>
    <s v="One year"/>
    <s v="Fiber optic"/>
    <s v="Bank transfer"/>
    <s v="No"/>
    <s v="No"/>
    <n v="8"/>
    <n v="94.44"/>
    <n v="3978.38"/>
    <x v="0"/>
  </r>
  <r>
    <x v="887"/>
    <s v="Female"/>
    <n v="52"/>
    <s v="No"/>
    <n v="19"/>
    <x v="4"/>
    <s v="One year"/>
    <s v="DSL"/>
    <s v="Electronic check"/>
    <s v="No"/>
    <s v="No"/>
    <n v="5"/>
    <n v="55.27"/>
    <n v="1067.68"/>
    <x v="0"/>
  </r>
  <r>
    <x v="888"/>
    <s v="Female"/>
    <n v="61"/>
    <s v="Yes"/>
    <n v="46"/>
    <x v="3"/>
    <s v="Two year"/>
    <s v="DSL"/>
    <s v="Credit card"/>
    <s v="No"/>
    <s v="No"/>
    <n v="3"/>
    <n v="62.09"/>
    <n v="2739.36"/>
    <x v="0"/>
  </r>
  <r>
    <x v="889"/>
    <s v="Male"/>
    <n v="55"/>
    <s v="No"/>
    <n v="28"/>
    <x v="3"/>
    <s v="Two year"/>
    <s v="Fiber optic"/>
    <s v="Credit card"/>
    <s v="Yes"/>
    <s v="No"/>
    <n v="5"/>
    <n v="82.3"/>
    <n v="2419.7199999999998"/>
    <x v="0"/>
  </r>
  <r>
    <x v="890"/>
    <s v="Male"/>
    <n v="43"/>
    <s v="No"/>
    <n v="68"/>
    <x v="0"/>
    <s v="One year"/>
    <s v="No"/>
    <s v="Mailed check"/>
    <s v="No"/>
    <s v="No"/>
    <n v="2"/>
    <n v="36.69"/>
    <n v="2614.27"/>
    <x v="0"/>
  </r>
  <r>
    <x v="891"/>
    <s v="Male"/>
    <n v="28"/>
    <s v="No"/>
    <n v="15"/>
    <x v="4"/>
    <s v="One year"/>
    <s v="Fiber optic"/>
    <s v="Electronic check"/>
    <s v="Yes"/>
    <s v="No"/>
    <n v="3"/>
    <n v="62.59"/>
    <n v="1012.3"/>
    <x v="0"/>
  </r>
  <r>
    <x v="892"/>
    <s v="Male"/>
    <n v="52"/>
    <s v="No"/>
    <n v="37"/>
    <x v="3"/>
    <s v="Month-to-month"/>
    <s v="Fiber optic"/>
    <s v="Mailed check"/>
    <s v="Yes"/>
    <s v="No"/>
    <n v="2"/>
    <n v="75.13"/>
    <n v="2635.28"/>
    <x v="1"/>
  </r>
  <r>
    <x v="893"/>
    <s v="Male"/>
    <n v="25"/>
    <s v="No"/>
    <n v="1"/>
    <x v="2"/>
    <s v="Month-to-month"/>
    <s v="No"/>
    <s v="Bank transfer"/>
    <s v="No"/>
    <s v="No"/>
    <n v="7"/>
    <n v="63.48"/>
    <n v="67.010000000000005"/>
    <x v="1"/>
  </r>
  <r>
    <x v="894"/>
    <s v="Female"/>
    <n v="63"/>
    <s v="Yes"/>
    <n v="67"/>
    <x v="0"/>
    <s v="Month-to-month"/>
    <s v="DSL"/>
    <s v="Mailed check"/>
    <s v="Yes"/>
    <s v="No"/>
    <n v="4"/>
    <n v="59.82"/>
    <n v="4246.4799999999996"/>
    <x v="0"/>
  </r>
  <r>
    <x v="895"/>
    <s v="Female"/>
    <n v="31"/>
    <s v="No"/>
    <n v="24"/>
    <x v="4"/>
    <s v="Two year"/>
    <s v="Fiber optic"/>
    <s v="Bank transfer"/>
    <s v="Yes"/>
    <s v="No"/>
    <n v="5"/>
    <n v="86.65"/>
    <n v="2126.9"/>
    <x v="0"/>
  </r>
  <r>
    <x v="896"/>
    <s v="Female"/>
    <n v="27"/>
    <s v="No"/>
    <n v="27"/>
    <x v="3"/>
    <s v="Month-to-month"/>
    <s v="DSL"/>
    <s v="Electronic check"/>
    <s v="No"/>
    <s v="No"/>
    <n v="4"/>
    <n v="57.33"/>
    <n v="1549.49"/>
    <x v="1"/>
  </r>
  <r>
    <x v="897"/>
    <s v="Female"/>
    <n v="19"/>
    <s v="No"/>
    <n v="40"/>
    <x v="3"/>
    <s v="One year"/>
    <s v="DSL"/>
    <s v="Credit card"/>
    <s v="No"/>
    <s v="Yes"/>
    <n v="3"/>
    <n v="57.63"/>
    <n v="2473.85"/>
    <x v="0"/>
  </r>
  <r>
    <x v="898"/>
    <s v="Male"/>
    <n v="63"/>
    <s v="Yes"/>
    <n v="63"/>
    <x v="0"/>
    <s v="Month-to-month"/>
    <s v="Fiber optic"/>
    <s v="Electronic check"/>
    <s v="No"/>
    <s v="No"/>
    <n v="3"/>
    <n v="86.21"/>
    <n v="5842"/>
    <x v="0"/>
  </r>
  <r>
    <x v="899"/>
    <s v="Male"/>
    <n v="26"/>
    <s v="No"/>
    <n v="61"/>
    <x v="0"/>
    <s v="One year"/>
    <s v="No"/>
    <s v="Electronic check"/>
    <s v="Yes"/>
    <s v="No"/>
    <n v="4"/>
    <n v="56.72"/>
    <n v="3538.36"/>
    <x v="0"/>
  </r>
  <r>
    <x v="900"/>
    <s v="Male"/>
    <n v="20"/>
    <s v="No"/>
    <n v="36"/>
    <x v="3"/>
    <s v="Two year"/>
    <s v="DSL"/>
    <s v="Bank transfer"/>
    <s v="Yes"/>
    <s v="Yes"/>
    <n v="2"/>
    <n v="53.22"/>
    <n v="1872.87"/>
    <x v="0"/>
  </r>
  <r>
    <x v="901"/>
    <s v="Female"/>
    <n v="38"/>
    <s v="No"/>
    <n v="24"/>
    <x v="4"/>
    <s v="Month-to-month"/>
    <s v="DSL"/>
    <s v="Electronic check"/>
    <s v="No"/>
    <s v="No"/>
    <n v="8"/>
    <n v="67.86"/>
    <n v="1711.29"/>
    <x v="1"/>
  </r>
  <r>
    <x v="902"/>
    <s v="Female"/>
    <n v="43"/>
    <s v="No"/>
    <n v="24"/>
    <x v="4"/>
    <s v="Two year"/>
    <s v="DSL"/>
    <s v="Electronic check"/>
    <s v="Yes"/>
    <s v="Yes"/>
    <n v="2"/>
    <n v="55.36"/>
    <n v="1241.32"/>
    <x v="0"/>
  </r>
  <r>
    <x v="903"/>
    <s v="Male"/>
    <n v="25"/>
    <s v="No"/>
    <n v="4"/>
    <x v="2"/>
    <s v="Month-to-month"/>
    <s v="DSL"/>
    <s v="Electronic check"/>
    <s v="No"/>
    <s v="Yes"/>
    <n v="5"/>
    <n v="54.34"/>
    <n v="210.08"/>
    <x v="0"/>
  </r>
  <r>
    <x v="904"/>
    <s v="Male"/>
    <n v="65"/>
    <s v="Yes"/>
    <n v="67"/>
    <x v="0"/>
    <s v="Month-to-month"/>
    <s v="Fiber optic"/>
    <s v="Bank transfer"/>
    <s v="Yes"/>
    <s v="Yes"/>
    <n v="3"/>
    <n v="70.63"/>
    <n v="5099.8500000000004"/>
    <x v="0"/>
  </r>
  <r>
    <x v="905"/>
    <s v="Female"/>
    <n v="19"/>
    <s v="No"/>
    <n v="34"/>
    <x v="3"/>
    <s v="Two year"/>
    <s v="Fiber optic"/>
    <s v="Credit card"/>
    <s v="No"/>
    <s v="No"/>
    <n v="3"/>
    <n v="71.430000000000007"/>
    <n v="2550.7600000000002"/>
    <x v="0"/>
  </r>
  <r>
    <x v="906"/>
    <s v="Female"/>
    <n v="23"/>
    <s v="No"/>
    <n v="57"/>
    <x v="0"/>
    <s v="Month-to-month"/>
    <s v="DSL"/>
    <s v="Credit card"/>
    <s v="No"/>
    <s v="No"/>
    <n v="8"/>
    <n v="89.29"/>
    <n v="5447.49"/>
    <x v="0"/>
  </r>
  <r>
    <x v="907"/>
    <s v="Male"/>
    <n v="45"/>
    <s v="No"/>
    <n v="49"/>
    <x v="0"/>
    <s v="Two year"/>
    <s v="No"/>
    <s v="Mailed check"/>
    <s v="No"/>
    <s v="No"/>
    <n v="4"/>
    <n v="51"/>
    <n v="2536.9"/>
    <x v="0"/>
  </r>
  <r>
    <x v="908"/>
    <s v="Male"/>
    <n v="70"/>
    <s v="Yes"/>
    <n v="53"/>
    <x v="0"/>
    <s v="Month-to-month"/>
    <s v="Fiber optic"/>
    <s v="Electronic check"/>
    <s v="Yes"/>
    <s v="No"/>
    <n v="5"/>
    <n v="91.55"/>
    <n v="4780.47"/>
    <x v="1"/>
  </r>
  <r>
    <x v="909"/>
    <s v="Female"/>
    <n v="46"/>
    <s v="No"/>
    <n v="23"/>
    <x v="4"/>
    <s v="Month-to-month"/>
    <s v="DSL"/>
    <s v="Bank transfer"/>
    <s v="No"/>
    <s v="Yes"/>
    <n v="5"/>
    <n v="68.75"/>
    <n v="1702.61"/>
    <x v="1"/>
  </r>
  <r>
    <x v="910"/>
    <s v="Male"/>
    <n v="43"/>
    <s v="No"/>
    <n v="69"/>
    <x v="0"/>
    <s v="Two year"/>
    <s v="No"/>
    <s v="Bank transfer"/>
    <s v="Yes"/>
    <s v="Yes"/>
    <n v="3"/>
    <n v="30.64"/>
    <n v="2049.6999999999998"/>
    <x v="0"/>
  </r>
  <r>
    <x v="911"/>
    <s v="Male"/>
    <n v="42"/>
    <s v="No"/>
    <n v="53"/>
    <x v="0"/>
    <s v="Month-to-month"/>
    <s v="Fiber optic"/>
    <s v="Electronic check"/>
    <s v="No"/>
    <s v="Yes"/>
    <n v="7"/>
    <n v="92.65"/>
    <n v="5112.6899999999996"/>
    <x v="0"/>
  </r>
  <r>
    <x v="912"/>
    <s v="Male"/>
    <n v="29"/>
    <s v="No"/>
    <n v="62"/>
    <x v="0"/>
    <s v="Two year"/>
    <s v="Fiber optic"/>
    <s v="Electronic check"/>
    <s v="No"/>
    <s v="No"/>
    <n v="2"/>
    <n v="83.87"/>
    <n v="5248.37"/>
    <x v="0"/>
  </r>
  <r>
    <x v="913"/>
    <s v="Female"/>
    <n v="22"/>
    <s v="No"/>
    <n v="41"/>
    <x v="3"/>
    <s v="Two year"/>
    <s v="Fiber optic"/>
    <s v="Electronic check"/>
    <s v="Yes"/>
    <s v="No"/>
    <n v="4"/>
    <n v="82.13"/>
    <n v="3221.06"/>
    <x v="0"/>
  </r>
  <r>
    <x v="914"/>
    <s v="Female"/>
    <n v="51"/>
    <s v="No"/>
    <n v="57"/>
    <x v="0"/>
    <s v="Month-to-month"/>
    <s v="DSL"/>
    <s v="Credit card"/>
    <s v="No"/>
    <s v="Yes"/>
    <n v="6"/>
    <n v="74.209999999999994"/>
    <n v="3903.41"/>
    <x v="0"/>
  </r>
  <r>
    <x v="915"/>
    <s v="Female"/>
    <n v="65"/>
    <s v="Yes"/>
    <n v="60"/>
    <x v="0"/>
    <s v="Month-to-month"/>
    <s v="Fiber optic"/>
    <s v="Mailed check"/>
    <s v="No"/>
    <s v="Yes"/>
    <n v="6"/>
    <n v="75.73"/>
    <n v="4459.3"/>
    <x v="0"/>
  </r>
  <r>
    <x v="916"/>
    <s v="Female"/>
    <n v="54"/>
    <s v="No"/>
    <n v="54"/>
    <x v="0"/>
    <s v="Month-to-month"/>
    <s v="Fiber optic"/>
    <s v="Credit card"/>
    <s v="No"/>
    <s v="Yes"/>
    <n v="5"/>
    <n v="88.05"/>
    <n v="4790.9799999999996"/>
    <x v="0"/>
  </r>
  <r>
    <x v="917"/>
    <s v="Female"/>
    <n v="32"/>
    <s v="No"/>
    <n v="70"/>
    <x v="0"/>
    <s v="Month-to-month"/>
    <s v="DSL"/>
    <s v="Electronic check"/>
    <s v="No"/>
    <s v="No"/>
    <n v="3"/>
    <n v="47.62"/>
    <n v="3164.43"/>
    <x v="0"/>
  </r>
  <r>
    <x v="918"/>
    <s v="Female"/>
    <n v="61"/>
    <s v="Yes"/>
    <n v="57"/>
    <x v="0"/>
    <s v="Month-to-month"/>
    <s v="DSL"/>
    <s v="Electronic check"/>
    <s v="No"/>
    <s v="Yes"/>
    <n v="4"/>
    <n v="57.45"/>
    <n v="3229.88"/>
    <x v="0"/>
  </r>
  <r>
    <x v="919"/>
    <s v="Female"/>
    <n v="53"/>
    <s v="No"/>
    <n v="10"/>
    <x v="1"/>
    <s v="Month-to-month"/>
    <s v="Fiber optic"/>
    <s v="Mailed check"/>
    <s v="No"/>
    <s v="Yes"/>
    <n v="3"/>
    <n v="84.95"/>
    <n v="865.16"/>
    <x v="0"/>
  </r>
  <r>
    <x v="920"/>
    <s v="Male"/>
    <n v="32"/>
    <s v="No"/>
    <n v="40"/>
    <x v="3"/>
    <s v="Month-to-month"/>
    <s v="Fiber optic"/>
    <s v="Mailed check"/>
    <s v="No"/>
    <s v="No"/>
    <n v="2"/>
    <n v="73.430000000000007"/>
    <n v="3038.2"/>
    <x v="0"/>
  </r>
  <r>
    <x v="921"/>
    <s v="Male"/>
    <n v="60"/>
    <s v="Yes"/>
    <n v="7"/>
    <x v="1"/>
    <s v="Month-to-month"/>
    <s v="DSL"/>
    <s v="Electronic check"/>
    <s v="No"/>
    <s v="No"/>
    <n v="1"/>
    <n v="52.71"/>
    <n v="342.57"/>
    <x v="1"/>
  </r>
  <r>
    <x v="922"/>
    <s v="Male"/>
    <n v="65"/>
    <s v="Yes"/>
    <n v="38"/>
    <x v="3"/>
    <s v="Two year"/>
    <s v="No"/>
    <s v="Electronic check"/>
    <s v="Yes"/>
    <s v="No"/>
    <n v="2"/>
    <n v="31.71"/>
    <n v="1236.6300000000001"/>
    <x v="0"/>
  </r>
  <r>
    <x v="923"/>
    <s v="Male"/>
    <n v="40"/>
    <s v="No"/>
    <n v="61"/>
    <x v="0"/>
    <s v="Two year"/>
    <s v="No"/>
    <s v="Electronic check"/>
    <s v="No"/>
    <s v="No"/>
    <n v="2"/>
    <n v="20"/>
    <n v="1133.46"/>
    <x v="0"/>
  </r>
  <r>
    <x v="924"/>
    <s v="Male"/>
    <n v="23"/>
    <s v="No"/>
    <n v="3"/>
    <x v="2"/>
    <s v="One year"/>
    <s v="DSL"/>
    <s v="Electronic check"/>
    <s v="No"/>
    <s v="No"/>
    <n v="4"/>
    <n v="52.45"/>
    <n v="145.47"/>
    <x v="0"/>
  </r>
  <r>
    <x v="925"/>
    <s v="Male"/>
    <n v="63"/>
    <s v="Yes"/>
    <n v="51"/>
    <x v="0"/>
    <s v="Month-to-month"/>
    <s v="Fiber optic"/>
    <s v="Mailed check"/>
    <s v="No"/>
    <s v="No"/>
    <n v="2"/>
    <n v="75.760000000000005"/>
    <n v="3648.88"/>
    <x v="1"/>
  </r>
  <r>
    <x v="926"/>
    <s v="Male"/>
    <n v="67"/>
    <s v="Yes"/>
    <n v="47"/>
    <x v="3"/>
    <s v="Two year"/>
    <s v="Fiber optic"/>
    <s v="Credit card"/>
    <s v="No"/>
    <s v="No"/>
    <n v="4"/>
    <n v="81.34"/>
    <n v="3916.96"/>
    <x v="0"/>
  </r>
  <r>
    <x v="927"/>
    <s v="Female"/>
    <n v="61"/>
    <s v="Yes"/>
    <n v="68"/>
    <x v="0"/>
    <s v="Month-to-month"/>
    <s v="Fiber optic"/>
    <s v="Mailed check"/>
    <s v="No"/>
    <s v="Yes"/>
    <n v="6"/>
    <n v="98.64"/>
    <n v="6227.61"/>
    <x v="0"/>
  </r>
  <r>
    <x v="928"/>
    <s v="Female"/>
    <n v="60"/>
    <s v="Yes"/>
    <n v="38"/>
    <x v="3"/>
    <s v="One year"/>
    <s v="Fiber optic"/>
    <s v="Bank transfer"/>
    <s v="No"/>
    <s v="No"/>
    <n v="8"/>
    <n v="95.89"/>
    <n v="3364.5"/>
    <x v="0"/>
  </r>
  <r>
    <x v="929"/>
    <s v="Male"/>
    <n v="62"/>
    <s v="Yes"/>
    <n v="36"/>
    <x v="3"/>
    <s v="Two year"/>
    <s v="DSL"/>
    <s v="Mailed check"/>
    <s v="No"/>
    <s v="No"/>
    <n v="5"/>
    <n v="56.75"/>
    <n v="1918.12"/>
    <x v="0"/>
  </r>
  <r>
    <x v="930"/>
    <s v="Male"/>
    <n v="38"/>
    <s v="No"/>
    <n v="41"/>
    <x v="3"/>
    <s v="Month-to-month"/>
    <s v="Fiber optic"/>
    <s v="Electronic check"/>
    <s v="Yes"/>
    <s v="Yes"/>
    <n v="7"/>
    <n v="90.82"/>
    <n v="3991.55"/>
    <x v="0"/>
  </r>
  <r>
    <x v="931"/>
    <s v="Female"/>
    <n v="40"/>
    <s v="No"/>
    <n v="69"/>
    <x v="0"/>
    <s v="One year"/>
    <s v="Fiber optic"/>
    <s v="Electronic check"/>
    <s v="No"/>
    <s v="No"/>
    <n v="2"/>
    <n v="77.98"/>
    <n v="5731.25"/>
    <x v="0"/>
  </r>
  <r>
    <x v="932"/>
    <s v="Male"/>
    <n v="60"/>
    <s v="Yes"/>
    <n v="13"/>
    <x v="4"/>
    <s v="Two year"/>
    <s v="No"/>
    <s v="Mailed check"/>
    <s v="Yes"/>
    <s v="Yes"/>
    <n v="7"/>
    <n v="40.700000000000003"/>
    <n v="494.09"/>
    <x v="0"/>
  </r>
  <r>
    <x v="933"/>
    <s v="Male"/>
    <n v="72"/>
    <s v="Yes"/>
    <n v="58"/>
    <x v="0"/>
    <s v="Two year"/>
    <s v="Fiber optic"/>
    <s v="Mailed check"/>
    <s v="Yes"/>
    <s v="No"/>
    <n v="3"/>
    <n v="77.42"/>
    <n v="4349.55"/>
    <x v="0"/>
  </r>
  <r>
    <x v="934"/>
    <s v="Female"/>
    <n v="33"/>
    <s v="No"/>
    <n v="50"/>
    <x v="0"/>
    <s v="One year"/>
    <s v="Fiber optic"/>
    <s v="Electronic check"/>
    <s v="No"/>
    <s v="No"/>
    <n v="4"/>
    <n v="70.180000000000007"/>
    <n v="3760.13"/>
    <x v="0"/>
  </r>
  <r>
    <x v="935"/>
    <s v="Male"/>
    <n v="64"/>
    <s v="Yes"/>
    <n v="30"/>
    <x v="3"/>
    <s v="Month-to-month"/>
    <s v="Fiber optic"/>
    <s v="Credit card"/>
    <s v="No"/>
    <s v="Yes"/>
    <n v="3"/>
    <n v="76.14"/>
    <n v="2137.17"/>
    <x v="1"/>
  </r>
  <r>
    <x v="936"/>
    <s v="Female"/>
    <n v="70"/>
    <s v="Yes"/>
    <n v="62"/>
    <x v="0"/>
    <s v="Month-to-month"/>
    <s v="DSL"/>
    <s v="Mailed check"/>
    <s v="No"/>
    <s v="No"/>
    <n v="6"/>
    <n v="72.09"/>
    <n v="4179.66"/>
    <x v="0"/>
  </r>
  <r>
    <x v="937"/>
    <s v="Male"/>
    <n v="32"/>
    <s v="No"/>
    <n v="25"/>
    <x v="3"/>
    <s v="Month-to-month"/>
    <s v="DSL"/>
    <s v="Electronic check"/>
    <s v="No"/>
    <s v="No"/>
    <n v="4"/>
    <n v="62.86"/>
    <n v="1467.4"/>
    <x v="0"/>
  </r>
  <r>
    <x v="938"/>
    <s v="Female"/>
    <n v="42"/>
    <s v="No"/>
    <n v="27"/>
    <x v="3"/>
    <s v="One year"/>
    <s v="Fiber optic"/>
    <s v="Electronic check"/>
    <s v="No"/>
    <s v="No"/>
    <n v="4"/>
    <n v="88.38"/>
    <n v="2568.1799999999998"/>
    <x v="0"/>
  </r>
  <r>
    <x v="939"/>
    <s v="Female"/>
    <n v="53"/>
    <s v="No"/>
    <n v="51"/>
    <x v="0"/>
    <s v="Month-to-month"/>
    <s v="DSL"/>
    <s v="Bank transfer"/>
    <s v="No"/>
    <s v="No"/>
    <n v="5"/>
    <n v="64.760000000000005"/>
    <n v="3431.23"/>
    <x v="0"/>
  </r>
  <r>
    <x v="940"/>
    <s v="Female"/>
    <n v="28"/>
    <s v="No"/>
    <n v="57"/>
    <x v="0"/>
    <s v="Two year"/>
    <s v="DSL"/>
    <s v="Bank transfer"/>
    <s v="No"/>
    <s v="Yes"/>
    <n v="3"/>
    <n v="58.6"/>
    <n v="3187.61"/>
    <x v="0"/>
  </r>
  <r>
    <x v="941"/>
    <s v="Male"/>
    <n v="68"/>
    <s v="Yes"/>
    <n v="47"/>
    <x v="3"/>
    <s v="Month-to-month"/>
    <s v="No"/>
    <s v="Electronic check"/>
    <s v="Yes"/>
    <s v="No"/>
    <n v="4"/>
    <n v="44.84"/>
    <n v="1954.37"/>
    <x v="0"/>
  </r>
  <r>
    <x v="942"/>
    <s v="Female"/>
    <n v="32"/>
    <s v="No"/>
    <n v="39"/>
    <x v="3"/>
    <s v="Month-to-month"/>
    <s v="No"/>
    <s v="Electronic check"/>
    <s v="Yes"/>
    <s v="No"/>
    <n v="5"/>
    <n v="38.21"/>
    <n v="1601.12"/>
    <x v="0"/>
  </r>
  <r>
    <x v="943"/>
    <s v="Male"/>
    <n v="21"/>
    <s v="No"/>
    <n v="16"/>
    <x v="4"/>
    <s v="Month-to-month"/>
    <s v="No"/>
    <s v="Bank transfer"/>
    <s v="No"/>
    <s v="Yes"/>
    <n v="3"/>
    <n v="36.11"/>
    <n v="570.87"/>
    <x v="0"/>
  </r>
  <r>
    <x v="944"/>
    <s v="Male"/>
    <n v="38"/>
    <s v="No"/>
    <n v="22"/>
    <x v="4"/>
    <s v="One year"/>
    <s v="DSL"/>
    <s v="Electronic check"/>
    <s v="No"/>
    <s v="No"/>
    <n v="6"/>
    <n v="49.79"/>
    <n v="1112.6199999999999"/>
    <x v="0"/>
  </r>
  <r>
    <x v="945"/>
    <s v="Male"/>
    <n v="30"/>
    <s v="No"/>
    <n v="54"/>
    <x v="0"/>
    <s v="Month-to-month"/>
    <s v="Fiber optic"/>
    <s v="Bank transfer"/>
    <s v="No"/>
    <s v="No"/>
    <n v="4"/>
    <n v="81.64"/>
    <n v="4252.8100000000004"/>
    <x v="0"/>
  </r>
  <r>
    <x v="946"/>
    <s v="Male"/>
    <n v="39"/>
    <s v="No"/>
    <n v="21"/>
    <x v="4"/>
    <s v="Month-to-month"/>
    <s v="Fiber optic"/>
    <s v="Bank transfer"/>
    <s v="No"/>
    <s v="No"/>
    <n v="2"/>
    <n v="51.74"/>
    <n v="1131.46"/>
    <x v="0"/>
  </r>
  <r>
    <x v="947"/>
    <s v="Female"/>
    <n v="36"/>
    <s v="No"/>
    <n v="72"/>
    <x v="0"/>
    <s v="Month-to-month"/>
    <s v="Fiber optic"/>
    <s v="Electronic check"/>
    <s v="No"/>
    <s v="Yes"/>
    <n v="8"/>
    <n v="100.94"/>
    <n v="6915.11"/>
    <x v="0"/>
  </r>
  <r>
    <x v="948"/>
    <s v="Female"/>
    <n v="51"/>
    <s v="No"/>
    <n v="16"/>
    <x v="4"/>
    <s v="Month-to-month"/>
    <s v="DSL"/>
    <s v="Electronic check"/>
    <s v="Yes"/>
    <s v="No"/>
    <n v="3"/>
    <n v="66.569999999999993"/>
    <n v="1114.02"/>
    <x v="0"/>
  </r>
  <r>
    <x v="949"/>
    <s v="Male"/>
    <n v="31"/>
    <s v="No"/>
    <n v="59"/>
    <x v="0"/>
    <s v="Month-to-month"/>
    <s v="No"/>
    <s v="Bank transfer"/>
    <s v="Yes"/>
    <s v="No"/>
    <n v="3"/>
    <n v="40.49"/>
    <n v="2285.94"/>
    <x v="0"/>
  </r>
  <r>
    <x v="950"/>
    <s v="Male"/>
    <n v="21"/>
    <s v="No"/>
    <n v="31"/>
    <x v="3"/>
    <s v="Two year"/>
    <s v="DSL"/>
    <s v="Electronic check"/>
    <s v="No"/>
    <s v="No"/>
    <n v="5"/>
    <n v="67.569999999999993"/>
    <n v="1959.91"/>
    <x v="0"/>
  </r>
  <r>
    <x v="951"/>
    <s v="Female"/>
    <n v="65"/>
    <s v="Yes"/>
    <n v="42"/>
    <x v="3"/>
    <s v="Month-to-month"/>
    <s v="Fiber optic"/>
    <s v="Electronic check"/>
    <s v="No"/>
    <s v="Yes"/>
    <n v="8"/>
    <n v="103.43"/>
    <n v="4329.34"/>
    <x v="0"/>
  </r>
  <r>
    <x v="952"/>
    <s v="Male"/>
    <n v="70"/>
    <s v="Yes"/>
    <n v="32"/>
    <x v="3"/>
    <s v="Month-to-month"/>
    <s v="DSL"/>
    <s v="Bank transfer"/>
    <s v="Yes"/>
    <s v="No"/>
    <n v="4"/>
    <n v="55.96"/>
    <n v="1880.46"/>
    <x v="1"/>
  </r>
  <r>
    <x v="953"/>
    <s v="Female"/>
    <n v="69"/>
    <s v="Yes"/>
    <n v="59"/>
    <x v="0"/>
    <s v="Two year"/>
    <s v="No"/>
    <s v="Electronic check"/>
    <s v="No"/>
    <s v="No"/>
    <n v="2"/>
    <n v="24.09"/>
    <n v="1395.13"/>
    <x v="0"/>
  </r>
  <r>
    <x v="954"/>
    <s v="Male"/>
    <n v="63"/>
    <s v="Yes"/>
    <n v="34"/>
    <x v="3"/>
    <s v="Two year"/>
    <s v="DSL"/>
    <s v="Mailed check"/>
    <s v="No"/>
    <s v="Yes"/>
    <n v="4"/>
    <n v="58.4"/>
    <n v="1835.93"/>
    <x v="0"/>
  </r>
  <r>
    <x v="955"/>
    <s v="Male"/>
    <n v="44"/>
    <s v="No"/>
    <n v="9"/>
    <x v="1"/>
    <s v="One year"/>
    <s v="No"/>
    <s v="Electronic check"/>
    <s v="No"/>
    <s v="No"/>
    <n v="3"/>
    <n v="31.66"/>
    <n v="287.37"/>
    <x v="0"/>
  </r>
  <r>
    <x v="956"/>
    <s v="Female"/>
    <n v="46"/>
    <s v="No"/>
    <n v="11"/>
    <x v="1"/>
    <s v="Month-to-month"/>
    <s v="No"/>
    <s v="Bank transfer"/>
    <s v="Yes"/>
    <s v="No"/>
    <n v="3"/>
    <n v="37.54"/>
    <n v="424.86"/>
    <x v="0"/>
  </r>
  <r>
    <x v="957"/>
    <s v="Male"/>
    <n v="64"/>
    <s v="Yes"/>
    <n v="10"/>
    <x v="1"/>
    <s v="Two year"/>
    <s v="No"/>
    <s v="Electronic check"/>
    <s v="No"/>
    <s v="Yes"/>
    <n v="6"/>
    <n v="50.78"/>
    <n v="527.36"/>
    <x v="0"/>
  </r>
  <r>
    <x v="958"/>
    <s v="Female"/>
    <n v="45"/>
    <s v="No"/>
    <n v="17"/>
    <x v="4"/>
    <s v="Two year"/>
    <s v="DSL"/>
    <s v="Credit card"/>
    <s v="Yes"/>
    <s v="Yes"/>
    <n v="2"/>
    <n v="47.65"/>
    <n v="797.34"/>
    <x v="0"/>
  </r>
  <r>
    <x v="959"/>
    <s v="Male"/>
    <n v="52"/>
    <s v="No"/>
    <n v="68"/>
    <x v="0"/>
    <s v="One year"/>
    <s v="DSL"/>
    <s v="Bank transfer"/>
    <s v="No"/>
    <s v="No"/>
    <n v="5"/>
    <n v="58"/>
    <n v="3689.7"/>
    <x v="0"/>
  </r>
  <r>
    <x v="960"/>
    <s v="Male"/>
    <n v="25"/>
    <s v="No"/>
    <n v="48"/>
    <x v="3"/>
    <s v="Month-to-month"/>
    <s v="Fiber optic"/>
    <s v="Electronic check"/>
    <s v="No"/>
    <s v="No"/>
    <n v="5"/>
    <n v="67.92"/>
    <n v="3304.15"/>
    <x v="0"/>
  </r>
  <r>
    <x v="961"/>
    <s v="Male"/>
    <n v="33"/>
    <s v="No"/>
    <n v="52"/>
    <x v="0"/>
    <s v="One year"/>
    <s v="Fiber optic"/>
    <s v="Mailed check"/>
    <s v="No"/>
    <s v="Yes"/>
    <n v="6"/>
    <n v="85.82"/>
    <n v="4340.93"/>
    <x v="0"/>
  </r>
  <r>
    <x v="962"/>
    <s v="Female"/>
    <n v="59"/>
    <s v="No"/>
    <n v="25"/>
    <x v="3"/>
    <s v="One year"/>
    <s v="DSL"/>
    <s v="Mailed check"/>
    <s v="No"/>
    <s v="Yes"/>
    <n v="1"/>
    <n v="43.94"/>
    <n v="1177.04"/>
    <x v="0"/>
  </r>
  <r>
    <x v="963"/>
    <s v="Male"/>
    <n v="53"/>
    <s v="No"/>
    <n v="21"/>
    <x v="4"/>
    <s v="Month-to-month"/>
    <s v="Fiber optic"/>
    <s v="Bank transfer"/>
    <s v="Yes"/>
    <s v="No"/>
    <n v="5"/>
    <n v="80.44"/>
    <n v="1689.97"/>
    <x v="1"/>
  </r>
  <r>
    <x v="964"/>
    <s v="Male"/>
    <n v="47"/>
    <s v="No"/>
    <n v="65"/>
    <x v="0"/>
    <s v="Month-to-month"/>
    <s v="No"/>
    <s v="Credit card"/>
    <s v="Yes"/>
    <s v="No"/>
    <n v="3"/>
    <n v="42.12"/>
    <n v="2725.65"/>
    <x v="0"/>
  </r>
  <r>
    <x v="965"/>
    <s v="Male"/>
    <n v="35"/>
    <s v="No"/>
    <n v="63"/>
    <x v="0"/>
    <s v="Two year"/>
    <s v="Fiber optic"/>
    <s v="Bank transfer"/>
    <s v="No"/>
    <s v="Yes"/>
    <n v="3"/>
    <n v="88.76"/>
    <n v="5421.18"/>
    <x v="0"/>
  </r>
  <r>
    <x v="966"/>
    <s v="Male"/>
    <n v="19"/>
    <s v="No"/>
    <n v="51"/>
    <x v="0"/>
    <s v="One year"/>
    <s v="No"/>
    <s v="Electronic check"/>
    <s v="Yes"/>
    <s v="No"/>
    <n v="1"/>
    <n v="26.5"/>
    <n v="1316.64"/>
    <x v="0"/>
  </r>
  <r>
    <x v="967"/>
    <s v="Female"/>
    <n v="66"/>
    <s v="Yes"/>
    <n v="36"/>
    <x v="3"/>
    <s v="Month-to-month"/>
    <s v="Fiber optic"/>
    <s v="Bank transfer"/>
    <s v="Yes"/>
    <s v="Yes"/>
    <n v="5"/>
    <n v="85.7"/>
    <n v="3091.5"/>
    <x v="0"/>
  </r>
  <r>
    <x v="968"/>
    <s v="Female"/>
    <n v="30"/>
    <s v="No"/>
    <n v="66"/>
    <x v="0"/>
    <s v="One year"/>
    <s v="Fiber optic"/>
    <s v="Electronic check"/>
    <s v="No"/>
    <s v="No"/>
    <n v="5"/>
    <n v="84.78"/>
    <n v="5422.39"/>
    <x v="0"/>
  </r>
  <r>
    <x v="969"/>
    <s v="Male"/>
    <n v="21"/>
    <s v="No"/>
    <n v="15"/>
    <x v="4"/>
    <s v="Month-to-month"/>
    <s v="No"/>
    <s v="Credit card"/>
    <s v="No"/>
    <s v="No"/>
    <n v="3"/>
    <n v="44.94"/>
    <n v="716.41"/>
    <x v="1"/>
  </r>
  <r>
    <x v="970"/>
    <s v="Female"/>
    <n v="43"/>
    <s v="No"/>
    <n v="39"/>
    <x v="3"/>
    <s v="Month-to-month"/>
    <s v="Fiber optic"/>
    <s v="Bank transfer"/>
    <s v="No"/>
    <s v="No"/>
    <n v="7"/>
    <n v="84.62"/>
    <n v="3267.98"/>
    <x v="1"/>
  </r>
  <r>
    <x v="971"/>
    <s v="Male"/>
    <n v="42"/>
    <s v="No"/>
    <n v="70"/>
    <x v="0"/>
    <s v="One year"/>
    <s v="Fiber optic"/>
    <s v="Electronic check"/>
    <s v="Yes"/>
    <s v="Yes"/>
    <n v="5"/>
    <n v="76.41"/>
    <n v="5170.71"/>
    <x v="0"/>
  </r>
  <r>
    <x v="972"/>
    <s v="Male"/>
    <n v="47"/>
    <s v="No"/>
    <n v="1"/>
    <x v="2"/>
    <s v="Month-to-month"/>
    <s v="Fiber optic"/>
    <s v="Electronic check"/>
    <s v="No"/>
    <s v="No"/>
    <n v="1"/>
    <n v="61.23"/>
    <n v="57.85"/>
    <x v="1"/>
  </r>
  <r>
    <x v="973"/>
    <s v="Male"/>
    <n v="28"/>
    <s v="No"/>
    <n v="23"/>
    <x v="4"/>
    <s v="Month-to-month"/>
    <s v="DSL"/>
    <s v="Credit card"/>
    <s v="No"/>
    <s v="No"/>
    <n v="2"/>
    <n v="35.130000000000003"/>
    <n v="830.27"/>
    <x v="0"/>
  </r>
  <r>
    <x v="974"/>
    <s v="Female"/>
    <n v="24"/>
    <s v="No"/>
    <n v="39"/>
    <x v="3"/>
    <s v="Two year"/>
    <s v="Fiber optic"/>
    <s v="Credit card"/>
    <s v="No"/>
    <s v="No"/>
    <n v="2"/>
    <n v="70.680000000000007"/>
    <n v="2547.37"/>
    <x v="1"/>
  </r>
  <r>
    <x v="975"/>
    <s v="Female"/>
    <n v="48"/>
    <s v="No"/>
    <n v="57"/>
    <x v="0"/>
    <s v="Month-to-month"/>
    <s v="DSL"/>
    <s v="Mailed check"/>
    <s v="Yes"/>
    <s v="No"/>
    <n v="6"/>
    <n v="59.63"/>
    <n v="3371.72"/>
    <x v="0"/>
  </r>
  <r>
    <x v="976"/>
    <s v="Female"/>
    <n v="61"/>
    <s v="Yes"/>
    <n v="34"/>
    <x v="3"/>
    <s v="Month-to-month"/>
    <s v="DSL"/>
    <s v="Electronic check"/>
    <s v="No"/>
    <s v="Yes"/>
    <n v="4"/>
    <n v="60.76"/>
    <n v="2082.41"/>
    <x v="0"/>
  </r>
  <r>
    <x v="977"/>
    <s v="Female"/>
    <n v="27"/>
    <s v="No"/>
    <n v="41"/>
    <x v="3"/>
    <s v="Two year"/>
    <s v="DSL"/>
    <s v="Bank transfer"/>
    <s v="No"/>
    <s v="No"/>
    <n v="2"/>
    <n v="34.25"/>
    <n v="1368.25"/>
    <x v="0"/>
  </r>
  <r>
    <x v="978"/>
    <s v="Female"/>
    <n v="56"/>
    <s v="No"/>
    <n v="13"/>
    <x v="4"/>
    <s v="One year"/>
    <s v="DSL"/>
    <s v="Electronic check"/>
    <s v="No"/>
    <s v="No"/>
    <n v="7"/>
    <n v="70.599999999999994"/>
    <n v="954.49"/>
    <x v="1"/>
  </r>
  <r>
    <x v="979"/>
    <s v="Female"/>
    <n v="30"/>
    <s v="No"/>
    <n v="70"/>
    <x v="0"/>
    <s v="One year"/>
    <s v="DSL"/>
    <s v="Electronic check"/>
    <s v="No"/>
    <s v="No"/>
    <n v="7"/>
    <n v="69.209999999999994"/>
    <n v="4980.8599999999997"/>
    <x v="0"/>
  </r>
  <r>
    <x v="980"/>
    <s v="Female"/>
    <n v="48"/>
    <s v="No"/>
    <n v="6"/>
    <x v="2"/>
    <s v="Two year"/>
    <s v="Fiber optic"/>
    <s v="Electronic check"/>
    <s v="Yes"/>
    <s v="No"/>
    <n v="5"/>
    <n v="79.19"/>
    <n v="510.98"/>
    <x v="1"/>
  </r>
  <r>
    <x v="981"/>
    <s v="Female"/>
    <n v="24"/>
    <s v="No"/>
    <n v="52"/>
    <x v="0"/>
    <s v="Month-to-month"/>
    <s v="No"/>
    <s v="Electronic check"/>
    <s v="Yes"/>
    <s v="No"/>
    <n v="2"/>
    <n v="39.99"/>
    <n v="2082.4"/>
    <x v="0"/>
  </r>
  <r>
    <x v="982"/>
    <s v="Female"/>
    <n v="73"/>
    <s v="Yes"/>
    <n v="3"/>
    <x v="2"/>
    <s v="One year"/>
    <s v="Fiber optic"/>
    <s v="Mailed check"/>
    <s v="No"/>
    <s v="Yes"/>
    <n v="2"/>
    <n v="65.37"/>
    <n v="197.3"/>
    <x v="0"/>
  </r>
  <r>
    <x v="983"/>
    <s v="Male"/>
    <n v="66"/>
    <s v="Yes"/>
    <n v="63"/>
    <x v="0"/>
    <s v="Month-to-month"/>
    <s v="DSL"/>
    <s v="Credit card"/>
    <s v="No"/>
    <s v="No"/>
    <n v="5"/>
    <n v="65.13"/>
    <n v="3936.33"/>
    <x v="0"/>
  </r>
  <r>
    <x v="984"/>
    <s v="Female"/>
    <n v="59"/>
    <s v="No"/>
    <n v="49"/>
    <x v="0"/>
    <s v="Two year"/>
    <s v="Fiber optic"/>
    <s v="Bank transfer"/>
    <s v="No"/>
    <s v="No"/>
    <n v="2"/>
    <n v="66.58"/>
    <n v="3202.64"/>
    <x v="0"/>
  </r>
  <r>
    <x v="985"/>
    <s v="Female"/>
    <n v="59"/>
    <s v="No"/>
    <n v="47"/>
    <x v="3"/>
    <s v="Month-to-month"/>
    <s v="No"/>
    <s v="Electronic check"/>
    <s v="No"/>
    <s v="No"/>
    <n v="4"/>
    <n v="52.61"/>
    <n v="2285.48"/>
    <x v="0"/>
  </r>
  <r>
    <x v="986"/>
    <s v="Female"/>
    <n v="73"/>
    <s v="Yes"/>
    <n v="55"/>
    <x v="0"/>
    <s v="One year"/>
    <s v="Fiber optic"/>
    <s v="Bank transfer"/>
    <s v="No"/>
    <s v="No"/>
    <n v="2"/>
    <n v="70.040000000000006"/>
    <n v="3968.86"/>
    <x v="0"/>
  </r>
  <r>
    <x v="987"/>
    <s v="Female"/>
    <n v="53"/>
    <s v="No"/>
    <n v="64"/>
    <x v="0"/>
    <s v="Month-to-month"/>
    <s v="Fiber optic"/>
    <s v="Mailed check"/>
    <s v="No"/>
    <s v="No"/>
    <n v="4"/>
    <n v="83.73"/>
    <n v="5197.21"/>
    <x v="0"/>
  </r>
  <r>
    <x v="988"/>
    <s v="Female"/>
    <n v="37"/>
    <s v="No"/>
    <n v="65"/>
    <x v="0"/>
    <s v="Month-to-month"/>
    <s v="DSL"/>
    <s v="Electronic check"/>
    <s v="Yes"/>
    <s v="Yes"/>
    <n v="2"/>
    <n v="55.27"/>
    <n v="3615.75"/>
    <x v="0"/>
  </r>
  <r>
    <x v="989"/>
    <s v="Female"/>
    <n v="21"/>
    <s v="No"/>
    <n v="67"/>
    <x v="0"/>
    <s v="One year"/>
    <s v="DSL"/>
    <s v="Credit card"/>
    <s v="No"/>
    <s v="Yes"/>
    <n v="2"/>
    <n v="59.02"/>
    <n v="3799.33"/>
    <x v="0"/>
  </r>
  <r>
    <x v="990"/>
    <s v="Female"/>
    <n v="71"/>
    <s v="Yes"/>
    <n v="15"/>
    <x v="4"/>
    <s v="One year"/>
    <s v="Fiber optic"/>
    <s v="Mailed check"/>
    <s v="Yes"/>
    <s v="Yes"/>
    <n v="5"/>
    <n v="84.02"/>
    <n v="1284.71"/>
    <x v="0"/>
  </r>
  <r>
    <x v="991"/>
    <s v="Female"/>
    <n v="24"/>
    <s v="No"/>
    <n v="32"/>
    <x v="3"/>
    <s v="One year"/>
    <s v="DSL"/>
    <s v="Credit card"/>
    <s v="Yes"/>
    <s v="No"/>
    <n v="2"/>
    <n v="41.78"/>
    <n v="1325.75"/>
    <x v="0"/>
  </r>
  <r>
    <x v="992"/>
    <s v="Female"/>
    <n v="71"/>
    <s v="Yes"/>
    <n v="68"/>
    <x v="0"/>
    <s v="Month-to-month"/>
    <s v="DSL"/>
    <s v="Mailed check"/>
    <s v="No"/>
    <s v="Yes"/>
    <n v="8"/>
    <n v="78.099999999999994"/>
    <n v="5295.39"/>
    <x v="0"/>
  </r>
  <r>
    <x v="993"/>
    <s v="Female"/>
    <n v="18"/>
    <s v="No"/>
    <n v="18"/>
    <x v="4"/>
    <s v="Month-to-month"/>
    <s v="No"/>
    <s v="Bank transfer"/>
    <s v="No"/>
    <s v="Yes"/>
    <n v="6"/>
    <n v="50.94"/>
    <n v="981.85"/>
    <x v="0"/>
  </r>
  <r>
    <x v="994"/>
    <s v="Female"/>
    <n v="61"/>
    <s v="Yes"/>
    <n v="43"/>
    <x v="3"/>
    <s v="One year"/>
    <s v="DSL"/>
    <s v="Electronic check"/>
    <s v="No"/>
    <s v="No"/>
    <n v="2"/>
    <n v="29.75"/>
    <n v="1321.45"/>
    <x v="0"/>
  </r>
  <r>
    <x v="995"/>
    <s v="Male"/>
    <n v="73"/>
    <s v="Yes"/>
    <n v="35"/>
    <x v="3"/>
    <s v="Two year"/>
    <s v="Fiber optic"/>
    <s v="Mailed check"/>
    <s v="No"/>
    <s v="No"/>
    <n v="3"/>
    <n v="63.3"/>
    <n v="2131.1"/>
    <x v="1"/>
  </r>
  <r>
    <x v="996"/>
    <s v="Male"/>
    <n v="62"/>
    <s v="Yes"/>
    <n v="58"/>
    <x v="0"/>
    <s v="One year"/>
    <s v="Fiber optic"/>
    <s v="Electronic check"/>
    <s v="No"/>
    <s v="No"/>
    <n v="3"/>
    <n v="79.94"/>
    <n v="4639.43"/>
    <x v="0"/>
  </r>
  <r>
    <x v="997"/>
    <s v="Female"/>
    <n v="59"/>
    <s v="No"/>
    <n v="33"/>
    <x v="3"/>
    <s v="Two year"/>
    <s v="No"/>
    <s v="Credit card"/>
    <s v="Yes"/>
    <s v="No"/>
    <n v="2"/>
    <n v="42.94"/>
    <n v="1409.46"/>
    <x v="0"/>
  </r>
  <r>
    <x v="998"/>
    <s v="Female"/>
    <n v="64"/>
    <s v="Yes"/>
    <n v="14"/>
    <x v="4"/>
    <s v="Two year"/>
    <s v="No"/>
    <s v="Credit card"/>
    <s v="No"/>
    <s v="No"/>
    <n v="1"/>
    <n v="28.42"/>
    <n v="416.66"/>
    <x v="0"/>
  </r>
  <r>
    <x v="999"/>
    <s v="Male"/>
    <n v="30"/>
    <s v="No"/>
    <n v="34"/>
    <x v="3"/>
    <s v="One year"/>
    <s v="Fiber optic"/>
    <s v="Credit card"/>
    <s v="No"/>
    <s v="Yes"/>
    <n v="3"/>
    <n v="80.66"/>
    <n v="2888.71"/>
    <x v="0"/>
  </r>
  <r>
    <x v="1000"/>
    <s v="Female"/>
    <n v="72"/>
    <s v="Yes"/>
    <n v="61"/>
    <x v="0"/>
    <s v="One year"/>
    <s v="Fiber optic"/>
    <s v="Bank transfer"/>
    <s v="No"/>
    <s v="No"/>
    <n v="4"/>
    <n v="79.760000000000005"/>
    <n v="4696.78"/>
    <x v="0"/>
  </r>
  <r>
    <x v="1001"/>
    <s v="Male"/>
    <n v="39"/>
    <s v="No"/>
    <n v="4"/>
    <x v="2"/>
    <s v="Two year"/>
    <s v="DSL"/>
    <s v="Credit card"/>
    <s v="Yes"/>
    <s v="No"/>
    <n v="2"/>
    <n v="51.25"/>
    <n v="215.53"/>
    <x v="0"/>
  </r>
  <r>
    <x v="1002"/>
    <s v="Male"/>
    <n v="71"/>
    <s v="Yes"/>
    <n v="59"/>
    <x v="0"/>
    <s v="One year"/>
    <s v="Fiber optic"/>
    <s v="Electronic check"/>
    <s v="Yes"/>
    <s v="No"/>
    <n v="3"/>
    <n v="74"/>
    <n v="4142.1099999999997"/>
    <x v="0"/>
  </r>
  <r>
    <x v="1003"/>
    <s v="Male"/>
    <n v="38"/>
    <s v="No"/>
    <n v="29"/>
    <x v="3"/>
    <s v="Two year"/>
    <s v="Fiber optic"/>
    <s v="Mailed check"/>
    <s v="No"/>
    <s v="No"/>
    <n v="3"/>
    <n v="75.569999999999993"/>
    <n v="2283.67"/>
    <x v="0"/>
  </r>
  <r>
    <x v="1004"/>
    <s v="Male"/>
    <n v="39"/>
    <s v="No"/>
    <n v="6"/>
    <x v="2"/>
    <s v="One year"/>
    <s v="Fiber optic"/>
    <s v="Bank transfer"/>
    <s v="No"/>
    <s v="No"/>
    <n v="1"/>
    <n v="69.72"/>
    <n v="401.51"/>
    <x v="0"/>
  </r>
  <r>
    <x v="1005"/>
    <s v="Male"/>
    <n v="45"/>
    <s v="No"/>
    <n v="49"/>
    <x v="0"/>
    <s v="One year"/>
    <s v="Fiber optic"/>
    <s v="Bank transfer"/>
    <s v="No"/>
    <s v="No"/>
    <n v="2"/>
    <n v="68.19"/>
    <n v="3233.28"/>
    <x v="0"/>
  </r>
  <r>
    <x v="1006"/>
    <s v="Female"/>
    <n v="26"/>
    <s v="No"/>
    <n v="40"/>
    <x v="3"/>
    <s v="Month-to-month"/>
    <s v="Fiber optic"/>
    <s v="Bank transfer"/>
    <s v="No"/>
    <s v="Yes"/>
    <n v="6"/>
    <n v="95.73"/>
    <n v="4045.15"/>
    <x v="0"/>
  </r>
  <r>
    <x v="1007"/>
    <s v="Male"/>
    <n v="43"/>
    <s v="No"/>
    <n v="65"/>
    <x v="0"/>
    <s v="Month-to-month"/>
    <s v="DSL"/>
    <s v="Electronic check"/>
    <s v="No"/>
    <s v="No"/>
    <n v="4"/>
    <n v="52"/>
    <n v="3336.78"/>
    <x v="0"/>
  </r>
  <r>
    <x v="1008"/>
    <s v="Female"/>
    <n v="26"/>
    <s v="No"/>
    <n v="69"/>
    <x v="0"/>
    <s v="Two year"/>
    <s v="Fiber optic"/>
    <s v="Electronic check"/>
    <s v="No"/>
    <s v="Yes"/>
    <n v="3"/>
    <n v="86.91"/>
    <n v="6467.48"/>
    <x v="0"/>
  </r>
  <r>
    <x v="1009"/>
    <s v="Female"/>
    <n v="32"/>
    <s v="No"/>
    <n v="27"/>
    <x v="3"/>
    <s v="One year"/>
    <s v="Fiber optic"/>
    <s v="Credit card"/>
    <s v="No"/>
    <s v="No"/>
    <n v="6"/>
    <n v="85.49"/>
    <n v="2179.69"/>
    <x v="0"/>
  </r>
  <r>
    <x v="1010"/>
    <s v="Male"/>
    <n v="27"/>
    <s v="No"/>
    <n v="6"/>
    <x v="2"/>
    <s v="One year"/>
    <s v="Fiber optic"/>
    <s v="Bank transfer"/>
    <s v="No"/>
    <s v="No"/>
    <n v="5"/>
    <n v="82.64"/>
    <n v="492.93"/>
    <x v="0"/>
  </r>
  <r>
    <x v="1011"/>
    <s v="Male"/>
    <n v="41"/>
    <s v="No"/>
    <n v="13"/>
    <x v="4"/>
    <s v="Two year"/>
    <s v="DSL"/>
    <s v="Electronic check"/>
    <s v="Yes"/>
    <s v="No"/>
    <n v="1"/>
    <n v="42.61"/>
    <n v="574.53"/>
    <x v="0"/>
  </r>
  <r>
    <x v="1012"/>
    <s v="Female"/>
    <n v="75"/>
    <s v="Yes"/>
    <n v="64"/>
    <x v="0"/>
    <s v="One year"/>
    <s v="Fiber optic"/>
    <s v="Credit card"/>
    <s v="No"/>
    <s v="No"/>
    <n v="4"/>
    <n v="81.87"/>
    <n v="4825.01"/>
    <x v="0"/>
  </r>
  <r>
    <x v="1013"/>
    <s v="Male"/>
    <n v="74"/>
    <s v="Yes"/>
    <n v="62"/>
    <x v="0"/>
    <s v="Month-to-month"/>
    <s v="DSL"/>
    <s v="Credit card"/>
    <s v="No"/>
    <s v="No"/>
    <n v="3"/>
    <n v="52.36"/>
    <n v="3065.49"/>
    <x v="0"/>
  </r>
  <r>
    <x v="1014"/>
    <s v="Male"/>
    <n v="59"/>
    <s v="No"/>
    <n v="19"/>
    <x v="4"/>
    <s v="One year"/>
    <s v="DSL"/>
    <s v="Electronic check"/>
    <s v="No"/>
    <s v="Yes"/>
    <n v="6"/>
    <n v="63.67"/>
    <n v="1116.8900000000001"/>
    <x v="0"/>
  </r>
  <r>
    <x v="1015"/>
    <s v="Female"/>
    <n v="25"/>
    <s v="No"/>
    <n v="43"/>
    <x v="3"/>
    <s v="One year"/>
    <s v="Fiber optic"/>
    <s v="Credit card"/>
    <s v="Yes"/>
    <s v="Yes"/>
    <n v="6"/>
    <n v="91.29"/>
    <n v="4235.03"/>
    <x v="0"/>
  </r>
  <r>
    <x v="1016"/>
    <s v="Female"/>
    <n v="41"/>
    <s v="No"/>
    <n v="20"/>
    <x v="4"/>
    <s v="Month-to-month"/>
    <s v="Fiber optic"/>
    <s v="Credit card"/>
    <s v="No"/>
    <s v="No"/>
    <n v="2"/>
    <n v="79.13"/>
    <n v="1648.59"/>
    <x v="1"/>
  </r>
  <r>
    <x v="1017"/>
    <s v="Male"/>
    <n v="33"/>
    <s v="No"/>
    <n v="68"/>
    <x v="0"/>
    <s v="Month-to-month"/>
    <s v="Fiber optic"/>
    <s v="Credit card"/>
    <s v="No"/>
    <s v="No"/>
    <n v="5"/>
    <n v="75.709999999999994"/>
    <n v="5044.13"/>
    <x v="1"/>
  </r>
  <r>
    <x v="1018"/>
    <s v="Female"/>
    <n v="66"/>
    <s v="Yes"/>
    <n v="44"/>
    <x v="3"/>
    <s v="Month-to-month"/>
    <s v="DSL"/>
    <s v="Credit card"/>
    <s v="No"/>
    <s v="No"/>
    <n v="6"/>
    <n v="72.78"/>
    <n v="3026.21"/>
    <x v="1"/>
  </r>
  <r>
    <x v="1019"/>
    <s v="Male"/>
    <n v="43"/>
    <s v="No"/>
    <n v="23"/>
    <x v="4"/>
    <s v="Month-to-month"/>
    <s v="No"/>
    <s v="Bank transfer"/>
    <s v="Yes"/>
    <s v="No"/>
    <n v="6"/>
    <n v="57.74"/>
    <n v="1240.98"/>
    <x v="1"/>
  </r>
  <r>
    <x v="1020"/>
    <s v="Male"/>
    <n v="44"/>
    <s v="No"/>
    <n v="2"/>
    <x v="2"/>
    <s v="Month-to-month"/>
    <s v="Fiber optic"/>
    <s v="Mailed check"/>
    <s v="No"/>
    <s v="Yes"/>
    <n v="3"/>
    <n v="62.65"/>
    <n v="125.94"/>
    <x v="0"/>
  </r>
  <r>
    <x v="1021"/>
    <s v="Male"/>
    <n v="54"/>
    <s v="No"/>
    <n v="22"/>
    <x v="4"/>
    <s v="Month-to-month"/>
    <s v="No"/>
    <s v="Electronic check"/>
    <s v="No"/>
    <s v="Yes"/>
    <n v="3"/>
    <n v="31.08"/>
    <n v="735.82"/>
    <x v="0"/>
  </r>
  <r>
    <x v="1022"/>
    <s v="Female"/>
    <n v="21"/>
    <s v="No"/>
    <n v="57"/>
    <x v="0"/>
    <s v="Month-to-month"/>
    <s v="Fiber optic"/>
    <s v="Electronic check"/>
    <s v="No"/>
    <s v="Yes"/>
    <n v="3"/>
    <n v="83.57"/>
    <n v="4896.57"/>
    <x v="0"/>
  </r>
  <r>
    <x v="1023"/>
    <s v="Female"/>
    <n v="67"/>
    <s v="Yes"/>
    <n v="72"/>
    <x v="0"/>
    <s v="Month-to-month"/>
    <s v="No"/>
    <s v="Mailed check"/>
    <s v="Yes"/>
    <s v="No"/>
    <n v="8"/>
    <n v="59.61"/>
    <n v="4199.3100000000004"/>
    <x v="1"/>
  </r>
  <r>
    <x v="1024"/>
    <s v="Female"/>
    <n v="41"/>
    <s v="No"/>
    <n v="7"/>
    <x v="1"/>
    <s v="Month-to-month"/>
    <s v="DSL"/>
    <s v="Mailed check"/>
    <s v="No"/>
    <s v="Yes"/>
    <n v="4"/>
    <n v="70.97"/>
    <n v="496.86"/>
    <x v="1"/>
  </r>
  <r>
    <x v="1025"/>
    <s v="Female"/>
    <n v="36"/>
    <s v="No"/>
    <n v="56"/>
    <x v="0"/>
    <s v="One year"/>
    <s v="DSL"/>
    <s v="Electronic check"/>
    <s v="Yes"/>
    <s v="Yes"/>
    <n v="6"/>
    <n v="65.760000000000005"/>
    <n v="3976.52"/>
    <x v="0"/>
  </r>
  <r>
    <x v="1026"/>
    <s v="Female"/>
    <n v="53"/>
    <s v="No"/>
    <n v="67"/>
    <x v="0"/>
    <s v="Two year"/>
    <s v="DSL"/>
    <s v="Mailed check"/>
    <s v="Yes"/>
    <s v="No"/>
    <n v="5"/>
    <n v="59.32"/>
    <n v="3986.37"/>
    <x v="0"/>
  </r>
  <r>
    <x v="1027"/>
    <s v="Male"/>
    <n v="56"/>
    <s v="No"/>
    <n v="16"/>
    <x v="4"/>
    <s v="One year"/>
    <s v="DSL"/>
    <s v="Electronic check"/>
    <s v="No"/>
    <s v="No"/>
    <n v="8"/>
    <n v="84.53"/>
    <n v="1452.93"/>
    <x v="1"/>
  </r>
  <r>
    <x v="1028"/>
    <s v="Male"/>
    <n v="27"/>
    <s v="No"/>
    <n v="51"/>
    <x v="0"/>
    <s v="Month-to-month"/>
    <s v="No"/>
    <s v="Credit card"/>
    <s v="No"/>
    <s v="No"/>
    <n v="3"/>
    <n v="31.15"/>
    <n v="1465.72"/>
    <x v="0"/>
  </r>
  <r>
    <x v="1029"/>
    <s v="Male"/>
    <n v="42"/>
    <s v="No"/>
    <n v="72"/>
    <x v="0"/>
    <s v="Month-to-month"/>
    <s v="DSL"/>
    <s v="Electronic check"/>
    <s v="No"/>
    <s v="No"/>
    <n v="6"/>
    <n v="65.290000000000006"/>
    <n v="4867.08"/>
    <x v="0"/>
  </r>
  <r>
    <x v="1030"/>
    <s v="Male"/>
    <n v="35"/>
    <s v="No"/>
    <n v="12"/>
    <x v="1"/>
    <s v="Month-to-month"/>
    <s v="DSL"/>
    <s v="Bank transfer"/>
    <s v="No"/>
    <s v="No"/>
    <n v="4"/>
    <n v="62.92"/>
    <n v="770.4"/>
    <x v="1"/>
  </r>
  <r>
    <x v="1031"/>
    <s v="Female"/>
    <n v="36"/>
    <s v="No"/>
    <n v="53"/>
    <x v="0"/>
    <s v="Month-to-month"/>
    <s v="Fiber optic"/>
    <s v="Mailed check"/>
    <s v="No"/>
    <s v="No"/>
    <n v="6"/>
    <n v="91.61"/>
    <n v="4999.3"/>
    <x v="0"/>
  </r>
  <r>
    <x v="1032"/>
    <s v="Male"/>
    <n v="53"/>
    <s v="No"/>
    <n v="5"/>
    <x v="2"/>
    <s v="Month-to-month"/>
    <s v="Fiber optic"/>
    <s v="Electronic check"/>
    <s v="No"/>
    <s v="No"/>
    <n v="4"/>
    <n v="73.42"/>
    <n v="371.24"/>
    <x v="1"/>
  </r>
  <r>
    <x v="1033"/>
    <s v="Female"/>
    <n v="27"/>
    <s v="No"/>
    <n v="27"/>
    <x v="3"/>
    <s v="Month-to-month"/>
    <s v="No"/>
    <s v="Credit card"/>
    <s v="Yes"/>
    <s v="No"/>
    <n v="2"/>
    <n v="34.82"/>
    <n v="871.57"/>
    <x v="0"/>
  </r>
  <r>
    <x v="1034"/>
    <s v="Male"/>
    <n v="50"/>
    <s v="No"/>
    <n v="12"/>
    <x v="1"/>
    <s v="Month-to-month"/>
    <s v="DSL"/>
    <s v="Bank transfer"/>
    <s v="No"/>
    <s v="Yes"/>
    <n v="4"/>
    <n v="56.96"/>
    <n v="645.20000000000005"/>
    <x v="0"/>
  </r>
  <r>
    <x v="1035"/>
    <s v="Female"/>
    <n v="72"/>
    <s v="Yes"/>
    <n v="17"/>
    <x v="4"/>
    <s v="Two year"/>
    <s v="DSL"/>
    <s v="Electronic check"/>
    <s v="No"/>
    <s v="Yes"/>
    <n v="6"/>
    <n v="55.22"/>
    <n v="1002.16"/>
    <x v="0"/>
  </r>
  <r>
    <x v="1036"/>
    <s v="Female"/>
    <n v="67"/>
    <s v="Yes"/>
    <n v="6"/>
    <x v="2"/>
    <s v="Month-to-month"/>
    <s v="DSL"/>
    <s v="Electronic check"/>
    <s v="No"/>
    <s v="Yes"/>
    <n v="3"/>
    <n v="51.77"/>
    <n v="297.35000000000002"/>
    <x v="0"/>
  </r>
  <r>
    <x v="1037"/>
    <s v="Male"/>
    <n v="22"/>
    <s v="No"/>
    <n v="5"/>
    <x v="2"/>
    <s v="Month-to-month"/>
    <s v="No"/>
    <s v="Electronic check"/>
    <s v="No"/>
    <s v="No"/>
    <n v="3"/>
    <n v="25.56"/>
    <n v="137.88"/>
    <x v="1"/>
  </r>
  <r>
    <x v="1038"/>
    <s v="Male"/>
    <n v="64"/>
    <s v="Yes"/>
    <n v="57"/>
    <x v="0"/>
    <s v="Two year"/>
    <s v="DSL"/>
    <s v="Electronic check"/>
    <s v="No"/>
    <s v="Yes"/>
    <n v="2"/>
    <n v="46.38"/>
    <n v="2719.62"/>
    <x v="0"/>
  </r>
  <r>
    <x v="1039"/>
    <s v="Male"/>
    <n v="66"/>
    <s v="Yes"/>
    <n v="28"/>
    <x v="3"/>
    <s v="Month-to-month"/>
    <s v="DSL"/>
    <s v="Mailed check"/>
    <s v="No"/>
    <s v="No"/>
    <n v="6"/>
    <n v="58.59"/>
    <n v="1625.91"/>
    <x v="0"/>
  </r>
  <r>
    <x v="1040"/>
    <s v="Male"/>
    <n v="52"/>
    <s v="No"/>
    <n v="69"/>
    <x v="0"/>
    <s v="Month-to-month"/>
    <s v="DSL"/>
    <s v="Bank transfer"/>
    <s v="Yes"/>
    <s v="Yes"/>
    <n v="2"/>
    <n v="56.42"/>
    <n v="4154.62"/>
    <x v="0"/>
  </r>
  <r>
    <x v="1041"/>
    <s v="Female"/>
    <n v="61"/>
    <s v="Yes"/>
    <n v="59"/>
    <x v="0"/>
    <s v="One year"/>
    <s v="Fiber optic"/>
    <s v="Credit card"/>
    <s v="Yes"/>
    <s v="No"/>
    <n v="4"/>
    <n v="81.099999999999994"/>
    <n v="5010.74"/>
    <x v="0"/>
  </r>
  <r>
    <x v="1042"/>
    <s v="Male"/>
    <n v="51"/>
    <s v="No"/>
    <n v="33"/>
    <x v="3"/>
    <s v="One year"/>
    <s v="Fiber optic"/>
    <s v="Bank transfer"/>
    <s v="No"/>
    <s v="No"/>
    <n v="3"/>
    <n v="85.77"/>
    <n v="2798.24"/>
    <x v="0"/>
  </r>
  <r>
    <x v="1043"/>
    <s v="Male"/>
    <n v="50"/>
    <s v="No"/>
    <n v="62"/>
    <x v="0"/>
    <s v="One year"/>
    <s v="No"/>
    <s v="Electronic check"/>
    <s v="No"/>
    <s v="No"/>
    <n v="5"/>
    <n v="38.549999999999997"/>
    <n v="2225.12"/>
    <x v="0"/>
  </r>
  <r>
    <x v="1044"/>
    <s v="Female"/>
    <n v="72"/>
    <s v="Yes"/>
    <n v="50"/>
    <x v="0"/>
    <s v="Month-to-month"/>
    <s v="Fiber optic"/>
    <s v="Electronic check"/>
    <s v="Yes"/>
    <s v="No"/>
    <n v="7"/>
    <n v="91.86"/>
    <n v="4863.66"/>
    <x v="0"/>
  </r>
  <r>
    <x v="1045"/>
    <s v="Male"/>
    <n v="38"/>
    <s v="No"/>
    <n v="19"/>
    <x v="4"/>
    <s v="Month-to-month"/>
    <s v="No"/>
    <s v="Mailed check"/>
    <s v="Yes"/>
    <s v="Yes"/>
    <n v="1"/>
    <n v="21.28"/>
    <n v="421.47"/>
    <x v="0"/>
  </r>
  <r>
    <x v="1046"/>
    <s v="Male"/>
    <n v="34"/>
    <s v="No"/>
    <n v="69"/>
    <x v="0"/>
    <s v="Month-to-month"/>
    <s v="Fiber optic"/>
    <s v="Electronic check"/>
    <s v="No"/>
    <s v="No"/>
    <n v="7"/>
    <n v="86.58"/>
    <n v="6251.92"/>
    <x v="0"/>
  </r>
  <r>
    <x v="1047"/>
    <s v="Male"/>
    <n v="39"/>
    <s v="No"/>
    <n v="66"/>
    <x v="0"/>
    <s v="Month-to-month"/>
    <s v="Fiber optic"/>
    <s v="Electronic check"/>
    <s v="No"/>
    <s v="Yes"/>
    <n v="4"/>
    <n v="76.2"/>
    <n v="5226.2299999999996"/>
    <x v="0"/>
  </r>
  <r>
    <x v="1048"/>
    <s v="Male"/>
    <n v="65"/>
    <s v="Yes"/>
    <n v="47"/>
    <x v="3"/>
    <s v="Two year"/>
    <s v="No"/>
    <s v="Credit card"/>
    <s v="Yes"/>
    <s v="No"/>
    <n v="4"/>
    <n v="54.82"/>
    <n v="2484.1"/>
    <x v="0"/>
  </r>
  <r>
    <x v="1049"/>
    <s v="Male"/>
    <n v="54"/>
    <s v="No"/>
    <n v="39"/>
    <x v="3"/>
    <s v="One year"/>
    <s v="DSL"/>
    <s v="Electronic check"/>
    <s v="Yes"/>
    <s v="No"/>
    <n v="3"/>
    <n v="57.55"/>
    <n v="2373.3200000000002"/>
    <x v="0"/>
  </r>
  <r>
    <x v="1050"/>
    <s v="Female"/>
    <n v="32"/>
    <s v="No"/>
    <n v="68"/>
    <x v="0"/>
    <s v="Month-to-month"/>
    <s v="Fiber optic"/>
    <s v="Credit card"/>
    <s v="No"/>
    <s v="Yes"/>
    <n v="5"/>
    <n v="82.11"/>
    <n v="5138.8"/>
    <x v="0"/>
  </r>
  <r>
    <x v="1051"/>
    <s v="Male"/>
    <n v="52"/>
    <s v="No"/>
    <n v="33"/>
    <x v="3"/>
    <s v="One year"/>
    <s v="DSL"/>
    <s v="Electronic check"/>
    <s v="No"/>
    <s v="No"/>
    <n v="4"/>
    <n v="66.55"/>
    <n v="2103.83"/>
    <x v="0"/>
  </r>
  <r>
    <x v="1052"/>
    <s v="Male"/>
    <n v="45"/>
    <s v="No"/>
    <n v="13"/>
    <x v="4"/>
    <s v="Month-to-month"/>
    <s v="DSL"/>
    <s v="Credit card"/>
    <s v="Yes"/>
    <s v="No"/>
    <n v="3"/>
    <n v="59.71"/>
    <n v="719.91"/>
    <x v="0"/>
  </r>
  <r>
    <x v="1053"/>
    <s v="Male"/>
    <n v="24"/>
    <s v="No"/>
    <n v="54"/>
    <x v="0"/>
    <s v="Two year"/>
    <s v="DSL"/>
    <s v="Bank transfer"/>
    <s v="Yes"/>
    <s v="No"/>
    <n v="4"/>
    <n v="58.61"/>
    <n v="2967.75"/>
    <x v="0"/>
  </r>
  <r>
    <x v="1054"/>
    <s v="Male"/>
    <n v="49"/>
    <s v="No"/>
    <n v="7"/>
    <x v="1"/>
    <s v="Month-to-month"/>
    <s v="Fiber optic"/>
    <s v="Bank transfer"/>
    <s v="No"/>
    <s v="No"/>
    <n v="3"/>
    <n v="79.73"/>
    <n v="561"/>
    <x v="0"/>
  </r>
  <r>
    <x v="1055"/>
    <s v="Male"/>
    <n v="28"/>
    <s v="No"/>
    <n v="14"/>
    <x v="4"/>
    <s v="Month-to-month"/>
    <s v="No"/>
    <s v="Electronic check"/>
    <s v="No"/>
    <s v="No"/>
    <n v="4"/>
    <n v="38.86"/>
    <n v="503.76"/>
    <x v="0"/>
  </r>
  <r>
    <x v="1056"/>
    <s v="Female"/>
    <n v="27"/>
    <s v="No"/>
    <n v="19"/>
    <x v="4"/>
    <s v="Month-to-month"/>
    <s v="No"/>
    <s v="Credit card"/>
    <s v="No"/>
    <s v="No"/>
    <n v="1"/>
    <n v="49.9"/>
    <n v="899.77"/>
    <x v="1"/>
  </r>
  <r>
    <x v="1057"/>
    <s v="Male"/>
    <n v="26"/>
    <s v="No"/>
    <n v="54"/>
    <x v="0"/>
    <s v="One year"/>
    <s v="Fiber optic"/>
    <s v="Credit card"/>
    <s v="No"/>
    <s v="No"/>
    <n v="2"/>
    <n v="79.540000000000006"/>
    <n v="4111.49"/>
    <x v="0"/>
  </r>
  <r>
    <x v="1058"/>
    <s v="Female"/>
    <n v="31"/>
    <s v="No"/>
    <n v="20"/>
    <x v="4"/>
    <s v="One year"/>
    <s v="No"/>
    <s v="Bank transfer"/>
    <s v="Yes"/>
    <s v="No"/>
    <n v="2"/>
    <n v="30.15"/>
    <n v="617.99"/>
    <x v="0"/>
  </r>
  <r>
    <x v="1059"/>
    <s v="Female"/>
    <n v="30"/>
    <s v="No"/>
    <n v="29"/>
    <x v="3"/>
    <s v="Month-to-month"/>
    <s v="No"/>
    <s v="Mailed check"/>
    <s v="No"/>
    <s v="Yes"/>
    <n v="1"/>
    <n v="34.31"/>
    <n v="990.03"/>
    <x v="0"/>
  </r>
  <r>
    <x v="1060"/>
    <s v="Male"/>
    <n v="74"/>
    <s v="Yes"/>
    <n v="24"/>
    <x v="4"/>
    <s v="Month-to-month"/>
    <s v="DSL"/>
    <s v="Bank transfer"/>
    <s v="No"/>
    <s v="No"/>
    <n v="4"/>
    <n v="62.84"/>
    <n v="1498.12"/>
    <x v="1"/>
  </r>
  <r>
    <x v="1061"/>
    <s v="Male"/>
    <n v="42"/>
    <s v="No"/>
    <n v="63"/>
    <x v="0"/>
    <s v="Month-to-month"/>
    <s v="DSL"/>
    <s v="Electronic check"/>
    <s v="Yes"/>
    <s v="No"/>
    <n v="3"/>
    <n v="56.98"/>
    <n v="3743.92"/>
    <x v="0"/>
  </r>
  <r>
    <x v="1062"/>
    <s v="Male"/>
    <n v="19"/>
    <s v="No"/>
    <n v="57"/>
    <x v="0"/>
    <s v="Month-to-month"/>
    <s v="Fiber optic"/>
    <s v="Bank transfer"/>
    <s v="No"/>
    <s v="Yes"/>
    <n v="3"/>
    <n v="78.599999999999994"/>
    <n v="4449.18"/>
    <x v="0"/>
  </r>
  <r>
    <x v="1063"/>
    <s v="Male"/>
    <n v="52"/>
    <s v="No"/>
    <n v="8"/>
    <x v="1"/>
    <s v="Two year"/>
    <s v="Fiber optic"/>
    <s v="Credit card"/>
    <s v="No"/>
    <s v="Yes"/>
    <n v="3"/>
    <n v="69.31"/>
    <n v="541.04"/>
    <x v="0"/>
  </r>
  <r>
    <x v="1064"/>
    <s v="Female"/>
    <n v="24"/>
    <s v="No"/>
    <n v="62"/>
    <x v="0"/>
    <s v="Month-to-month"/>
    <s v="DSL"/>
    <s v="Mailed check"/>
    <s v="Yes"/>
    <s v="Yes"/>
    <n v="1"/>
    <n v="43.95"/>
    <n v="2926.52"/>
    <x v="0"/>
  </r>
  <r>
    <x v="1065"/>
    <s v="Male"/>
    <n v="38"/>
    <s v="No"/>
    <n v="29"/>
    <x v="3"/>
    <s v="Month-to-month"/>
    <s v="No"/>
    <s v="Electronic check"/>
    <s v="Yes"/>
    <s v="No"/>
    <n v="4"/>
    <n v="52.61"/>
    <n v="1405.66"/>
    <x v="0"/>
  </r>
  <r>
    <x v="1066"/>
    <s v="Male"/>
    <n v="35"/>
    <s v="No"/>
    <n v="17"/>
    <x v="4"/>
    <s v="One year"/>
    <s v="DSL"/>
    <s v="Mailed check"/>
    <s v="Yes"/>
    <s v="No"/>
    <n v="6"/>
    <n v="68.430000000000007"/>
    <n v="1127.0899999999999"/>
    <x v="1"/>
  </r>
  <r>
    <x v="1067"/>
    <s v="Male"/>
    <n v="20"/>
    <s v="No"/>
    <n v="66"/>
    <x v="0"/>
    <s v="Month-to-month"/>
    <s v="DSL"/>
    <s v="Bank transfer"/>
    <s v="Yes"/>
    <s v="No"/>
    <n v="6"/>
    <n v="62.1"/>
    <n v="4170.34"/>
    <x v="0"/>
  </r>
  <r>
    <x v="1068"/>
    <s v="Male"/>
    <n v="59"/>
    <s v="No"/>
    <n v="6"/>
    <x v="2"/>
    <s v="One year"/>
    <s v="Fiber optic"/>
    <s v="Electronic check"/>
    <s v="No"/>
    <s v="No"/>
    <n v="8"/>
    <n v="94.02"/>
    <n v="589.65"/>
    <x v="0"/>
  </r>
  <r>
    <x v="1069"/>
    <s v="Male"/>
    <n v="71"/>
    <s v="Yes"/>
    <n v="58"/>
    <x v="0"/>
    <s v="Two year"/>
    <s v="Fiber optic"/>
    <s v="Electronic check"/>
    <s v="No"/>
    <s v="Yes"/>
    <n v="3"/>
    <n v="71.260000000000005"/>
    <n v="4342.32"/>
    <x v="0"/>
  </r>
  <r>
    <x v="1070"/>
    <s v="Male"/>
    <n v="56"/>
    <s v="No"/>
    <n v="69"/>
    <x v="0"/>
    <s v="Month-to-month"/>
    <s v="Fiber optic"/>
    <s v="Electronic check"/>
    <s v="No"/>
    <s v="Yes"/>
    <n v="5"/>
    <n v="89.28"/>
    <n v="5712.91"/>
    <x v="0"/>
  </r>
  <r>
    <x v="1071"/>
    <s v="Female"/>
    <n v="58"/>
    <s v="No"/>
    <n v="28"/>
    <x v="3"/>
    <s v="Two year"/>
    <s v="Fiber optic"/>
    <s v="Credit card"/>
    <s v="Yes"/>
    <s v="No"/>
    <n v="4"/>
    <n v="75.069999999999993"/>
    <n v="2172.29"/>
    <x v="1"/>
  </r>
  <r>
    <x v="1072"/>
    <s v="Female"/>
    <n v="66"/>
    <s v="Yes"/>
    <n v="62"/>
    <x v="0"/>
    <s v="One year"/>
    <s v="DSL"/>
    <s v="Electronic check"/>
    <s v="No"/>
    <s v="No"/>
    <n v="2"/>
    <n v="51.31"/>
    <n v="3293.33"/>
    <x v="0"/>
  </r>
  <r>
    <x v="1073"/>
    <s v="Male"/>
    <n v="28"/>
    <s v="No"/>
    <n v="41"/>
    <x v="3"/>
    <s v="Month-to-month"/>
    <s v="Fiber optic"/>
    <s v="Bank transfer"/>
    <s v="No"/>
    <s v="Yes"/>
    <n v="5"/>
    <n v="78.36"/>
    <n v="3065.78"/>
    <x v="0"/>
  </r>
  <r>
    <x v="1074"/>
    <s v="Male"/>
    <n v="56"/>
    <s v="No"/>
    <n v="69"/>
    <x v="0"/>
    <s v="Month-to-month"/>
    <s v="DSL"/>
    <s v="Mailed check"/>
    <s v="No"/>
    <s v="No"/>
    <n v="2"/>
    <n v="66.459999999999994"/>
    <n v="4301.63"/>
    <x v="0"/>
  </r>
  <r>
    <x v="1075"/>
    <s v="Male"/>
    <n v="41"/>
    <s v="No"/>
    <n v="41"/>
    <x v="3"/>
    <s v="Month-to-month"/>
    <s v="Fiber optic"/>
    <s v="Bank transfer"/>
    <s v="Yes"/>
    <s v="No"/>
    <n v="2"/>
    <n v="75.400000000000006"/>
    <n v="3214.9"/>
    <x v="0"/>
  </r>
  <r>
    <x v="1076"/>
    <s v="Female"/>
    <n v="63"/>
    <s v="Yes"/>
    <n v="49"/>
    <x v="0"/>
    <s v="One year"/>
    <s v="DSL"/>
    <s v="Credit card"/>
    <s v="Yes"/>
    <s v="No"/>
    <n v="5"/>
    <n v="67.13"/>
    <n v="3157.53"/>
    <x v="0"/>
  </r>
  <r>
    <x v="1077"/>
    <s v="Male"/>
    <n v="36"/>
    <s v="No"/>
    <n v="49"/>
    <x v="0"/>
    <s v="One year"/>
    <s v="DSL"/>
    <s v="Electronic check"/>
    <s v="No"/>
    <s v="No"/>
    <n v="3"/>
    <n v="59.88"/>
    <n v="2700.18"/>
    <x v="0"/>
  </r>
  <r>
    <x v="1078"/>
    <s v="Female"/>
    <n v="21"/>
    <s v="No"/>
    <n v="71"/>
    <x v="0"/>
    <s v="Two year"/>
    <s v="Fiber optic"/>
    <s v="Electronic check"/>
    <s v="No"/>
    <s v="No"/>
    <n v="3"/>
    <n v="72.239999999999995"/>
    <n v="4902.1899999999996"/>
    <x v="0"/>
  </r>
  <r>
    <x v="1079"/>
    <s v="Male"/>
    <n v="43"/>
    <s v="No"/>
    <n v="3"/>
    <x v="2"/>
    <s v="Two year"/>
    <s v="Fiber optic"/>
    <s v="Credit card"/>
    <s v="No"/>
    <s v="Yes"/>
    <n v="2"/>
    <n v="81.650000000000006"/>
    <n v="226.57"/>
    <x v="1"/>
  </r>
  <r>
    <x v="1080"/>
    <s v="Male"/>
    <n v="55"/>
    <s v="No"/>
    <n v="10"/>
    <x v="1"/>
    <s v="One year"/>
    <s v="Fiber optic"/>
    <s v="Electronic check"/>
    <s v="No"/>
    <s v="Yes"/>
    <n v="6"/>
    <n v="86.53"/>
    <n v="830.58"/>
    <x v="0"/>
  </r>
  <r>
    <x v="1081"/>
    <s v="Male"/>
    <n v="59"/>
    <s v="No"/>
    <n v="35"/>
    <x v="3"/>
    <s v="One year"/>
    <s v="No"/>
    <s v="Electronic check"/>
    <s v="No"/>
    <s v="No"/>
    <n v="2"/>
    <n v="45.41"/>
    <n v="1547.4"/>
    <x v="0"/>
  </r>
  <r>
    <x v="1082"/>
    <s v="Male"/>
    <n v="49"/>
    <s v="No"/>
    <n v="2"/>
    <x v="2"/>
    <s v="Month-to-month"/>
    <s v="Fiber optic"/>
    <s v="Credit card"/>
    <s v="No"/>
    <s v="No"/>
    <n v="5"/>
    <n v="80.73"/>
    <n v="155.55000000000001"/>
    <x v="1"/>
  </r>
  <r>
    <x v="1083"/>
    <s v="Female"/>
    <n v="56"/>
    <s v="No"/>
    <n v="24"/>
    <x v="4"/>
    <s v="Month-to-month"/>
    <s v="DSL"/>
    <s v="Credit card"/>
    <s v="No"/>
    <s v="No"/>
    <n v="3"/>
    <n v="60.01"/>
    <n v="1537.01"/>
    <x v="1"/>
  </r>
  <r>
    <x v="1084"/>
    <s v="Female"/>
    <n v="62"/>
    <s v="Yes"/>
    <n v="38"/>
    <x v="3"/>
    <s v="Month-to-month"/>
    <s v="No"/>
    <s v="Bank transfer"/>
    <s v="No"/>
    <s v="Yes"/>
    <n v="5"/>
    <n v="46.17"/>
    <n v="1679.38"/>
    <x v="0"/>
  </r>
  <r>
    <x v="1085"/>
    <s v="Male"/>
    <n v="63"/>
    <s v="Yes"/>
    <n v="22"/>
    <x v="4"/>
    <s v="One year"/>
    <s v="DSL"/>
    <s v="Electronic check"/>
    <s v="No"/>
    <s v="No"/>
    <n v="3"/>
    <n v="56.87"/>
    <n v="1244.6400000000001"/>
    <x v="1"/>
  </r>
  <r>
    <x v="1086"/>
    <s v="Male"/>
    <n v="53"/>
    <s v="No"/>
    <n v="26"/>
    <x v="3"/>
    <s v="Month-to-month"/>
    <s v="Fiber optic"/>
    <s v="Mailed check"/>
    <s v="Yes"/>
    <s v="Yes"/>
    <n v="4"/>
    <n v="67.31"/>
    <n v="1878.14"/>
    <x v="0"/>
  </r>
  <r>
    <x v="1087"/>
    <s v="Female"/>
    <n v="57"/>
    <s v="No"/>
    <n v="43"/>
    <x v="3"/>
    <s v="Month-to-month"/>
    <s v="No"/>
    <s v="Electronic check"/>
    <s v="No"/>
    <s v="Yes"/>
    <n v="4"/>
    <n v="34.119999999999997"/>
    <n v="1556.18"/>
    <x v="1"/>
  </r>
  <r>
    <x v="1088"/>
    <s v="Female"/>
    <n v="54"/>
    <s v="No"/>
    <n v="55"/>
    <x v="0"/>
    <s v="Month-to-month"/>
    <s v="Fiber optic"/>
    <s v="Credit card"/>
    <s v="Yes"/>
    <s v="Yes"/>
    <n v="5"/>
    <n v="93.57"/>
    <n v="4989.29"/>
    <x v="0"/>
  </r>
  <r>
    <x v="1089"/>
    <s v="Female"/>
    <n v="50"/>
    <s v="No"/>
    <n v="39"/>
    <x v="3"/>
    <s v="Month-to-month"/>
    <s v="DSL"/>
    <s v="Credit card"/>
    <s v="Yes"/>
    <s v="No"/>
    <n v="5"/>
    <n v="53.98"/>
    <n v="2046.78"/>
    <x v="0"/>
  </r>
  <r>
    <x v="1090"/>
    <s v="Female"/>
    <n v="53"/>
    <s v="No"/>
    <n v="29"/>
    <x v="3"/>
    <s v="One year"/>
    <s v="No"/>
    <s v="Credit card"/>
    <s v="No"/>
    <s v="Yes"/>
    <n v="2"/>
    <n v="39.24"/>
    <n v="1154.95"/>
    <x v="0"/>
  </r>
  <r>
    <x v="1091"/>
    <s v="Male"/>
    <n v="20"/>
    <s v="No"/>
    <n v="20"/>
    <x v="4"/>
    <s v="Month-to-month"/>
    <s v="DSL"/>
    <s v="Electronic check"/>
    <s v="No"/>
    <s v="Yes"/>
    <n v="5"/>
    <n v="81.2"/>
    <n v="1732.58"/>
    <x v="0"/>
  </r>
  <r>
    <x v="1092"/>
    <s v="Female"/>
    <n v="26"/>
    <s v="No"/>
    <n v="41"/>
    <x v="3"/>
    <s v="One year"/>
    <s v="Fiber optic"/>
    <s v="Bank transfer"/>
    <s v="Yes"/>
    <s v="No"/>
    <n v="2"/>
    <n v="74.87"/>
    <n v="2829.01"/>
    <x v="0"/>
  </r>
  <r>
    <x v="1093"/>
    <s v="Male"/>
    <n v="25"/>
    <s v="No"/>
    <n v="54"/>
    <x v="0"/>
    <s v="Month-to-month"/>
    <s v="Fiber optic"/>
    <s v="Electronic check"/>
    <s v="No"/>
    <s v="No"/>
    <n v="5"/>
    <n v="97.89"/>
    <n v="5195.66"/>
    <x v="0"/>
  </r>
  <r>
    <x v="1094"/>
    <s v="Female"/>
    <n v="50"/>
    <s v="No"/>
    <n v="20"/>
    <x v="4"/>
    <s v="One year"/>
    <s v="Fiber optic"/>
    <s v="Mailed check"/>
    <s v="No"/>
    <s v="No"/>
    <n v="6"/>
    <n v="91.84"/>
    <n v="1939.59"/>
    <x v="0"/>
  </r>
  <r>
    <x v="1095"/>
    <s v="Female"/>
    <n v="23"/>
    <s v="No"/>
    <n v="19"/>
    <x v="4"/>
    <s v="Month-to-month"/>
    <s v="DSL"/>
    <s v="Credit card"/>
    <s v="No"/>
    <s v="No"/>
    <n v="1"/>
    <n v="48.84"/>
    <n v="914.67"/>
    <x v="0"/>
  </r>
  <r>
    <x v="1096"/>
    <s v="Female"/>
    <n v="58"/>
    <s v="No"/>
    <n v="66"/>
    <x v="0"/>
    <s v="Month-to-month"/>
    <s v="Fiber optic"/>
    <s v="Electronic check"/>
    <s v="No"/>
    <s v="No"/>
    <n v="4"/>
    <n v="81.62"/>
    <n v="5576.59"/>
    <x v="0"/>
  </r>
  <r>
    <x v="1097"/>
    <s v="Female"/>
    <n v="56"/>
    <s v="No"/>
    <n v="30"/>
    <x v="3"/>
    <s v="One year"/>
    <s v="No"/>
    <s v="Bank transfer"/>
    <s v="No"/>
    <s v="Yes"/>
    <n v="1"/>
    <n v="27.76"/>
    <n v="858.37"/>
    <x v="0"/>
  </r>
  <r>
    <x v="1098"/>
    <s v="Female"/>
    <n v="21"/>
    <s v="No"/>
    <n v="53"/>
    <x v="0"/>
    <s v="Month-to-month"/>
    <s v="No"/>
    <s v="Bank transfer"/>
    <s v="No"/>
    <s v="Yes"/>
    <n v="2"/>
    <n v="31.54"/>
    <n v="1592.84"/>
    <x v="0"/>
  </r>
  <r>
    <x v="1099"/>
    <s v="Male"/>
    <n v="30"/>
    <s v="No"/>
    <n v="34"/>
    <x v="3"/>
    <s v="Month-to-month"/>
    <s v="No"/>
    <s v="Credit card"/>
    <s v="No"/>
    <s v="No"/>
    <n v="4"/>
    <n v="37.32"/>
    <n v="1258.6500000000001"/>
    <x v="0"/>
  </r>
  <r>
    <x v="1100"/>
    <s v="Male"/>
    <n v="66"/>
    <s v="Yes"/>
    <n v="22"/>
    <x v="4"/>
    <s v="Month-to-month"/>
    <s v="Fiber optic"/>
    <s v="Credit card"/>
    <s v="No"/>
    <s v="Yes"/>
    <n v="1"/>
    <n v="69.959999999999994"/>
    <n v="1555.42"/>
    <x v="0"/>
  </r>
  <r>
    <x v="1101"/>
    <s v="Female"/>
    <n v="19"/>
    <s v="No"/>
    <n v="67"/>
    <x v="0"/>
    <s v="Month-to-month"/>
    <s v="DSL"/>
    <s v="Credit card"/>
    <s v="Yes"/>
    <s v="No"/>
    <n v="3"/>
    <n v="70.400000000000006"/>
    <n v="4879.41"/>
    <x v="0"/>
  </r>
  <r>
    <x v="1102"/>
    <s v="Female"/>
    <n v="22"/>
    <s v="No"/>
    <n v="6"/>
    <x v="2"/>
    <s v="Month-to-month"/>
    <s v="No"/>
    <s v="Bank transfer"/>
    <s v="No"/>
    <s v="No"/>
    <n v="1"/>
    <n v="38.97"/>
    <n v="245.88"/>
    <x v="0"/>
  </r>
  <r>
    <x v="1103"/>
    <s v="Male"/>
    <n v="61"/>
    <s v="Yes"/>
    <n v="27"/>
    <x v="3"/>
    <s v="Month-to-month"/>
    <s v="No"/>
    <s v="Electronic check"/>
    <s v="Yes"/>
    <s v="No"/>
    <n v="3"/>
    <n v="38.43"/>
    <n v="1080.76"/>
    <x v="1"/>
  </r>
  <r>
    <x v="1104"/>
    <s v="Female"/>
    <n v="44"/>
    <s v="No"/>
    <n v="10"/>
    <x v="1"/>
    <s v="One year"/>
    <s v="Fiber optic"/>
    <s v="Mailed check"/>
    <s v="No"/>
    <s v="No"/>
    <n v="5"/>
    <n v="87.3"/>
    <n v="807.11"/>
    <x v="0"/>
  </r>
  <r>
    <x v="1105"/>
    <s v="Female"/>
    <n v="49"/>
    <s v="No"/>
    <n v="48"/>
    <x v="3"/>
    <s v="Two year"/>
    <s v="Fiber optic"/>
    <s v="Bank transfer"/>
    <s v="Yes"/>
    <s v="No"/>
    <n v="1"/>
    <n v="66.400000000000006"/>
    <n v="3274.22"/>
    <x v="0"/>
  </r>
  <r>
    <x v="1106"/>
    <s v="Male"/>
    <n v="38"/>
    <s v="No"/>
    <n v="70"/>
    <x v="0"/>
    <s v="Month-to-month"/>
    <s v="Fiber optic"/>
    <s v="Bank transfer"/>
    <s v="No"/>
    <s v="Yes"/>
    <n v="4"/>
    <n v="88.95"/>
    <n v="6223.83"/>
    <x v="0"/>
  </r>
  <r>
    <x v="1107"/>
    <s v="Female"/>
    <n v="25"/>
    <s v="No"/>
    <n v="59"/>
    <x v="0"/>
    <s v="Two year"/>
    <s v="DSL"/>
    <s v="Bank transfer"/>
    <s v="No"/>
    <s v="No"/>
    <n v="3"/>
    <n v="43.57"/>
    <n v="2601.0100000000002"/>
    <x v="0"/>
  </r>
  <r>
    <x v="1108"/>
    <s v="Female"/>
    <n v="55"/>
    <s v="No"/>
    <n v="59"/>
    <x v="0"/>
    <s v="Month-to-month"/>
    <s v="DSL"/>
    <s v="Mailed check"/>
    <s v="Yes"/>
    <s v="Yes"/>
    <n v="3"/>
    <n v="68.510000000000005"/>
    <n v="3959.93"/>
    <x v="0"/>
  </r>
  <r>
    <x v="1109"/>
    <s v="Male"/>
    <n v="25"/>
    <s v="No"/>
    <n v="2"/>
    <x v="2"/>
    <s v="One year"/>
    <s v="No"/>
    <s v="Electronic check"/>
    <s v="No"/>
    <s v="No"/>
    <n v="3"/>
    <n v="33.18"/>
    <n v="68.63"/>
    <x v="0"/>
  </r>
  <r>
    <x v="1110"/>
    <s v="Male"/>
    <n v="67"/>
    <s v="Yes"/>
    <n v="29"/>
    <x v="3"/>
    <s v="One year"/>
    <s v="Fiber optic"/>
    <s v="Electronic check"/>
    <s v="Yes"/>
    <s v="No"/>
    <n v="4"/>
    <n v="76.31"/>
    <n v="2274.56"/>
    <x v="0"/>
  </r>
  <r>
    <x v="1111"/>
    <s v="Male"/>
    <n v="20"/>
    <s v="No"/>
    <n v="68"/>
    <x v="0"/>
    <s v="One year"/>
    <s v="Fiber optic"/>
    <s v="Bank transfer"/>
    <s v="No"/>
    <s v="Yes"/>
    <n v="3"/>
    <n v="66.44"/>
    <n v="4575.38"/>
    <x v="0"/>
  </r>
  <r>
    <x v="1112"/>
    <s v="Female"/>
    <n v="71"/>
    <s v="Yes"/>
    <n v="65"/>
    <x v="0"/>
    <s v="Month-to-month"/>
    <s v="Fiber optic"/>
    <s v="Bank transfer"/>
    <s v="No"/>
    <s v="No"/>
    <n v="1"/>
    <n v="68.08"/>
    <n v="4681.2299999999996"/>
    <x v="0"/>
  </r>
  <r>
    <x v="1113"/>
    <s v="Male"/>
    <n v="61"/>
    <s v="Yes"/>
    <n v="26"/>
    <x v="3"/>
    <s v="Month-to-month"/>
    <s v="Fiber optic"/>
    <s v="Bank transfer"/>
    <s v="No"/>
    <s v="Yes"/>
    <n v="2"/>
    <n v="66.23"/>
    <n v="1612.3"/>
    <x v="1"/>
  </r>
  <r>
    <x v="1114"/>
    <s v="Male"/>
    <n v="75"/>
    <s v="Yes"/>
    <n v="10"/>
    <x v="1"/>
    <s v="Month-to-month"/>
    <s v="Fiber optic"/>
    <s v="Mailed check"/>
    <s v="No"/>
    <s v="Yes"/>
    <n v="8"/>
    <n v="103.14"/>
    <n v="998.56"/>
    <x v="1"/>
  </r>
  <r>
    <x v="1115"/>
    <s v="Male"/>
    <n v="20"/>
    <s v="No"/>
    <n v="53"/>
    <x v="0"/>
    <s v="Month-to-month"/>
    <s v="DSL"/>
    <s v="Electronic check"/>
    <s v="Yes"/>
    <s v="No"/>
    <n v="3"/>
    <n v="59.73"/>
    <n v="3163.22"/>
    <x v="0"/>
  </r>
  <r>
    <x v="1116"/>
    <s v="Male"/>
    <n v="39"/>
    <s v="No"/>
    <n v="59"/>
    <x v="0"/>
    <s v="Month-to-month"/>
    <s v="DSL"/>
    <s v="Bank transfer"/>
    <s v="No"/>
    <s v="Yes"/>
    <n v="4"/>
    <n v="54.14"/>
    <n v="3428.64"/>
    <x v="0"/>
  </r>
  <r>
    <x v="1117"/>
    <s v="Male"/>
    <n v="23"/>
    <s v="No"/>
    <n v="22"/>
    <x v="4"/>
    <s v="Month-to-month"/>
    <s v="DSL"/>
    <s v="Credit card"/>
    <s v="No"/>
    <s v="Yes"/>
    <n v="2"/>
    <n v="44.86"/>
    <n v="919.33"/>
    <x v="0"/>
  </r>
  <r>
    <x v="1118"/>
    <s v="Male"/>
    <n v="19"/>
    <s v="No"/>
    <n v="51"/>
    <x v="0"/>
    <s v="Month-to-month"/>
    <s v="Fiber optic"/>
    <s v="Mailed check"/>
    <s v="No"/>
    <s v="No"/>
    <n v="2"/>
    <n v="66.510000000000005"/>
    <n v="3303.59"/>
    <x v="1"/>
  </r>
  <r>
    <x v="1119"/>
    <s v="Female"/>
    <n v="40"/>
    <s v="No"/>
    <n v="48"/>
    <x v="3"/>
    <s v="Month-to-month"/>
    <s v="Fiber optic"/>
    <s v="Bank transfer"/>
    <s v="No"/>
    <s v="No"/>
    <n v="4"/>
    <n v="72.38"/>
    <n v="3710.98"/>
    <x v="0"/>
  </r>
  <r>
    <x v="1120"/>
    <s v="Female"/>
    <n v="61"/>
    <s v="Yes"/>
    <n v="21"/>
    <x v="4"/>
    <s v="One year"/>
    <s v="DSL"/>
    <s v="Mailed check"/>
    <s v="No"/>
    <s v="Yes"/>
    <n v="6"/>
    <n v="65.040000000000006"/>
    <n v="1452.81"/>
    <x v="1"/>
  </r>
  <r>
    <x v="1121"/>
    <s v="Male"/>
    <n v="19"/>
    <s v="No"/>
    <n v="22"/>
    <x v="4"/>
    <s v="Two year"/>
    <s v="No"/>
    <s v="Bank transfer"/>
    <s v="No"/>
    <s v="No"/>
    <n v="1"/>
    <n v="23.11"/>
    <n v="538.13"/>
    <x v="0"/>
  </r>
  <r>
    <x v="1122"/>
    <s v="Male"/>
    <n v="55"/>
    <s v="No"/>
    <n v="30"/>
    <x v="3"/>
    <s v="Two year"/>
    <s v="Fiber optic"/>
    <s v="Credit card"/>
    <s v="Yes"/>
    <s v="No"/>
    <n v="1"/>
    <n v="75.180000000000007"/>
    <n v="2186.2600000000002"/>
    <x v="1"/>
  </r>
  <r>
    <x v="1123"/>
    <s v="Male"/>
    <n v="34"/>
    <s v="No"/>
    <n v="25"/>
    <x v="3"/>
    <s v="Month-to-month"/>
    <s v="No"/>
    <s v="Bank transfer"/>
    <s v="No"/>
    <s v="Yes"/>
    <n v="3"/>
    <n v="33.51"/>
    <n v="884.24"/>
    <x v="0"/>
  </r>
  <r>
    <x v="1124"/>
    <s v="Female"/>
    <n v="52"/>
    <s v="No"/>
    <n v="28"/>
    <x v="3"/>
    <s v="One year"/>
    <s v="Fiber optic"/>
    <s v="Mailed check"/>
    <s v="Yes"/>
    <s v="Yes"/>
    <n v="8"/>
    <n v="99.03"/>
    <n v="2775.21"/>
    <x v="0"/>
  </r>
  <r>
    <x v="1125"/>
    <s v="Female"/>
    <n v="51"/>
    <s v="No"/>
    <n v="65"/>
    <x v="0"/>
    <s v="Two year"/>
    <s v="No"/>
    <s v="Mailed check"/>
    <s v="No"/>
    <s v="No"/>
    <n v="4"/>
    <n v="45.09"/>
    <n v="2987.02"/>
    <x v="0"/>
  </r>
  <r>
    <x v="1126"/>
    <s v="Female"/>
    <n v="40"/>
    <s v="No"/>
    <n v="45"/>
    <x v="3"/>
    <s v="Month-to-month"/>
    <s v="No"/>
    <s v="Bank transfer"/>
    <s v="Yes"/>
    <s v="No"/>
    <n v="5"/>
    <n v="32.03"/>
    <n v="1381.12"/>
    <x v="0"/>
  </r>
  <r>
    <x v="1127"/>
    <s v="Female"/>
    <n v="47"/>
    <s v="No"/>
    <n v="68"/>
    <x v="0"/>
    <s v="Month-to-month"/>
    <s v="Fiber optic"/>
    <s v="Bank transfer"/>
    <s v="No"/>
    <s v="No"/>
    <n v="6"/>
    <n v="91.99"/>
    <n v="6462.17"/>
    <x v="0"/>
  </r>
  <r>
    <x v="1128"/>
    <s v="Female"/>
    <n v="69"/>
    <s v="Yes"/>
    <n v="7"/>
    <x v="1"/>
    <s v="Two year"/>
    <s v="DSL"/>
    <s v="Bank transfer"/>
    <s v="Yes"/>
    <s v="Yes"/>
    <n v="4"/>
    <n v="47.05"/>
    <n v="320.27"/>
    <x v="0"/>
  </r>
  <r>
    <x v="1129"/>
    <s v="Female"/>
    <n v="25"/>
    <s v="No"/>
    <n v="49"/>
    <x v="0"/>
    <s v="Month-to-month"/>
    <s v="Fiber optic"/>
    <s v="Bank transfer"/>
    <s v="No"/>
    <s v="No"/>
    <n v="3"/>
    <n v="69.16"/>
    <n v="3304.19"/>
    <x v="1"/>
  </r>
  <r>
    <x v="1130"/>
    <s v="Female"/>
    <n v="39"/>
    <s v="No"/>
    <n v="9"/>
    <x v="1"/>
    <s v="Month-to-month"/>
    <s v="No"/>
    <s v="Electronic check"/>
    <s v="No"/>
    <s v="No"/>
    <n v="4"/>
    <n v="45.67"/>
    <n v="420.03"/>
    <x v="1"/>
  </r>
  <r>
    <x v="1131"/>
    <s v="Female"/>
    <n v="61"/>
    <s v="Yes"/>
    <n v="36"/>
    <x v="3"/>
    <s v="Month-to-month"/>
    <s v="Fiber optic"/>
    <s v="Credit card"/>
    <s v="No"/>
    <s v="Yes"/>
    <n v="3"/>
    <n v="75.87"/>
    <n v="2617.62"/>
    <x v="1"/>
  </r>
  <r>
    <x v="1132"/>
    <s v="Female"/>
    <n v="75"/>
    <s v="Yes"/>
    <n v="1"/>
    <x v="2"/>
    <s v="Month-to-month"/>
    <s v="DSL"/>
    <s v="Credit card"/>
    <s v="No"/>
    <s v="Yes"/>
    <n v="5"/>
    <n v="60.62"/>
    <n v="57.95"/>
    <x v="1"/>
  </r>
  <r>
    <x v="1133"/>
    <s v="Male"/>
    <n v="53"/>
    <s v="No"/>
    <n v="10"/>
    <x v="1"/>
    <s v="Two year"/>
    <s v="DSL"/>
    <s v="Mailed check"/>
    <s v="No"/>
    <s v="No"/>
    <n v="7"/>
    <n v="58.52"/>
    <n v="572.95000000000005"/>
    <x v="0"/>
  </r>
  <r>
    <x v="1134"/>
    <s v="Male"/>
    <n v="22"/>
    <s v="No"/>
    <n v="36"/>
    <x v="3"/>
    <s v="One year"/>
    <s v="No"/>
    <s v="Bank transfer"/>
    <s v="No"/>
    <s v="No"/>
    <n v="4"/>
    <n v="47.75"/>
    <n v="1795.48"/>
    <x v="0"/>
  </r>
  <r>
    <x v="1135"/>
    <s v="Male"/>
    <n v="30"/>
    <s v="No"/>
    <n v="46"/>
    <x v="3"/>
    <s v="Month-to-month"/>
    <s v="Fiber optic"/>
    <s v="Electronic check"/>
    <s v="No"/>
    <s v="No"/>
    <n v="5"/>
    <n v="86.04"/>
    <n v="3783.49"/>
    <x v="0"/>
  </r>
  <r>
    <x v="1136"/>
    <s v="Male"/>
    <n v="46"/>
    <s v="No"/>
    <n v="32"/>
    <x v="3"/>
    <s v="Month-to-month"/>
    <s v="DSL"/>
    <s v="Electronic check"/>
    <s v="No"/>
    <s v="No"/>
    <n v="8"/>
    <n v="69"/>
    <n v="2309.5"/>
    <x v="0"/>
  </r>
  <r>
    <x v="1137"/>
    <s v="Female"/>
    <n v="48"/>
    <s v="No"/>
    <n v="32"/>
    <x v="3"/>
    <s v="One year"/>
    <s v="Fiber optic"/>
    <s v="Electronic check"/>
    <s v="No"/>
    <s v="No"/>
    <n v="3"/>
    <n v="68.27"/>
    <n v="2253.0100000000002"/>
    <x v="0"/>
  </r>
  <r>
    <x v="1138"/>
    <s v="Female"/>
    <n v="64"/>
    <s v="Yes"/>
    <n v="6"/>
    <x v="2"/>
    <s v="One year"/>
    <s v="Fiber optic"/>
    <s v="Bank transfer"/>
    <s v="No"/>
    <s v="No"/>
    <n v="2"/>
    <n v="78.19"/>
    <n v="482.58"/>
    <x v="1"/>
  </r>
  <r>
    <x v="1139"/>
    <s v="Male"/>
    <n v="74"/>
    <s v="Yes"/>
    <n v="48"/>
    <x v="3"/>
    <s v="Month-to-month"/>
    <s v="DSL"/>
    <s v="Credit card"/>
    <s v="Yes"/>
    <s v="Yes"/>
    <n v="4"/>
    <n v="61.1"/>
    <n v="2920.95"/>
    <x v="0"/>
  </r>
  <r>
    <x v="1140"/>
    <s v="Female"/>
    <n v="72"/>
    <s v="Yes"/>
    <n v="38"/>
    <x v="3"/>
    <s v="Two year"/>
    <s v="Fiber optic"/>
    <s v="Bank transfer"/>
    <s v="No"/>
    <s v="Yes"/>
    <n v="7"/>
    <n v="81.48"/>
    <n v="3218.05"/>
    <x v="0"/>
  </r>
  <r>
    <x v="1141"/>
    <s v="Male"/>
    <n v="33"/>
    <s v="No"/>
    <n v="17"/>
    <x v="4"/>
    <s v="Month-to-month"/>
    <s v="Fiber optic"/>
    <s v="Bank transfer"/>
    <s v="Yes"/>
    <s v="No"/>
    <n v="6"/>
    <n v="81.89"/>
    <n v="1283.77"/>
    <x v="0"/>
  </r>
  <r>
    <x v="1142"/>
    <s v="Female"/>
    <n v="59"/>
    <s v="No"/>
    <n v="27"/>
    <x v="3"/>
    <s v="Month-to-month"/>
    <s v="No"/>
    <s v="Mailed check"/>
    <s v="No"/>
    <s v="No"/>
    <n v="1"/>
    <n v="42.7"/>
    <n v="1117.04"/>
    <x v="1"/>
  </r>
  <r>
    <x v="1143"/>
    <s v="Male"/>
    <n v="47"/>
    <s v="No"/>
    <n v="54"/>
    <x v="0"/>
    <s v="One year"/>
    <s v="Fiber optic"/>
    <s v="Electronic check"/>
    <s v="No"/>
    <s v="No"/>
    <n v="3"/>
    <n v="82.02"/>
    <n v="4556.03"/>
    <x v="0"/>
  </r>
  <r>
    <x v="1144"/>
    <s v="Female"/>
    <n v="74"/>
    <s v="Yes"/>
    <n v="50"/>
    <x v="0"/>
    <s v="Month-to-month"/>
    <s v="DSL"/>
    <s v="Electronic check"/>
    <s v="No"/>
    <s v="No"/>
    <n v="6"/>
    <n v="67"/>
    <n v="3611.19"/>
    <x v="0"/>
  </r>
  <r>
    <x v="1145"/>
    <s v="Female"/>
    <n v="72"/>
    <s v="Yes"/>
    <n v="35"/>
    <x v="3"/>
    <s v="Two year"/>
    <s v="Fiber optic"/>
    <s v="Credit card"/>
    <s v="Yes"/>
    <s v="No"/>
    <n v="8"/>
    <n v="95.16"/>
    <n v="3065.49"/>
    <x v="0"/>
  </r>
  <r>
    <x v="1146"/>
    <s v="Male"/>
    <n v="33"/>
    <s v="No"/>
    <n v="25"/>
    <x v="3"/>
    <s v="One year"/>
    <s v="Fiber optic"/>
    <s v="Credit card"/>
    <s v="Yes"/>
    <s v="Yes"/>
    <n v="6"/>
    <n v="71.77"/>
    <n v="1797.11"/>
    <x v="0"/>
  </r>
  <r>
    <x v="1147"/>
    <s v="Female"/>
    <n v="29"/>
    <s v="No"/>
    <n v="28"/>
    <x v="3"/>
    <s v="One year"/>
    <s v="Fiber optic"/>
    <s v="Mailed check"/>
    <s v="No"/>
    <s v="No"/>
    <n v="5"/>
    <n v="92.15"/>
    <n v="2755.17"/>
    <x v="0"/>
  </r>
  <r>
    <x v="1148"/>
    <s v="Male"/>
    <n v="34"/>
    <s v="No"/>
    <n v="15"/>
    <x v="4"/>
    <s v="Month-to-month"/>
    <s v="DSL"/>
    <s v="Bank transfer"/>
    <s v="No"/>
    <s v="No"/>
    <n v="5"/>
    <n v="59.84"/>
    <n v="949.81"/>
    <x v="1"/>
  </r>
  <r>
    <x v="1149"/>
    <s v="Male"/>
    <n v="33"/>
    <s v="No"/>
    <n v="4"/>
    <x v="2"/>
    <s v="Month-to-month"/>
    <s v="DSL"/>
    <s v="Credit card"/>
    <s v="No"/>
    <s v="Yes"/>
    <n v="4"/>
    <n v="53.34"/>
    <n v="197.08"/>
    <x v="1"/>
  </r>
  <r>
    <x v="1150"/>
    <s v="Male"/>
    <n v="29"/>
    <s v="No"/>
    <n v="27"/>
    <x v="3"/>
    <s v="Month-to-month"/>
    <s v="Fiber optic"/>
    <s v="Electronic check"/>
    <s v="No"/>
    <s v="Yes"/>
    <n v="2"/>
    <n v="76.25"/>
    <n v="2068.4899999999998"/>
    <x v="1"/>
  </r>
  <r>
    <x v="1151"/>
    <s v="Male"/>
    <n v="25"/>
    <s v="No"/>
    <n v="26"/>
    <x v="3"/>
    <s v="Month-to-month"/>
    <s v="Fiber optic"/>
    <s v="Credit card"/>
    <s v="No"/>
    <s v="No"/>
    <n v="5"/>
    <n v="78.59"/>
    <n v="1881.27"/>
    <x v="0"/>
  </r>
  <r>
    <x v="1152"/>
    <s v="Female"/>
    <n v="37"/>
    <s v="No"/>
    <n v="19"/>
    <x v="4"/>
    <s v="One year"/>
    <s v="No"/>
    <s v="Bank transfer"/>
    <s v="Yes"/>
    <s v="No"/>
    <n v="1"/>
    <n v="20"/>
    <n v="397.61"/>
    <x v="0"/>
  </r>
  <r>
    <x v="1153"/>
    <s v="Female"/>
    <n v="20"/>
    <s v="No"/>
    <n v="17"/>
    <x v="4"/>
    <s v="Two year"/>
    <s v="Fiber optic"/>
    <s v="Bank transfer"/>
    <s v="No"/>
    <s v="Yes"/>
    <n v="3"/>
    <n v="77.87"/>
    <n v="1283.31"/>
    <x v="1"/>
  </r>
  <r>
    <x v="1154"/>
    <s v="Female"/>
    <n v="33"/>
    <s v="No"/>
    <n v="43"/>
    <x v="3"/>
    <s v="One year"/>
    <s v="No"/>
    <s v="Electronic check"/>
    <s v="Yes"/>
    <s v="Yes"/>
    <n v="4"/>
    <n v="30.39"/>
    <n v="1362.3"/>
    <x v="0"/>
  </r>
  <r>
    <x v="1155"/>
    <s v="Male"/>
    <n v="47"/>
    <s v="No"/>
    <n v="41"/>
    <x v="3"/>
    <s v="Two year"/>
    <s v="Fiber optic"/>
    <s v="Bank transfer"/>
    <s v="No"/>
    <s v="No"/>
    <n v="2"/>
    <n v="70.59"/>
    <n v="3100.16"/>
    <x v="0"/>
  </r>
  <r>
    <x v="1156"/>
    <s v="Female"/>
    <n v="62"/>
    <s v="Yes"/>
    <n v="42"/>
    <x v="3"/>
    <s v="One year"/>
    <s v="DSL"/>
    <s v="Credit card"/>
    <s v="Yes"/>
    <s v="No"/>
    <n v="6"/>
    <n v="69.22"/>
    <n v="3128.69"/>
    <x v="0"/>
  </r>
  <r>
    <x v="1157"/>
    <s v="Male"/>
    <n v="40"/>
    <s v="No"/>
    <n v="50"/>
    <x v="0"/>
    <s v="Month-to-month"/>
    <s v="Fiber optic"/>
    <s v="Electronic check"/>
    <s v="No"/>
    <s v="No"/>
    <n v="4"/>
    <n v="77.06"/>
    <n v="4095.96"/>
    <x v="0"/>
  </r>
  <r>
    <x v="1158"/>
    <s v="Female"/>
    <n v="45"/>
    <s v="No"/>
    <n v="40"/>
    <x v="3"/>
    <s v="Month-to-month"/>
    <s v="No"/>
    <s v="Bank transfer"/>
    <s v="Yes"/>
    <s v="No"/>
    <n v="4"/>
    <n v="39.090000000000003"/>
    <n v="1489.58"/>
    <x v="0"/>
  </r>
  <r>
    <x v="1159"/>
    <s v="Female"/>
    <n v="68"/>
    <s v="Yes"/>
    <n v="39"/>
    <x v="3"/>
    <s v="One year"/>
    <s v="DSL"/>
    <s v="Electronic check"/>
    <s v="No"/>
    <s v="No"/>
    <n v="3"/>
    <n v="65.86"/>
    <n v="2443.0300000000002"/>
    <x v="0"/>
  </r>
  <r>
    <x v="1160"/>
    <s v="Female"/>
    <n v="57"/>
    <s v="No"/>
    <n v="23"/>
    <x v="4"/>
    <s v="Month-to-month"/>
    <s v="Fiber optic"/>
    <s v="Credit card"/>
    <s v="Yes"/>
    <s v="Yes"/>
    <n v="4"/>
    <n v="89.96"/>
    <n v="2110.7199999999998"/>
    <x v="0"/>
  </r>
  <r>
    <x v="1161"/>
    <s v="Male"/>
    <n v="71"/>
    <s v="Yes"/>
    <n v="52"/>
    <x v="0"/>
    <s v="Month-to-month"/>
    <s v="Fiber optic"/>
    <s v="Mailed check"/>
    <s v="No"/>
    <s v="No"/>
    <n v="3"/>
    <n v="68.58"/>
    <n v="3591.3"/>
    <x v="0"/>
  </r>
  <r>
    <x v="1162"/>
    <s v="Female"/>
    <n v="22"/>
    <s v="No"/>
    <n v="47"/>
    <x v="3"/>
    <s v="Month-to-month"/>
    <s v="DSL"/>
    <s v="Credit card"/>
    <s v="No"/>
    <s v="Yes"/>
    <n v="4"/>
    <n v="54.84"/>
    <n v="2375.21"/>
    <x v="0"/>
  </r>
  <r>
    <x v="1163"/>
    <s v="Female"/>
    <n v="37"/>
    <s v="No"/>
    <n v="63"/>
    <x v="0"/>
    <s v="Two year"/>
    <s v="DSL"/>
    <s v="Mailed check"/>
    <s v="Yes"/>
    <s v="No"/>
    <n v="5"/>
    <n v="59.22"/>
    <n v="3666.23"/>
    <x v="0"/>
  </r>
  <r>
    <x v="1164"/>
    <s v="Male"/>
    <n v="57"/>
    <s v="No"/>
    <n v="69"/>
    <x v="0"/>
    <s v="Month-to-month"/>
    <s v="Fiber optic"/>
    <s v="Electronic check"/>
    <s v="No"/>
    <s v="Yes"/>
    <n v="2"/>
    <n v="70.78"/>
    <n v="5201.6099999999997"/>
    <x v="0"/>
  </r>
  <r>
    <x v="1165"/>
    <s v="Female"/>
    <n v="73"/>
    <s v="Yes"/>
    <n v="43"/>
    <x v="3"/>
    <s v="One year"/>
    <s v="Fiber optic"/>
    <s v="Electronic check"/>
    <s v="No"/>
    <s v="No"/>
    <n v="3"/>
    <n v="74.430000000000007"/>
    <n v="3404.48"/>
    <x v="1"/>
  </r>
  <r>
    <x v="1166"/>
    <s v="Male"/>
    <n v="61"/>
    <s v="Yes"/>
    <n v="48"/>
    <x v="3"/>
    <s v="Two year"/>
    <s v="No"/>
    <s v="Electronic check"/>
    <s v="Yes"/>
    <s v="Yes"/>
    <n v="4"/>
    <n v="53.02"/>
    <n v="2424.39"/>
    <x v="0"/>
  </r>
  <r>
    <x v="1167"/>
    <s v="Female"/>
    <n v="18"/>
    <s v="No"/>
    <n v="34"/>
    <x v="3"/>
    <s v="Month-to-month"/>
    <s v="Fiber optic"/>
    <s v="Electronic check"/>
    <s v="Yes"/>
    <s v="No"/>
    <n v="4"/>
    <n v="77.7"/>
    <n v="2591.91"/>
    <x v="0"/>
  </r>
  <r>
    <x v="1168"/>
    <s v="Male"/>
    <n v="74"/>
    <s v="Yes"/>
    <n v="40"/>
    <x v="3"/>
    <s v="Month-to-month"/>
    <s v="DSL"/>
    <s v="Bank transfer"/>
    <s v="No"/>
    <s v="Yes"/>
    <n v="2"/>
    <n v="43.79"/>
    <n v="1768.52"/>
    <x v="0"/>
  </r>
  <r>
    <x v="1169"/>
    <s v="Male"/>
    <n v="47"/>
    <s v="No"/>
    <n v="61"/>
    <x v="0"/>
    <s v="Month-to-month"/>
    <s v="DSL"/>
    <s v="Electronic check"/>
    <s v="Yes"/>
    <s v="Yes"/>
    <n v="3"/>
    <n v="50.88"/>
    <n v="3278.87"/>
    <x v="0"/>
  </r>
  <r>
    <x v="1170"/>
    <s v="Female"/>
    <n v="38"/>
    <s v="No"/>
    <n v="50"/>
    <x v="0"/>
    <s v="One year"/>
    <s v="No"/>
    <s v="Bank transfer"/>
    <s v="Yes"/>
    <s v="Yes"/>
    <n v="2"/>
    <n v="35.61"/>
    <n v="1789.61"/>
    <x v="0"/>
  </r>
  <r>
    <x v="1171"/>
    <s v="Male"/>
    <n v="37"/>
    <s v="No"/>
    <n v="67"/>
    <x v="0"/>
    <s v="One year"/>
    <s v="No"/>
    <s v="Mailed check"/>
    <s v="Yes"/>
    <s v="No"/>
    <n v="1"/>
    <n v="27.2"/>
    <n v="1958.92"/>
    <x v="0"/>
  </r>
  <r>
    <x v="1172"/>
    <s v="Male"/>
    <n v="23"/>
    <s v="No"/>
    <n v="62"/>
    <x v="0"/>
    <s v="Two year"/>
    <s v="No"/>
    <s v="Bank transfer"/>
    <s v="No"/>
    <s v="No"/>
    <n v="3"/>
    <n v="39.200000000000003"/>
    <n v="2546.69"/>
    <x v="0"/>
  </r>
  <r>
    <x v="1173"/>
    <s v="Male"/>
    <n v="39"/>
    <s v="No"/>
    <n v="58"/>
    <x v="0"/>
    <s v="One year"/>
    <s v="Fiber optic"/>
    <s v="Bank transfer"/>
    <s v="No"/>
    <s v="No"/>
    <n v="6"/>
    <n v="85.29"/>
    <n v="5305.44"/>
    <x v="0"/>
  </r>
  <r>
    <x v="1174"/>
    <s v="Male"/>
    <n v="35"/>
    <s v="No"/>
    <n v="33"/>
    <x v="3"/>
    <s v="Month-to-month"/>
    <s v="No"/>
    <s v="Bank transfer"/>
    <s v="Yes"/>
    <s v="No"/>
    <n v="3"/>
    <n v="42.07"/>
    <n v="1439.73"/>
    <x v="0"/>
  </r>
  <r>
    <x v="1175"/>
    <s v="Male"/>
    <n v="25"/>
    <s v="No"/>
    <n v="16"/>
    <x v="4"/>
    <s v="Month-to-month"/>
    <s v="Fiber optic"/>
    <s v="Credit card"/>
    <s v="No"/>
    <s v="No"/>
    <n v="8"/>
    <n v="94.38"/>
    <n v="1601.32"/>
    <x v="0"/>
  </r>
  <r>
    <x v="1176"/>
    <s v="Male"/>
    <n v="56"/>
    <s v="No"/>
    <n v="48"/>
    <x v="3"/>
    <s v="One year"/>
    <s v="DSL"/>
    <s v="Electronic check"/>
    <s v="No"/>
    <s v="No"/>
    <n v="4"/>
    <n v="50.49"/>
    <n v="2551.87"/>
    <x v="0"/>
  </r>
  <r>
    <x v="1177"/>
    <s v="Female"/>
    <n v="49"/>
    <s v="No"/>
    <n v="10"/>
    <x v="1"/>
    <s v="Month-to-month"/>
    <s v="DSL"/>
    <s v="Mailed check"/>
    <s v="Yes"/>
    <s v="No"/>
    <n v="1"/>
    <n v="44.57"/>
    <n v="428.15"/>
    <x v="0"/>
  </r>
  <r>
    <x v="1178"/>
    <s v="Male"/>
    <n v="50"/>
    <s v="No"/>
    <n v="38"/>
    <x v="3"/>
    <s v="Month-to-month"/>
    <s v="Fiber optic"/>
    <s v="Mailed check"/>
    <s v="Yes"/>
    <s v="No"/>
    <n v="5"/>
    <n v="98.48"/>
    <n v="3580.3"/>
    <x v="0"/>
  </r>
  <r>
    <x v="1179"/>
    <s v="Male"/>
    <n v="70"/>
    <s v="Yes"/>
    <n v="19"/>
    <x v="4"/>
    <s v="Month-to-month"/>
    <s v="No"/>
    <s v="Mailed check"/>
    <s v="No"/>
    <s v="Yes"/>
    <n v="4"/>
    <n v="49.65"/>
    <n v="998.35"/>
    <x v="0"/>
  </r>
  <r>
    <x v="1180"/>
    <s v="Female"/>
    <n v="33"/>
    <s v="No"/>
    <n v="36"/>
    <x v="3"/>
    <s v="Month-to-month"/>
    <s v="Fiber optic"/>
    <s v="Bank transfer"/>
    <s v="No"/>
    <s v="No"/>
    <n v="5"/>
    <n v="74.87"/>
    <n v="2516.21"/>
    <x v="0"/>
  </r>
  <r>
    <x v="1181"/>
    <s v="Female"/>
    <n v="29"/>
    <s v="No"/>
    <n v="59"/>
    <x v="0"/>
    <s v="Month-to-month"/>
    <s v="DSL"/>
    <s v="Mailed check"/>
    <s v="No"/>
    <s v="Yes"/>
    <n v="4"/>
    <n v="71.45"/>
    <n v="4153.88"/>
    <x v="0"/>
  </r>
  <r>
    <x v="1182"/>
    <s v="Female"/>
    <n v="55"/>
    <s v="No"/>
    <n v="63"/>
    <x v="0"/>
    <s v="Month-to-month"/>
    <s v="DSL"/>
    <s v="Mailed check"/>
    <s v="No"/>
    <s v="No"/>
    <n v="2"/>
    <n v="51.96"/>
    <n v="3441.43"/>
    <x v="1"/>
  </r>
  <r>
    <x v="1183"/>
    <s v="Female"/>
    <n v="69"/>
    <s v="Yes"/>
    <n v="46"/>
    <x v="3"/>
    <s v="Month-to-month"/>
    <s v="DSL"/>
    <s v="Mailed check"/>
    <s v="No"/>
    <s v="Yes"/>
    <n v="4"/>
    <n v="55.58"/>
    <n v="2684.82"/>
    <x v="0"/>
  </r>
  <r>
    <x v="1184"/>
    <s v="Female"/>
    <n v="51"/>
    <s v="No"/>
    <n v="3"/>
    <x v="2"/>
    <s v="Month-to-month"/>
    <s v="Fiber optic"/>
    <s v="Credit card"/>
    <s v="Yes"/>
    <s v="No"/>
    <n v="4"/>
    <n v="77.03"/>
    <n v="217.73"/>
    <x v="1"/>
  </r>
  <r>
    <x v="1185"/>
    <s v="Female"/>
    <n v="31"/>
    <s v="No"/>
    <n v="65"/>
    <x v="0"/>
    <s v="One year"/>
    <s v="Fiber optic"/>
    <s v="Credit card"/>
    <s v="No"/>
    <s v="Yes"/>
    <n v="6"/>
    <n v="87.4"/>
    <n v="5669.83"/>
    <x v="0"/>
  </r>
  <r>
    <x v="1186"/>
    <s v="Female"/>
    <n v="53"/>
    <s v="No"/>
    <n v="8"/>
    <x v="1"/>
    <s v="Two year"/>
    <s v="No"/>
    <s v="Electronic check"/>
    <s v="No"/>
    <s v="No"/>
    <n v="2"/>
    <n v="40.590000000000003"/>
    <n v="323.67"/>
    <x v="0"/>
  </r>
  <r>
    <x v="1187"/>
    <s v="Male"/>
    <n v="50"/>
    <s v="No"/>
    <n v="51"/>
    <x v="0"/>
    <s v="Month-to-month"/>
    <s v="Fiber optic"/>
    <s v="Electronic check"/>
    <s v="No"/>
    <s v="No"/>
    <n v="7"/>
    <n v="92.33"/>
    <n v="4576.0200000000004"/>
    <x v="0"/>
  </r>
  <r>
    <x v="1188"/>
    <s v="Male"/>
    <n v="40"/>
    <s v="No"/>
    <n v="6"/>
    <x v="2"/>
    <s v="One year"/>
    <s v="DSL"/>
    <s v="Credit card"/>
    <s v="No"/>
    <s v="Yes"/>
    <n v="7"/>
    <n v="73.33"/>
    <n v="469.35"/>
    <x v="0"/>
  </r>
  <r>
    <x v="1189"/>
    <s v="Female"/>
    <n v="67"/>
    <s v="Yes"/>
    <n v="39"/>
    <x v="3"/>
    <s v="Month-to-month"/>
    <s v="Fiber optic"/>
    <s v="Credit card"/>
    <s v="Yes"/>
    <s v="Yes"/>
    <n v="6"/>
    <n v="95.48"/>
    <n v="3814.95"/>
    <x v="1"/>
  </r>
  <r>
    <x v="1190"/>
    <s v="Male"/>
    <n v="62"/>
    <s v="Yes"/>
    <n v="60"/>
    <x v="0"/>
    <s v="Month-to-month"/>
    <s v="DSL"/>
    <s v="Electronic check"/>
    <s v="No"/>
    <s v="No"/>
    <n v="3"/>
    <n v="52.21"/>
    <n v="3373.28"/>
    <x v="0"/>
  </r>
  <r>
    <x v="1191"/>
    <s v="Male"/>
    <n v="19"/>
    <s v="No"/>
    <n v="28"/>
    <x v="3"/>
    <s v="Two year"/>
    <s v="No"/>
    <s v="Mailed check"/>
    <s v="No"/>
    <s v="No"/>
    <n v="3"/>
    <n v="39.119999999999997"/>
    <n v="1019.43"/>
    <x v="0"/>
  </r>
  <r>
    <x v="1192"/>
    <s v="Male"/>
    <n v="58"/>
    <s v="No"/>
    <n v="54"/>
    <x v="0"/>
    <s v="One year"/>
    <s v="DSL"/>
    <s v="Credit card"/>
    <s v="No"/>
    <s v="No"/>
    <n v="5"/>
    <n v="66.069999999999993"/>
    <n v="3507.47"/>
    <x v="0"/>
  </r>
  <r>
    <x v="1193"/>
    <s v="Female"/>
    <n v="38"/>
    <s v="No"/>
    <n v="37"/>
    <x v="3"/>
    <s v="Two year"/>
    <s v="DSL"/>
    <s v="Bank transfer"/>
    <s v="Yes"/>
    <s v="Yes"/>
    <n v="4"/>
    <n v="59.94"/>
    <n v="2336.6999999999998"/>
    <x v="0"/>
  </r>
  <r>
    <x v="1194"/>
    <s v="Female"/>
    <n v="19"/>
    <s v="No"/>
    <n v="9"/>
    <x v="1"/>
    <s v="Month-to-month"/>
    <s v="Fiber optic"/>
    <s v="Electronic check"/>
    <s v="No"/>
    <s v="No"/>
    <n v="2"/>
    <n v="74.489999999999995"/>
    <n v="662.12"/>
    <x v="1"/>
  </r>
  <r>
    <x v="1195"/>
    <s v="Male"/>
    <n v="44"/>
    <s v="No"/>
    <n v="56"/>
    <x v="0"/>
    <s v="Month-to-month"/>
    <s v="DSL"/>
    <s v="Bank transfer"/>
    <s v="Yes"/>
    <s v="No"/>
    <n v="5"/>
    <n v="58.16"/>
    <n v="3132.87"/>
    <x v="0"/>
  </r>
  <r>
    <x v="1196"/>
    <s v="Female"/>
    <n v="74"/>
    <s v="Yes"/>
    <n v="59"/>
    <x v="0"/>
    <s v="Two year"/>
    <s v="Fiber optic"/>
    <s v="Credit card"/>
    <s v="Yes"/>
    <s v="Yes"/>
    <n v="4"/>
    <n v="85.86"/>
    <n v="5469.22"/>
    <x v="0"/>
  </r>
  <r>
    <x v="1197"/>
    <s v="Male"/>
    <n v="26"/>
    <s v="No"/>
    <n v="2"/>
    <x v="2"/>
    <s v="Month-to-month"/>
    <s v="Fiber optic"/>
    <s v="Credit card"/>
    <s v="Yes"/>
    <s v="Yes"/>
    <n v="4"/>
    <n v="75.12"/>
    <n v="159.21"/>
    <x v="1"/>
  </r>
  <r>
    <x v="1198"/>
    <s v="Male"/>
    <n v="18"/>
    <s v="No"/>
    <n v="61"/>
    <x v="0"/>
    <s v="Month-to-month"/>
    <s v="Fiber optic"/>
    <s v="Bank transfer"/>
    <s v="No"/>
    <s v="No"/>
    <n v="2"/>
    <n v="74.180000000000007"/>
    <n v="4558.63"/>
    <x v="0"/>
  </r>
  <r>
    <x v="1199"/>
    <s v="Male"/>
    <n v="28"/>
    <s v="No"/>
    <n v="58"/>
    <x v="0"/>
    <s v="One year"/>
    <s v="DSL"/>
    <s v="Bank transfer"/>
    <s v="Yes"/>
    <s v="No"/>
    <n v="4"/>
    <n v="60.47"/>
    <n v="3541.89"/>
    <x v="0"/>
  </r>
  <r>
    <x v="1200"/>
    <s v="Male"/>
    <n v="20"/>
    <s v="No"/>
    <n v="60"/>
    <x v="0"/>
    <s v="Two year"/>
    <s v="DSL"/>
    <s v="Electronic check"/>
    <s v="No"/>
    <s v="Yes"/>
    <n v="2"/>
    <n v="46.19"/>
    <n v="2552.73"/>
    <x v="0"/>
  </r>
  <r>
    <x v="1201"/>
    <s v="Female"/>
    <n v="69"/>
    <s v="Yes"/>
    <n v="40"/>
    <x v="3"/>
    <s v="Two year"/>
    <s v="Fiber optic"/>
    <s v="Credit card"/>
    <s v="Yes"/>
    <s v="No"/>
    <n v="3"/>
    <n v="86.36"/>
    <n v="3720.25"/>
    <x v="0"/>
  </r>
  <r>
    <x v="1202"/>
    <s v="Female"/>
    <n v="40"/>
    <s v="No"/>
    <n v="36"/>
    <x v="3"/>
    <s v="Month-to-month"/>
    <s v="Fiber optic"/>
    <s v="Electronic check"/>
    <s v="Yes"/>
    <s v="Yes"/>
    <n v="3"/>
    <n v="87.02"/>
    <n v="3286.25"/>
    <x v="1"/>
  </r>
  <r>
    <x v="1203"/>
    <s v="Female"/>
    <n v="43"/>
    <s v="No"/>
    <n v="37"/>
    <x v="3"/>
    <s v="Two year"/>
    <s v="Fiber optic"/>
    <s v="Credit card"/>
    <s v="No"/>
    <s v="No"/>
    <n v="2"/>
    <n v="64.55"/>
    <n v="2211.3200000000002"/>
    <x v="1"/>
  </r>
  <r>
    <x v="1204"/>
    <s v="Male"/>
    <n v="21"/>
    <s v="No"/>
    <n v="18"/>
    <x v="4"/>
    <s v="Month-to-month"/>
    <s v="No"/>
    <s v="Mailed check"/>
    <s v="Yes"/>
    <s v="No"/>
    <n v="2"/>
    <n v="38.6"/>
    <n v="658.82"/>
    <x v="0"/>
  </r>
  <r>
    <x v="1205"/>
    <s v="Female"/>
    <n v="35"/>
    <s v="No"/>
    <n v="63"/>
    <x v="0"/>
    <s v="Month-to-month"/>
    <s v="DSL"/>
    <s v="Credit card"/>
    <s v="No"/>
    <s v="Yes"/>
    <n v="2"/>
    <n v="50.14"/>
    <n v="3321.07"/>
    <x v="0"/>
  </r>
  <r>
    <x v="1206"/>
    <s v="Male"/>
    <n v="72"/>
    <s v="Yes"/>
    <n v="22"/>
    <x v="4"/>
    <s v="One year"/>
    <s v="Fiber optic"/>
    <s v="Electronic check"/>
    <s v="No"/>
    <s v="No"/>
    <n v="2"/>
    <n v="66.28"/>
    <n v="1361.77"/>
    <x v="0"/>
  </r>
  <r>
    <x v="1207"/>
    <s v="Female"/>
    <n v="23"/>
    <s v="No"/>
    <n v="11"/>
    <x v="1"/>
    <s v="Month-to-month"/>
    <s v="Fiber optic"/>
    <s v="Mailed check"/>
    <s v="No"/>
    <s v="No"/>
    <n v="5"/>
    <n v="85.58"/>
    <n v="1007.92"/>
    <x v="0"/>
  </r>
  <r>
    <x v="1208"/>
    <s v="Male"/>
    <n v="52"/>
    <s v="No"/>
    <n v="58"/>
    <x v="0"/>
    <s v="Month-to-month"/>
    <s v="No"/>
    <s v="Electronic check"/>
    <s v="No"/>
    <s v="No"/>
    <n v="1"/>
    <n v="34.840000000000003"/>
    <n v="2182.34"/>
    <x v="0"/>
  </r>
  <r>
    <x v="1209"/>
    <s v="Male"/>
    <n v="39"/>
    <s v="No"/>
    <n v="57"/>
    <x v="0"/>
    <s v="One year"/>
    <s v="Fiber optic"/>
    <s v="Bank transfer"/>
    <s v="No"/>
    <s v="Yes"/>
    <n v="6"/>
    <n v="88.13"/>
    <n v="5334"/>
    <x v="0"/>
  </r>
  <r>
    <x v="1210"/>
    <s v="Male"/>
    <n v="60"/>
    <s v="Yes"/>
    <n v="4"/>
    <x v="2"/>
    <s v="Month-to-month"/>
    <s v="No"/>
    <s v="Credit card"/>
    <s v="No"/>
    <s v="Yes"/>
    <n v="2"/>
    <n v="30.46"/>
    <n v="126.5"/>
    <x v="0"/>
  </r>
  <r>
    <x v="1211"/>
    <s v="Female"/>
    <n v="32"/>
    <s v="No"/>
    <n v="7"/>
    <x v="1"/>
    <s v="Month-to-month"/>
    <s v="Fiber optic"/>
    <s v="Bank transfer"/>
    <s v="Yes"/>
    <s v="No"/>
    <n v="4"/>
    <n v="88.31"/>
    <n v="616.91"/>
    <x v="1"/>
  </r>
  <r>
    <x v="1212"/>
    <s v="Female"/>
    <n v="39"/>
    <s v="No"/>
    <n v="61"/>
    <x v="0"/>
    <s v="Month-to-month"/>
    <s v="No"/>
    <s v="Bank transfer"/>
    <s v="No"/>
    <s v="Yes"/>
    <n v="3"/>
    <n v="46.56"/>
    <n v="2650.41"/>
    <x v="0"/>
  </r>
  <r>
    <x v="1213"/>
    <s v="Female"/>
    <n v="54"/>
    <s v="No"/>
    <n v="54"/>
    <x v="0"/>
    <s v="Month-to-month"/>
    <s v="No"/>
    <s v="Electronic check"/>
    <s v="No"/>
    <s v="No"/>
    <n v="1"/>
    <n v="24.22"/>
    <n v="1356.1"/>
    <x v="0"/>
  </r>
  <r>
    <x v="1214"/>
    <s v="Female"/>
    <n v="69"/>
    <s v="Yes"/>
    <n v="68"/>
    <x v="0"/>
    <s v="Month-to-month"/>
    <s v="DSL"/>
    <s v="Credit card"/>
    <s v="Yes"/>
    <s v="Yes"/>
    <n v="5"/>
    <n v="63.64"/>
    <n v="4256.1099999999997"/>
    <x v="0"/>
  </r>
  <r>
    <x v="1215"/>
    <s v="Male"/>
    <n v="59"/>
    <s v="No"/>
    <n v="1"/>
    <x v="2"/>
    <s v="One year"/>
    <s v="Fiber optic"/>
    <s v="Bank transfer"/>
    <s v="Yes"/>
    <s v="No"/>
    <n v="4"/>
    <n v="67.95"/>
    <n v="68.709999999999994"/>
    <x v="1"/>
  </r>
  <r>
    <x v="1216"/>
    <s v="Female"/>
    <n v="29"/>
    <s v="No"/>
    <n v="55"/>
    <x v="0"/>
    <s v="One year"/>
    <s v="Fiber optic"/>
    <s v="Bank transfer"/>
    <s v="Yes"/>
    <s v="Yes"/>
    <n v="2"/>
    <n v="76.849999999999994"/>
    <n v="4087.02"/>
    <x v="0"/>
  </r>
  <r>
    <x v="1217"/>
    <s v="Female"/>
    <n v="64"/>
    <s v="Yes"/>
    <n v="3"/>
    <x v="2"/>
    <s v="Month-to-month"/>
    <s v="Fiber optic"/>
    <s v="Credit card"/>
    <s v="No"/>
    <s v="No"/>
    <n v="3"/>
    <n v="84.29"/>
    <n v="242.44"/>
    <x v="1"/>
  </r>
  <r>
    <x v="1218"/>
    <s v="Male"/>
    <n v="66"/>
    <s v="Yes"/>
    <n v="38"/>
    <x v="3"/>
    <s v="Two year"/>
    <s v="DSL"/>
    <s v="Bank transfer"/>
    <s v="No"/>
    <s v="No"/>
    <n v="2"/>
    <n v="53.73"/>
    <n v="1984.34"/>
    <x v="0"/>
  </r>
  <r>
    <x v="1219"/>
    <s v="Male"/>
    <n v="59"/>
    <s v="No"/>
    <n v="1"/>
    <x v="2"/>
    <s v="Month-to-month"/>
    <s v="Fiber optic"/>
    <s v="Mailed check"/>
    <s v="No"/>
    <s v="Yes"/>
    <n v="4"/>
    <n v="71.75"/>
    <n v="75.349999999999994"/>
    <x v="0"/>
  </r>
  <r>
    <x v="1220"/>
    <s v="Male"/>
    <n v="55"/>
    <s v="No"/>
    <n v="38"/>
    <x v="3"/>
    <s v="Month-to-month"/>
    <s v="Fiber optic"/>
    <s v="Bank transfer"/>
    <s v="No"/>
    <s v="No"/>
    <n v="4"/>
    <n v="90.31"/>
    <n v="3391.42"/>
    <x v="0"/>
  </r>
  <r>
    <x v="1221"/>
    <s v="Female"/>
    <n v="35"/>
    <s v="No"/>
    <n v="29"/>
    <x v="3"/>
    <s v="Two year"/>
    <s v="DSL"/>
    <s v="Bank transfer"/>
    <s v="No"/>
    <s v="No"/>
    <n v="3"/>
    <n v="69.209999999999994"/>
    <n v="1946.62"/>
    <x v="0"/>
  </r>
  <r>
    <x v="1222"/>
    <s v="Male"/>
    <n v="62"/>
    <s v="Yes"/>
    <n v="5"/>
    <x v="2"/>
    <s v="Month-to-month"/>
    <s v="DSL"/>
    <s v="Credit card"/>
    <s v="No"/>
    <s v="Yes"/>
    <n v="5"/>
    <n v="59.98"/>
    <n v="296.68"/>
    <x v="1"/>
  </r>
  <r>
    <x v="1223"/>
    <s v="Male"/>
    <n v="52"/>
    <s v="No"/>
    <n v="21"/>
    <x v="4"/>
    <s v="Two year"/>
    <s v="Fiber optic"/>
    <s v="Credit card"/>
    <s v="Yes"/>
    <s v="No"/>
    <n v="6"/>
    <n v="90.12"/>
    <n v="1750.9"/>
    <x v="0"/>
  </r>
  <r>
    <x v="1224"/>
    <s v="Male"/>
    <n v="47"/>
    <s v="No"/>
    <n v="71"/>
    <x v="0"/>
    <s v="Month-to-month"/>
    <s v="Fiber optic"/>
    <s v="Electronic check"/>
    <s v="No"/>
    <s v="No"/>
    <n v="1"/>
    <n v="72.72"/>
    <n v="5485.8"/>
    <x v="0"/>
  </r>
  <r>
    <x v="1225"/>
    <s v="Female"/>
    <n v="41"/>
    <s v="No"/>
    <n v="67"/>
    <x v="0"/>
    <s v="One year"/>
    <s v="No"/>
    <s v="Mailed check"/>
    <s v="No"/>
    <s v="Yes"/>
    <n v="2"/>
    <n v="38.51"/>
    <n v="2601.54"/>
    <x v="0"/>
  </r>
  <r>
    <x v="1226"/>
    <s v="Male"/>
    <n v="59"/>
    <s v="No"/>
    <n v="47"/>
    <x v="3"/>
    <s v="Month-to-month"/>
    <s v="DSL"/>
    <s v="Electronic check"/>
    <s v="No"/>
    <s v="Yes"/>
    <n v="4"/>
    <n v="59.34"/>
    <n v="2612.64"/>
    <x v="0"/>
  </r>
  <r>
    <x v="1227"/>
    <s v="Female"/>
    <n v="47"/>
    <s v="No"/>
    <n v="35"/>
    <x v="3"/>
    <s v="Month-to-month"/>
    <s v="DSL"/>
    <s v="Electronic check"/>
    <s v="No"/>
    <s v="No"/>
    <n v="5"/>
    <n v="75.59"/>
    <n v="2556.08"/>
    <x v="0"/>
  </r>
  <r>
    <x v="1228"/>
    <s v="Female"/>
    <n v="31"/>
    <s v="No"/>
    <n v="68"/>
    <x v="0"/>
    <s v="Month-to-month"/>
    <s v="DSL"/>
    <s v="Bank transfer"/>
    <s v="No"/>
    <s v="No"/>
    <n v="4"/>
    <n v="48.04"/>
    <n v="3519.46"/>
    <x v="0"/>
  </r>
  <r>
    <x v="1229"/>
    <s v="Male"/>
    <n v="23"/>
    <s v="No"/>
    <n v="69"/>
    <x v="0"/>
    <s v="One year"/>
    <s v="Fiber optic"/>
    <s v="Credit card"/>
    <s v="Yes"/>
    <s v="No"/>
    <n v="3"/>
    <n v="64.13"/>
    <n v="4490.8500000000004"/>
    <x v="0"/>
  </r>
  <r>
    <x v="1230"/>
    <s v="Male"/>
    <n v="20"/>
    <s v="No"/>
    <n v="1"/>
    <x v="2"/>
    <s v="Month-to-month"/>
    <s v="Fiber optic"/>
    <s v="Electronic check"/>
    <s v="No"/>
    <s v="Yes"/>
    <n v="2"/>
    <n v="70.89"/>
    <n v="68.52"/>
    <x v="1"/>
  </r>
  <r>
    <x v="1231"/>
    <s v="Female"/>
    <n v="33"/>
    <s v="No"/>
    <n v="68"/>
    <x v="0"/>
    <s v="Two year"/>
    <s v="Fiber optic"/>
    <s v="Mailed check"/>
    <s v="No"/>
    <s v="No"/>
    <n v="2"/>
    <n v="83.2"/>
    <n v="5590.93"/>
    <x v="0"/>
  </r>
  <r>
    <x v="1232"/>
    <s v="Male"/>
    <n v="24"/>
    <s v="No"/>
    <n v="12"/>
    <x v="1"/>
    <s v="Month-to-month"/>
    <s v="No"/>
    <s v="Credit card"/>
    <s v="No"/>
    <s v="Yes"/>
    <n v="5"/>
    <n v="53.12"/>
    <n v="612.80999999999995"/>
    <x v="0"/>
  </r>
  <r>
    <x v="1233"/>
    <s v="Male"/>
    <n v="69"/>
    <s v="Yes"/>
    <n v="60"/>
    <x v="0"/>
    <s v="Month-to-month"/>
    <s v="DSL"/>
    <s v="Credit card"/>
    <s v="Yes"/>
    <s v="No"/>
    <n v="7"/>
    <n v="60.55"/>
    <n v="3360.85"/>
    <x v="1"/>
  </r>
  <r>
    <x v="1234"/>
    <s v="Female"/>
    <n v="31"/>
    <s v="No"/>
    <n v="27"/>
    <x v="3"/>
    <s v="Month-to-month"/>
    <s v="Fiber optic"/>
    <s v="Mailed check"/>
    <s v="Yes"/>
    <s v="Yes"/>
    <n v="3"/>
    <n v="94.9"/>
    <n v="2702.52"/>
    <x v="1"/>
  </r>
  <r>
    <x v="1235"/>
    <s v="Female"/>
    <n v="26"/>
    <s v="No"/>
    <n v="56"/>
    <x v="0"/>
    <s v="One year"/>
    <s v="No"/>
    <s v="Credit card"/>
    <s v="No"/>
    <s v="No"/>
    <n v="4"/>
    <n v="44.88"/>
    <n v="2429.83"/>
    <x v="0"/>
  </r>
  <r>
    <x v="1236"/>
    <s v="Male"/>
    <n v="32"/>
    <s v="No"/>
    <n v="23"/>
    <x v="4"/>
    <s v="Two year"/>
    <s v="Fiber optic"/>
    <s v="Bank transfer"/>
    <s v="Yes"/>
    <s v="No"/>
    <n v="5"/>
    <n v="74.930000000000007"/>
    <n v="1816.7"/>
    <x v="1"/>
  </r>
  <r>
    <x v="1237"/>
    <s v="Female"/>
    <n v="38"/>
    <s v="No"/>
    <n v="25"/>
    <x v="3"/>
    <s v="Month-to-month"/>
    <s v="No"/>
    <s v="Electronic check"/>
    <s v="Yes"/>
    <s v="No"/>
    <n v="1"/>
    <n v="28.36"/>
    <n v="706.57"/>
    <x v="1"/>
  </r>
  <r>
    <x v="1238"/>
    <s v="Male"/>
    <n v="52"/>
    <s v="No"/>
    <n v="21"/>
    <x v="4"/>
    <s v="One year"/>
    <s v="No"/>
    <s v="Electronic check"/>
    <s v="No"/>
    <s v="No"/>
    <n v="5"/>
    <n v="51.77"/>
    <n v="1032.01"/>
    <x v="0"/>
  </r>
  <r>
    <x v="1239"/>
    <s v="Male"/>
    <n v="19"/>
    <s v="No"/>
    <n v="61"/>
    <x v="0"/>
    <s v="Month-to-month"/>
    <s v="Fiber optic"/>
    <s v="Electronic check"/>
    <s v="No"/>
    <s v="No"/>
    <n v="5"/>
    <n v="91.77"/>
    <n v="5868.35"/>
    <x v="1"/>
  </r>
  <r>
    <x v="1240"/>
    <s v="Male"/>
    <n v="44"/>
    <s v="No"/>
    <n v="63"/>
    <x v="0"/>
    <s v="One year"/>
    <s v="Fiber optic"/>
    <s v="Mailed check"/>
    <s v="No"/>
    <s v="No"/>
    <n v="1"/>
    <n v="66.540000000000006"/>
    <n v="4109.6000000000004"/>
    <x v="0"/>
  </r>
  <r>
    <x v="1241"/>
    <s v="Female"/>
    <n v="19"/>
    <s v="No"/>
    <n v="52"/>
    <x v="0"/>
    <s v="Two year"/>
    <s v="DSL"/>
    <s v="Credit card"/>
    <s v="No"/>
    <s v="No"/>
    <n v="6"/>
    <n v="70.66"/>
    <n v="3796.44"/>
    <x v="0"/>
  </r>
  <r>
    <x v="1242"/>
    <s v="Male"/>
    <n v="52"/>
    <s v="No"/>
    <n v="25"/>
    <x v="3"/>
    <s v="Month-to-month"/>
    <s v="DSL"/>
    <s v="Credit card"/>
    <s v="No"/>
    <s v="Yes"/>
    <n v="5"/>
    <n v="62.13"/>
    <n v="1637.06"/>
    <x v="0"/>
  </r>
  <r>
    <x v="1243"/>
    <s v="Male"/>
    <n v="35"/>
    <s v="No"/>
    <n v="55"/>
    <x v="0"/>
    <s v="Month-to-month"/>
    <s v="DSL"/>
    <s v="Mailed check"/>
    <s v="Yes"/>
    <s v="No"/>
    <n v="1"/>
    <n v="46.54"/>
    <n v="2749.32"/>
    <x v="0"/>
  </r>
  <r>
    <x v="1244"/>
    <s v="Male"/>
    <n v="31"/>
    <s v="No"/>
    <n v="46"/>
    <x v="3"/>
    <s v="Two year"/>
    <s v="No"/>
    <s v="Mailed check"/>
    <s v="No"/>
    <s v="No"/>
    <n v="4"/>
    <n v="46.07"/>
    <n v="1978.78"/>
    <x v="0"/>
  </r>
  <r>
    <x v="1245"/>
    <s v="Female"/>
    <n v="37"/>
    <s v="No"/>
    <n v="32"/>
    <x v="3"/>
    <s v="Two year"/>
    <s v="DSL"/>
    <s v="Electronic check"/>
    <s v="No"/>
    <s v="Yes"/>
    <n v="2"/>
    <n v="61.09"/>
    <n v="1801.11"/>
    <x v="0"/>
  </r>
  <r>
    <x v="1246"/>
    <s v="Female"/>
    <n v="35"/>
    <s v="No"/>
    <n v="55"/>
    <x v="0"/>
    <s v="One year"/>
    <s v="Fiber optic"/>
    <s v="Bank transfer"/>
    <s v="No"/>
    <s v="Yes"/>
    <n v="4"/>
    <n v="71.040000000000006"/>
    <n v="3937.47"/>
    <x v="0"/>
  </r>
  <r>
    <x v="1247"/>
    <s v="Female"/>
    <n v="27"/>
    <s v="No"/>
    <n v="5"/>
    <x v="2"/>
    <s v="Month-to-month"/>
    <s v="Fiber optic"/>
    <s v="Credit card"/>
    <s v="No"/>
    <s v="Yes"/>
    <n v="3"/>
    <n v="73.37"/>
    <n v="353.01"/>
    <x v="1"/>
  </r>
  <r>
    <x v="1248"/>
    <s v="Female"/>
    <n v="42"/>
    <s v="No"/>
    <n v="36"/>
    <x v="3"/>
    <s v="Month-to-month"/>
    <s v="DSL"/>
    <s v="Electronic check"/>
    <s v="No"/>
    <s v="Yes"/>
    <n v="3"/>
    <n v="50.79"/>
    <n v="1819.4"/>
    <x v="1"/>
  </r>
  <r>
    <x v="1249"/>
    <s v="Female"/>
    <n v="19"/>
    <s v="No"/>
    <n v="49"/>
    <x v="0"/>
    <s v="Month-to-month"/>
    <s v="Fiber optic"/>
    <s v="Electronic check"/>
    <s v="No"/>
    <s v="No"/>
    <n v="5"/>
    <n v="75.94"/>
    <n v="3466.63"/>
    <x v="0"/>
  </r>
  <r>
    <x v="1250"/>
    <s v="Male"/>
    <n v="42"/>
    <s v="No"/>
    <n v="58"/>
    <x v="0"/>
    <s v="Two year"/>
    <s v="DSL"/>
    <s v="Bank transfer"/>
    <s v="Yes"/>
    <s v="No"/>
    <n v="2"/>
    <n v="43.59"/>
    <n v="2528.86"/>
    <x v="0"/>
  </r>
  <r>
    <x v="1251"/>
    <s v="Female"/>
    <n v="71"/>
    <s v="Yes"/>
    <n v="39"/>
    <x v="3"/>
    <s v="One year"/>
    <s v="Fiber optic"/>
    <s v="Bank transfer"/>
    <s v="No"/>
    <s v="No"/>
    <n v="5"/>
    <n v="83.17"/>
    <n v="3048.94"/>
    <x v="0"/>
  </r>
  <r>
    <x v="1252"/>
    <s v="Female"/>
    <n v="50"/>
    <s v="No"/>
    <n v="61"/>
    <x v="0"/>
    <s v="Month-to-month"/>
    <s v="Fiber optic"/>
    <s v="Mailed check"/>
    <s v="No"/>
    <s v="Yes"/>
    <n v="4"/>
    <n v="71.489999999999995"/>
    <n v="4597.1400000000003"/>
    <x v="0"/>
  </r>
  <r>
    <x v="1253"/>
    <s v="Female"/>
    <n v="53"/>
    <s v="No"/>
    <n v="9"/>
    <x v="1"/>
    <s v="Month-to-month"/>
    <s v="Fiber optic"/>
    <s v="Bank transfer"/>
    <s v="No"/>
    <s v="No"/>
    <n v="6"/>
    <n v="79.25"/>
    <n v="742.86"/>
    <x v="0"/>
  </r>
  <r>
    <x v="1254"/>
    <s v="Male"/>
    <n v="48"/>
    <s v="No"/>
    <n v="6"/>
    <x v="2"/>
    <s v="Month-to-month"/>
    <s v="DSL"/>
    <s v="Bank transfer"/>
    <s v="No"/>
    <s v="No"/>
    <n v="3"/>
    <n v="53.74"/>
    <n v="300.47000000000003"/>
    <x v="1"/>
  </r>
  <r>
    <x v="1255"/>
    <s v="Female"/>
    <n v="31"/>
    <s v="No"/>
    <n v="35"/>
    <x v="3"/>
    <s v="Month-to-month"/>
    <s v="Fiber optic"/>
    <s v="Electronic check"/>
    <s v="Yes"/>
    <s v="No"/>
    <n v="4"/>
    <n v="72.14"/>
    <n v="2660.78"/>
    <x v="0"/>
  </r>
  <r>
    <x v="1256"/>
    <s v="Female"/>
    <n v="18"/>
    <s v="No"/>
    <n v="39"/>
    <x v="3"/>
    <s v="Month-to-month"/>
    <s v="DSL"/>
    <s v="Mailed check"/>
    <s v="No"/>
    <s v="Yes"/>
    <n v="3"/>
    <n v="58.56"/>
    <n v="2219.88"/>
    <x v="0"/>
  </r>
  <r>
    <x v="1257"/>
    <s v="Male"/>
    <n v="63"/>
    <s v="Yes"/>
    <n v="22"/>
    <x v="4"/>
    <s v="Month-to-month"/>
    <s v="DSL"/>
    <s v="Mailed check"/>
    <s v="No"/>
    <s v="No"/>
    <n v="8"/>
    <n v="71.650000000000006"/>
    <n v="1539.19"/>
    <x v="0"/>
  </r>
  <r>
    <x v="1258"/>
    <s v="Female"/>
    <n v="33"/>
    <s v="No"/>
    <n v="41"/>
    <x v="3"/>
    <s v="Month-to-month"/>
    <s v="DSL"/>
    <s v="Credit card"/>
    <s v="No"/>
    <s v="No"/>
    <n v="3"/>
    <n v="46.64"/>
    <n v="1814.27"/>
    <x v="0"/>
  </r>
  <r>
    <x v="1259"/>
    <s v="Male"/>
    <n v="71"/>
    <s v="Yes"/>
    <n v="5"/>
    <x v="2"/>
    <s v="Month-to-month"/>
    <s v="DSL"/>
    <s v="Credit card"/>
    <s v="Yes"/>
    <s v="No"/>
    <n v="4"/>
    <n v="75.28"/>
    <n v="396.59"/>
    <x v="0"/>
  </r>
  <r>
    <x v="1260"/>
    <s v="Male"/>
    <n v="63"/>
    <s v="Yes"/>
    <n v="42"/>
    <x v="3"/>
    <s v="Month-to-month"/>
    <s v="Fiber optic"/>
    <s v="Credit card"/>
    <s v="No"/>
    <s v="No"/>
    <n v="5"/>
    <n v="68.069999999999993"/>
    <n v="2815.35"/>
    <x v="0"/>
  </r>
  <r>
    <x v="1261"/>
    <s v="Male"/>
    <n v="69"/>
    <s v="Yes"/>
    <n v="67"/>
    <x v="0"/>
    <s v="Month-to-month"/>
    <s v="DSL"/>
    <s v="Bank transfer"/>
    <s v="No"/>
    <s v="Yes"/>
    <n v="3"/>
    <n v="60.99"/>
    <n v="3791.35"/>
    <x v="0"/>
  </r>
  <r>
    <x v="1262"/>
    <s v="Male"/>
    <n v="20"/>
    <s v="No"/>
    <n v="30"/>
    <x v="3"/>
    <s v="Month-to-month"/>
    <s v="Fiber optic"/>
    <s v="Bank transfer"/>
    <s v="No"/>
    <s v="No"/>
    <n v="3"/>
    <n v="77.42"/>
    <n v="2495.87"/>
    <x v="0"/>
  </r>
  <r>
    <x v="1263"/>
    <s v="Male"/>
    <n v="52"/>
    <s v="No"/>
    <n v="57"/>
    <x v="0"/>
    <s v="Month-to-month"/>
    <s v="DSL"/>
    <s v="Bank transfer"/>
    <s v="No"/>
    <s v="No"/>
    <n v="4"/>
    <n v="55.61"/>
    <n v="3045.96"/>
    <x v="0"/>
  </r>
  <r>
    <x v="1264"/>
    <s v="Female"/>
    <n v="58"/>
    <s v="No"/>
    <n v="29"/>
    <x v="3"/>
    <s v="Month-to-month"/>
    <s v="Fiber optic"/>
    <s v="Credit card"/>
    <s v="No"/>
    <s v="No"/>
    <n v="2"/>
    <n v="64.650000000000006"/>
    <n v="2005.69"/>
    <x v="0"/>
  </r>
  <r>
    <x v="1265"/>
    <s v="Male"/>
    <n v="23"/>
    <s v="No"/>
    <n v="37"/>
    <x v="3"/>
    <s v="Month-to-month"/>
    <s v="DSL"/>
    <s v="Electronic check"/>
    <s v="No"/>
    <s v="No"/>
    <n v="6"/>
    <n v="79.099999999999994"/>
    <n v="2833.63"/>
    <x v="1"/>
  </r>
  <r>
    <x v="1266"/>
    <s v="Male"/>
    <n v="42"/>
    <s v="No"/>
    <n v="13"/>
    <x v="4"/>
    <s v="Month-to-month"/>
    <s v="No"/>
    <s v="Bank transfer"/>
    <s v="No"/>
    <s v="No"/>
    <n v="3"/>
    <n v="51.87"/>
    <n v="710.07"/>
    <x v="1"/>
  </r>
  <r>
    <x v="1267"/>
    <s v="Female"/>
    <n v="30"/>
    <s v="No"/>
    <n v="32"/>
    <x v="3"/>
    <s v="One year"/>
    <s v="DSL"/>
    <s v="Bank transfer"/>
    <s v="No"/>
    <s v="No"/>
    <n v="7"/>
    <n v="68.95"/>
    <n v="2264.37"/>
    <x v="0"/>
  </r>
  <r>
    <x v="1268"/>
    <s v="Male"/>
    <n v="70"/>
    <s v="Yes"/>
    <n v="46"/>
    <x v="3"/>
    <s v="Two year"/>
    <s v="DSL"/>
    <s v="Bank transfer"/>
    <s v="No"/>
    <s v="Yes"/>
    <n v="7"/>
    <n v="67.930000000000007"/>
    <n v="3305.41"/>
    <x v="0"/>
  </r>
  <r>
    <x v="1269"/>
    <s v="Female"/>
    <n v="51"/>
    <s v="No"/>
    <n v="23"/>
    <x v="4"/>
    <s v="One year"/>
    <s v="DSL"/>
    <s v="Electronic check"/>
    <s v="No"/>
    <s v="Yes"/>
    <n v="5"/>
    <n v="70.900000000000006"/>
    <n v="1754.92"/>
    <x v="0"/>
  </r>
  <r>
    <x v="1270"/>
    <s v="Female"/>
    <n v="25"/>
    <s v="No"/>
    <n v="45"/>
    <x v="3"/>
    <s v="Month-to-month"/>
    <s v="Fiber optic"/>
    <s v="Bank transfer"/>
    <s v="No"/>
    <s v="No"/>
    <n v="4"/>
    <n v="77.28"/>
    <n v="3684.3"/>
    <x v="0"/>
  </r>
  <r>
    <x v="1271"/>
    <s v="Female"/>
    <n v="38"/>
    <s v="No"/>
    <n v="17"/>
    <x v="4"/>
    <s v="Two year"/>
    <s v="No"/>
    <s v="Credit card"/>
    <s v="No"/>
    <s v="No"/>
    <n v="1"/>
    <n v="33.08"/>
    <n v="553.69000000000005"/>
    <x v="1"/>
  </r>
  <r>
    <x v="1272"/>
    <s v="Male"/>
    <n v="51"/>
    <s v="No"/>
    <n v="66"/>
    <x v="0"/>
    <s v="One year"/>
    <s v="Fiber optic"/>
    <s v="Mailed check"/>
    <s v="Yes"/>
    <s v="No"/>
    <n v="3"/>
    <n v="78.91"/>
    <n v="5470.13"/>
    <x v="0"/>
  </r>
  <r>
    <x v="1273"/>
    <s v="Male"/>
    <n v="21"/>
    <s v="No"/>
    <n v="6"/>
    <x v="2"/>
    <s v="Month-to-month"/>
    <s v="No"/>
    <s v="Credit card"/>
    <s v="No"/>
    <s v="No"/>
    <n v="5"/>
    <n v="45.26"/>
    <n v="280.76"/>
    <x v="0"/>
  </r>
  <r>
    <x v="1274"/>
    <s v="Male"/>
    <n v="42"/>
    <s v="No"/>
    <n v="18"/>
    <x v="4"/>
    <s v="Month-to-month"/>
    <s v="DSL"/>
    <s v="Mailed check"/>
    <s v="No"/>
    <s v="Yes"/>
    <n v="4"/>
    <n v="60.16"/>
    <n v="1006.92"/>
    <x v="0"/>
  </r>
  <r>
    <x v="1275"/>
    <s v="Female"/>
    <n v="32"/>
    <s v="No"/>
    <n v="22"/>
    <x v="4"/>
    <s v="Two year"/>
    <s v="DSL"/>
    <s v="Credit card"/>
    <s v="No"/>
    <s v="No"/>
    <n v="6"/>
    <n v="69.59"/>
    <n v="1636.25"/>
    <x v="0"/>
  </r>
  <r>
    <x v="1276"/>
    <s v="Male"/>
    <n v="21"/>
    <s v="No"/>
    <n v="33"/>
    <x v="3"/>
    <s v="Month-to-month"/>
    <s v="DSL"/>
    <s v="Bank transfer"/>
    <s v="Yes"/>
    <s v="No"/>
    <n v="4"/>
    <n v="51.38"/>
    <n v="1686.31"/>
    <x v="0"/>
  </r>
  <r>
    <x v="1277"/>
    <s v="Male"/>
    <n v="62"/>
    <s v="Yes"/>
    <n v="30"/>
    <x v="3"/>
    <s v="Month-to-month"/>
    <s v="DSL"/>
    <s v="Bank transfer"/>
    <s v="Yes"/>
    <s v="Yes"/>
    <n v="6"/>
    <n v="62.24"/>
    <n v="1757.99"/>
    <x v="0"/>
  </r>
  <r>
    <x v="1278"/>
    <s v="Male"/>
    <n v="29"/>
    <s v="No"/>
    <n v="32"/>
    <x v="3"/>
    <s v="One year"/>
    <s v="DSL"/>
    <s v="Electronic check"/>
    <s v="Yes"/>
    <s v="No"/>
    <n v="3"/>
    <n v="56.58"/>
    <n v="1788.94"/>
    <x v="0"/>
  </r>
  <r>
    <x v="1279"/>
    <s v="Female"/>
    <n v="49"/>
    <s v="No"/>
    <n v="42"/>
    <x v="3"/>
    <s v="Two year"/>
    <s v="Fiber optic"/>
    <s v="Electronic check"/>
    <s v="Yes"/>
    <s v="No"/>
    <n v="3"/>
    <n v="71.819999999999993"/>
    <n v="3066.22"/>
    <x v="0"/>
  </r>
  <r>
    <x v="1280"/>
    <s v="Female"/>
    <n v="49"/>
    <s v="No"/>
    <n v="10"/>
    <x v="1"/>
    <s v="Month-to-month"/>
    <s v="DSL"/>
    <s v="Bank transfer"/>
    <s v="No"/>
    <s v="No"/>
    <n v="6"/>
    <n v="86.44"/>
    <n v="874.49"/>
    <x v="1"/>
  </r>
  <r>
    <x v="1281"/>
    <s v="Male"/>
    <n v="45"/>
    <s v="No"/>
    <n v="36"/>
    <x v="3"/>
    <s v="Month-to-month"/>
    <s v="DSL"/>
    <s v="Mailed check"/>
    <s v="Yes"/>
    <s v="No"/>
    <n v="6"/>
    <n v="67.930000000000007"/>
    <n v="2474.75"/>
    <x v="0"/>
  </r>
  <r>
    <x v="1282"/>
    <s v="Male"/>
    <n v="30"/>
    <s v="No"/>
    <n v="34"/>
    <x v="3"/>
    <s v="Month-to-month"/>
    <s v="No"/>
    <s v="Mailed check"/>
    <s v="Yes"/>
    <s v="Yes"/>
    <n v="5"/>
    <n v="32.83"/>
    <n v="1072.6099999999999"/>
    <x v="0"/>
  </r>
  <r>
    <x v="1283"/>
    <s v="Male"/>
    <n v="48"/>
    <s v="No"/>
    <n v="28"/>
    <x v="3"/>
    <s v="One year"/>
    <s v="DSL"/>
    <s v="Electronic check"/>
    <s v="Yes"/>
    <s v="No"/>
    <n v="5"/>
    <n v="43.3"/>
    <n v="1238.1400000000001"/>
    <x v="0"/>
  </r>
  <r>
    <x v="1284"/>
    <s v="Male"/>
    <n v="31"/>
    <s v="No"/>
    <n v="11"/>
    <x v="1"/>
    <s v="Month-to-month"/>
    <s v="Fiber optic"/>
    <s v="Credit card"/>
    <s v="No"/>
    <s v="No"/>
    <n v="4"/>
    <n v="84.75"/>
    <n v="993.02"/>
    <x v="0"/>
  </r>
  <r>
    <x v="1285"/>
    <s v="Female"/>
    <n v="37"/>
    <s v="No"/>
    <n v="39"/>
    <x v="3"/>
    <s v="Month-to-month"/>
    <s v="Fiber optic"/>
    <s v="Credit card"/>
    <s v="No"/>
    <s v="No"/>
    <n v="5"/>
    <n v="83.99"/>
    <n v="3217.26"/>
    <x v="0"/>
  </r>
  <r>
    <x v="1286"/>
    <s v="Female"/>
    <n v="35"/>
    <s v="No"/>
    <n v="47"/>
    <x v="3"/>
    <s v="Two year"/>
    <s v="DSL"/>
    <s v="Electronic check"/>
    <s v="Yes"/>
    <s v="No"/>
    <n v="5"/>
    <n v="73.08"/>
    <n v="3506.52"/>
    <x v="0"/>
  </r>
  <r>
    <x v="1287"/>
    <s v="Female"/>
    <n v="46"/>
    <s v="No"/>
    <n v="19"/>
    <x v="4"/>
    <s v="Month-to-month"/>
    <s v="Fiber optic"/>
    <s v="Bank transfer"/>
    <s v="No"/>
    <s v="Yes"/>
    <n v="6"/>
    <n v="82.49"/>
    <n v="1503.11"/>
    <x v="0"/>
  </r>
  <r>
    <x v="1288"/>
    <s v="Female"/>
    <n v="23"/>
    <s v="No"/>
    <n v="15"/>
    <x v="4"/>
    <s v="One year"/>
    <s v="Fiber optic"/>
    <s v="Credit card"/>
    <s v="No"/>
    <s v="No"/>
    <n v="5"/>
    <n v="82.16"/>
    <n v="1143.33"/>
    <x v="0"/>
  </r>
  <r>
    <x v="1289"/>
    <s v="Male"/>
    <n v="49"/>
    <s v="No"/>
    <n v="28"/>
    <x v="3"/>
    <s v="Month-to-month"/>
    <s v="No"/>
    <s v="Bank transfer"/>
    <s v="Yes"/>
    <s v="Yes"/>
    <n v="6"/>
    <n v="50.95"/>
    <n v="1446.17"/>
    <x v="0"/>
  </r>
  <r>
    <x v="1290"/>
    <s v="Male"/>
    <n v="46"/>
    <s v="No"/>
    <n v="24"/>
    <x v="4"/>
    <s v="Month-to-month"/>
    <s v="DSL"/>
    <s v="Electronic check"/>
    <s v="No"/>
    <s v="Yes"/>
    <n v="5"/>
    <n v="61.91"/>
    <n v="1378.28"/>
    <x v="0"/>
  </r>
  <r>
    <x v="1291"/>
    <s v="Male"/>
    <n v="60"/>
    <s v="Yes"/>
    <n v="72"/>
    <x v="0"/>
    <s v="One year"/>
    <s v="DSL"/>
    <s v="Bank transfer"/>
    <s v="Yes"/>
    <s v="No"/>
    <n v="2"/>
    <n v="49.34"/>
    <n v="3679.56"/>
    <x v="0"/>
  </r>
  <r>
    <x v="1292"/>
    <s v="Female"/>
    <n v="19"/>
    <s v="No"/>
    <n v="9"/>
    <x v="1"/>
    <s v="Month-to-month"/>
    <s v="Fiber optic"/>
    <s v="Electronic check"/>
    <s v="No"/>
    <s v="No"/>
    <n v="3"/>
    <n v="80.08"/>
    <n v="740.36"/>
    <x v="1"/>
  </r>
  <r>
    <x v="1293"/>
    <s v="Male"/>
    <n v="40"/>
    <s v="No"/>
    <n v="47"/>
    <x v="3"/>
    <s v="Month-to-month"/>
    <s v="DSL"/>
    <s v="Electronic check"/>
    <s v="Yes"/>
    <s v="Yes"/>
    <n v="3"/>
    <n v="49.16"/>
    <n v="2262.21"/>
    <x v="0"/>
  </r>
  <r>
    <x v="1294"/>
    <s v="Female"/>
    <n v="36"/>
    <s v="No"/>
    <n v="33"/>
    <x v="3"/>
    <s v="Month-to-month"/>
    <s v="Fiber optic"/>
    <s v="Electronic check"/>
    <s v="No"/>
    <s v="No"/>
    <n v="2"/>
    <n v="74.75"/>
    <n v="2431.7399999999998"/>
    <x v="0"/>
  </r>
  <r>
    <x v="1295"/>
    <s v="Female"/>
    <n v="48"/>
    <s v="No"/>
    <n v="62"/>
    <x v="0"/>
    <s v="One year"/>
    <s v="DSL"/>
    <s v="Bank transfer"/>
    <s v="Yes"/>
    <s v="No"/>
    <n v="4"/>
    <n v="71.8"/>
    <n v="4749.1499999999996"/>
    <x v="0"/>
  </r>
  <r>
    <x v="1296"/>
    <s v="Male"/>
    <n v="68"/>
    <s v="Yes"/>
    <n v="19"/>
    <x v="4"/>
    <s v="Two year"/>
    <s v="Fiber optic"/>
    <s v="Electronic check"/>
    <s v="No"/>
    <s v="Yes"/>
    <n v="6"/>
    <n v="98.59"/>
    <n v="1727.29"/>
    <x v="0"/>
  </r>
  <r>
    <x v="1297"/>
    <s v="Male"/>
    <n v="22"/>
    <s v="No"/>
    <n v="67"/>
    <x v="0"/>
    <s v="Two year"/>
    <s v="No"/>
    <s v="Credit card"/>
    <s v="No"/>
    <s v="No"/>
    <n v="5"/>
    <n v="32.36"/>
    <n v="2190.08"/>
    <x v="0"/>
  </r>
  <r>
    <x v="1298"/>
    <s v="Male"/>
    <n v="36"/>
    <s v="No"/>
    <n v="40"/>
    <x v="3"/>
    <s v="Month-to-month"/>
    <s v="DSL"/>
    <s v="Electronic check"/>
    <s v="Yes"/>
    <s v="Yes"/>
    <n v="5"/>
    <n v="59.57"/>
    <n v="2544.21"/>
    <x v="0"/>
  </r>
  <r>
    <x v="1299"/>
    <s v="Female"/>
    <n v="51"/>
    <s v="No"/>
    <n v="47"/>
    <x v="3"/>
    <s v="Month-to-month"/>
    <s v="Fiber optic"/>
    <s v="Electronic check"/>
    <s v="No"/>
    <s v="No"/>
    <n v="7"/>
    <n v="93.03"/>
    <n v="4662.03"/>
    <x v="0"/>
  </r>
  <r>
    <x v="1300"/>
    <s v="Male"/>
    <n v="27"/>
    <s v="No"/>
    <n v="65"/>
    <x v="0"/>
    <s v="Month-to-month"/>
    <s v="DSL"/>
    <s v="Mailed check"/>
    <s v="No"/>
    <s v="No"/>
    <n v="3"/>
    <n v="63.95"/>
    <n v="4213.05"/>
    <x v="0"/>
  </r>
  <r>
    <x v="1301"/>
    <s v="Female"/>
    <n v="42"/>
    <s v="No"/>
    <n v="29"/>
    <x v="3"/>
    <s v="Two year"/>
    <s v="DSL"/>
    <s v="Electronic check"/>
    <s v="No"/>
    <s v="No"/>
    <n v="5"/>
    <n v="64.47"/>
    <n v="1834.1"/>
    <x v="0"/>
  </r>
  <r>
    <x v="1302"/>
    <s v="Male"/>
    <n v="19"/>
    <s v="No"/>
    <n v="50"/>
    <x v="0"/>
    <s v="Month-to-month"/>
    <s v="Fiber optic"/>
    <s v="Bank transfer"/>
    <s v="Yes"/>
    <s v="No"/>
    <n v="4"/>
    <n v="87.96"/>
    <n v="4115.76"/>
    <x v="0"/>
  </r>
  <r>
    <x v="1303"/>
    <s v="Female"/>
    <n v="28"/>
    <s v="No"/>
    <n v="13"/>
    <x v="4"/>
    <s v="Two year"/>
    <s v="DSL"/>
    <s v="Mailed check"/>
    <s v="Yes"/>
    <s v="Yes"/>
    <n v="2"/>
    <n v="46.31"/>
    <n v="570.61"/>
    <x v="0"/>
  </r>
  <r>
    <x v="1304"/>
    <s v="Female"/>
    <n v="67"/>
    <s v="Yes"/>
    <n v="1"/>
    <x v="2"/>
    <s v="Month-to-month"/>
    <s v="Fiber optic"/>
    <s v="Electronic check"/>
    <s v="No"/>
    <s v="No"/>
    <n v="4"/>
    <n v="81.31"/>
    <n v="83.65"/>
    <x v="1"/>
  </r>
  <r>
    <x v="1305"/>
    <s v="Male"/>
    <n v="48"/>
    <s v="No"/>
    <n v="34"/>
    <x v="3"/>
    <s v="Two year"/>
    <s v="No"/>
    <s v="Electronic check"/>
    <s v="No"/>
    <s v="No"/>
    <n v="4"/>
    <n v="43.48"/>
    <n v="1363.99"/>
    <x v="0"/>
  </r>
  <r>
    <x v="1306"/>
    <s v="Female"/>
    <n v="73"/>
    <s v="Yes"/>
    <n v="48"/>
    <x v="3"/>
    <s v="Two year"/>
    <s v="No"/>
    <s v="Mailed check"/>
    <s v="No"/>
    <s v="No"/>
    <n v="3"/>
    <n v="46.19"/>
    <n v="2353.16"/>
    <x v="0"/>
  </r>
  <r>
    <x v="1307"/>
    <s v="Female"/>
    <n v="32"/>
    <s v="No"/>
    <n v="48"/>
    <x v="3"/>
    <s v="Two year"/>
    <s v="Fiber optic"/>
    <s v="Electronic check"/>
    <s v="Yes"/>
    <s v="No"/>
    <n v="5"/>
    <n v="89.36"/>
    <n v="4349.63"/>
    <x v="0"/>
  </r>
  <r>
    <x v="1308"/>
    <s v="Male"/>
    <n v="26"/>
    <s v="No"/>
    <n v="49"/>
    <x v="0"/>
    <s v="Month-to-month"/>
    <s v="No"/>
    <s v="Credit card"/>
    <s v="No"/>
    <s v="No"/>
    <n v="7"/>
    <n v="57.83"/>
    <n v="2627.45"/>
    <x v="0"/>
  </r>
  <r>
    <x v="1309"/>
    <s v="Female"/>
    <n v="40"/>
    <s v="No"/>
    <n v="64"/>
    <x v="0"/>
    <s v="Month-to-month"/>
    <s v="Fiber optic"/>
    <s v="Bank transfer"/>
    <s v="No"/>
    <s v="No"/>
    <n v="7"/>
    <n v="96.95"/>
    <n v="5946.45"/>
    <x v="0"/>
  </r>
  <r>
    <x v="1310"/>
    <s v="Male"/>
    <n v="36"/>
    <s v="No"/>
    <n v="61"/>
    <x v="0"/>
    <s v="Month-to-month"/>
    <s v="Fiber optic"/>
    <s v="Bank transfer"/>
    <s v="No"/>
    <s v="Yes"/>
    <n v="2"/>
    <n v="62.53"/>
    <n v="3871.82"/>
    <x v="0"/>
  </r>
  <r>
    <x v="1311"/>
    <s v="Female"/>
    <n v="26"/>
    <s v="No"/>
    <n v="29"/>
    <x v="3"/>
    <s v="Month-to-month"/>
    <s v="No"/>
    <s v="Bank transfer"/>
    <s v="No"/>
    <s v="No"/>
    <n v="6"/>
    <n v="47.8"/>
    <n v="1283.2"/>
    <x v="0"/>
  </r>
  <r>
    <x v="1312"/>
    <s v="Male"/>
    <n v="52"/>
    <s v="No"/>
    <n v="39"/>
    <x v="3"/>
    <s v="Month-to-month"/>
    <s v="DSL"/>
    <s v="Bank transfer"/>
    <s v="Yes"/>
    <s v="No"/>
    <n v="3"/>
    <n v="47.97"/>
    <n v="1954.64"/>
    <x v="0"/>
  </r>
  <r>
    <x v="1313"/>
    <s v="Male"/>
    <n v="38"/>
    <s v="No"/>
    <n v="26"/>
    <x v="3"/>
    <s v="Month-to-month"/>
    <s v="DSL"/>
    <s v="Credit card"/>
    <s v="Yes"/>
    <s v="No"/>
    <n v="5"/>
    <n v="58.43"/>
    <n v="1621.25"/>
    <x v="0"/>
  </r>
  <r>
    <x v="1314"/>
    <s v="Female"/>
    <n v="26"/>
    <s v="No"/>
    <n v="17"/>
    <x v="4"/>
    <s v="Month-to-month"/>
    <s v="Fiber optic"/>
    <s v="Electronic check"/>
    <s v="Yes"/>
    <s v="No"/>
    <n v="7"/>
    <n v="89.78"/>
    <n v="1638.89"/>
    <x v="0"/>
  </r>
  <r>
    <x v="1315"/>
    <s v="Female"/>
    <n v="45"/>
    <s v="No"/>
    <n v="71"/>
    <x v="0"/>
    <s v="One year"/>
    <s v="Fiber optic"/>
    <s v="Electronic check"/>
    <s v="No"/>
    <s v="Yes"/>
    <n v="3"/>
    <n v="59.21"/>
    <n v="4361.08"/>
    <x v="0"/>
  </r>
  <r>
    <x v="1316"/>
    <s v="Female"/>
    <n v="63"/>
    <s v="Yes"/>
    <n v="13"/>
    <x v="4"/>
    <s v="One year"/>
    <s v="No"/>
    <s v="Electronic check"/>
    <s v="Yes"/>
    <s v="No"/>
    <n v="3"/>
    <n v="36.04"/>
    <n v="495.27"/>
    <x v="0"/>
  </r>
  <r>
    <x v="1317"/>
    <s v="Female"/>
    <n v="68"/>
    <s v="Yes"/>
    <n v="69"/>
    <x v="0"/>
    <s v="Month-to-month"/>
    <s v="Fiber optic"/>
    <s v="Electronic check"/>
    <s v="No"/>
    <s v="No"/>
    <n v="4"/>
    <n v="73.52"/>
    <n v="5162.74"/>
    <x v="0"/>
  </r>
  <r>
    <x v="1318"/>
    <s v="Female"/>
    <n v="24"/>
    <s v="No"/>
    <n v="26"/>
    <x v="3"/>
    <s v="Two year"/>
    <s v="Fiber optic"/>
    <s v="Electronic check"/>
    <s v="No"/>
    <s v="No"/>
    <n v="4"/>
    <n v="71.61"/>
    <n v="1849.51"/>
    <x v="0"/>
  </r>
  <r>
    <x v="1319"/>
    <s v="Male"/>
    <n v="33"/>
    <s v="No"/>
    <n v="49"/>
    <x v="0"/>
    <s v="Month-to-month"/>
    <s v="DSL"/>
    <s v="Bank transfer"/>
    <s v="No"/>
    <s v="No"/>
    <n v="3"/>
    <n v="55.67"/>
    <n v="2820.85"/>
    <x v="0"/>
  </r>
  <r>
    <x v="1320"/>
    <s v="Female"/>
    <n v="33"/>
    <s v="No"/>
    <n v="67"/>
    <x v="0"/>
    <s v="Month-to-month"/>
    <s v="DSL"/>
    <s v="Mailed check"/>
    <s v="No"/>
    <s v="Yes"/>
    <n v="7"/>
    <n v="68.28"/>
    <n v="4372.87"/>
    <x v="0"/>
  </r>
  <r>
    <x v="1321"/>
    <s v="Male"/>
    <n v="50"/>
    <s v="No"/>
    <n v="7"/>
    <x v="1"/>
    <s v="Month-to-month"/>
    <s v="DSL"/>
    <s v="Credit card"/>
    <s v="Yes"/>
    <s v="Yes"/>
    <n v="4"/>
    <n v="61.39"/>
    <n v="402.9"/>
    <x v="0"/>
  </r>
  <r>
    <x v="1322"/>
    <s v="Male"/>
    <n v="21"/>
    <s v="No"/>
    <n v="58"/>
    <x v="0"/>
    <s v="Two year"/>
    <s v="Fiber optic"/>
    <s v="Electronic check"/>
    <s v="No"/>
    <s v="No"/>
    <n v="3"/>
    <n v="70.459999999999994"/>
    <n v="4257.8999999999996"/>
    <x v="0"/>
  </r>
  <r>
    <x v="1323"/>
    <s v="Female"/>
    <n v="21"/>
    <s v="No"/>
    <n v="49"/>
    <x v="0"/>
    <s v="Month-to-month"/>
    <s v="Fiber optic"/>
    <s v="Electronic check"/>
    <s v="No"/>
    <s v="No"/>
    <n v="5"/>
    <n v="81.77"/>
    <n v="4300.46"/>
    <x v="0"/>
  </r>
  <r>
    <x v="1324"/>
    <s v="Male"/>
    <n v="56"/>
    <s v="No"/>
    <n v="53"/>
    <x v="0"/>
    <s v="Month-to-month"/>
    <s v="Fiber optic"/>
    <s v="Credit card"/>
    <s v="No"/>
    <s v="No"/>
    <n v="7"/>
    <n v="108.21"/>
    <n v="5806.23"/>
    <x v="0"/>
  </r>
  <r>
    <x v="1325"/>
    <s v="Male"/>
    <n v="57"/>
    <s v="No"/>
    <n v="65"/>
    <x v="0"/>
    <s v="One year"/>
    <s v="No"/>
    <s v="Credit card"/>
    <s v="No"/>
    <s v="No"/>
    <n v="1"/>
    <n v="33.36"/>
    <n v="2162.34"/>
    <x v="0"/>
  </r>
  <r>
    <x v="1326"/>
    <s v="Male"/>
    <n v="34"/>
    <s v="No"/>
    <n v="62"/>
    <x v="0"/>
    <s v="Month-to-month"/>
    <s v="Fiber optic"/>
    <s v="Mailed check"/>
    <s v="No"/>
    <s v="Yes"/>
    <n v="6"/>
    <n v="81.08"/>
    <n v="5054.63"/>
    <x v="0"/>
  </r>
  <r>
    <x v="1327"/>
    <s v="Male"/>
    <n v="54"/>
    <s v="No"/>
    <n v="17"/>
    <x v="4"/>
    <s v="One year"/>
    <s v="DSL"/>
    <s v="Bank transfer"/>
    <s v="No"/>
    <s v="No"/>
    <n v="3"/>
    <n v="63.68"/>
    <n v="1078.83"/>
    <x v="0"/>
  </r>
  <r>
    <x v="1328"/>
    <s v="Female"/>
    <n v="56"/>
    <s v="No"/>
    <n v="43"/>
    <x v="3"/>
    <s v="Two year"/>
    <s v="DSL"/>
    <s v="Credit card"/>
    <s v="Yes"/>
    <s v="No"/>
    <n v="4"/>
    <n v="69.84"/>
    <n v="2975.35"/>
    <x v="0"/>
  </r>
  <r>
    <x v="1329"/>
    <s v="Male"/>
    <n v="69"/>
    <s v="Yes"/>
    <n v="25"/>
    <x v="3"/>
    <s v="Two year"/>
    <s v="No"/>
    <s v="Mailed check"/>
    <s v="No"/>
    <s v="No"/>
    <n v="2"/>
    <n v="37.19"/>
    <n v="996.25"/>
    <x v="0"/>
  </r>
  <r>
    <x v="1330"/>
    <s v="Female"/>
    <n v="46"/>
    <s v="No"/>
    <n v="3"/>
    <x v="2"/>
    <s v="Month-to-month"/>
    <s v="No"/>
    <s v="Electronic check"/>
    <s v="Yes"/>
    <s v="Yes"/>
    <n v="3"/>
    <n v="31.53"/>
    <n v="94.28"/>
    <x v="0"/>
  </r>
  <r>
    <x v="1331"/>
    <s v="Female"/>
    <n v="69"/>
    <s v="Yes"/>
    <n v="29"/>
    <x v="3"/>
    <s v="Month-to-month"/>
    <s v="Fiber optic"/>
    <s v="Credit card"/>
    <s v="No"/>
    <s v="Yes"/>
    <n v="4"/>
    <n v="86.23"/>
    <n v="2333.0700000000002"/>
    <x v="1"/>
  </r>
  <r>
    <x v="1332"/>
    <s v="Male"/>
    <n v="53"/>
    <s v="No"/>
    <n v="32"/>
    <x v="3"/>
    <s v="Month-to-month"/>
    <s v="Fiber optic"/>
    <s v="Bank transfer"/>
    <s v="No"/>
    <s v="No"/>
    <n v="4"/>
    <n v="74.959999999999994"/>
    <n v="2500.62"/>
    <x v="1"/>
  </r>
  <r>
    <x v="1333"/>
    <s v="Female"/>
    <n v="55"/>
    <s v="No"/>
    <n v="26"/>
    <x v="3"/>
    <s v="Month-to-month"/>
    <s v="DSL"/>
    <s v="Electronic check"/>
    <s v="No"/>
    <s v="Yes"/>
    <n v="3"/>
    <n v="64.459999999999994"/>
    <n v="1646.88"/>
    <x v="1"/>
  </r>
  <r>
    <x v="1334"/>
    <s v="Female"/>
    <n v="56"/>
    <s v="No"/>
    <n v="16"/>
    <x v="4"/>
    <s v="Month-to-month"/>
    <s v="Fiber optic"/>
    <s v="Mailed check"/>
    <s v="No"/>
    <s v="No"/>
    <n v="5"/>
    <n v="81.31"/>
    <n v="1344.82"/>
    <x v="1"/>
  </r>
  <r>
    <x v="1335"/>
    <s v="Female"/>
    <n v="67"/>
    <s v="Yes"/>
    <n v="25"/>
    <x v="3"/>
    <s v="Month-to-month"/>
    <s v="DSL"/>
    <s v="Mailed check"/>
    <s v="No"/>
    <s v="No"/>
    <n v="3"/>
    <n v="53.04"/>
    <n v="1342.88"/>
    <x v="0"/>
  </r>
  <r>
    <x v="1336"/>
    <s v="Male"/>
    <n v="54"/>
    <s v="No"/>
    <n v="54"/>
    <x v="0"/>
    <s v="Two year"/>
    <s v="DSL"/>
    <s v="Credit card"/>
    <s v="No"/>
    <s v="No"/>
    <n v="6"/>
    <n v="70.67"/>
    <n v="3946.35"/>
    <x v="0"/>
  </r>
  <r>
    <x v="1337"/>
    <s v="Female"/>
    <n v="69"/>
    <s v="Yes"/>
    <n v="28"/>
    <x v="3"/>
    <s v="Two year"/>
    <s v="No"/>
    <s v="Electronic check"/>
    <s v="No"/>
    <s v="Yes"/>
    <n v="4"/>
    <n v="50.87"/>
    <n v="1324.54"/>
    <x v="0"/>
  </r>
  <r>
    <x v="1338"/>
    <s v="Female"/>
    <n v="52"/>
    <s v="No"/>
    <n v="56"/>
    <x v="0"/>
    <s v="Month-to-month"/>
    <s v="Fiber optic"/>
    <s v="Credit card"/>
    <s v="No"/>
    <s v="Yes"/>
    <n v="4"/>
    <n v="95.58"/>
    <n v="4953.29"/>
    <x v="0"/>
  </r>
  <r>
    <x v="1339"/>
    <s v="Female"/>
    <n v="24"/>
    <s v="No"/>
    <n v="65"/>
    <x v="0"/>
    <s v="Month-to-month"/>
    <s v="No"/>
    <s v="Mailed check"/>
    <s v="No"/>
    <s v="No"/>
    <n v="2"/>
    <n v="33.19"/>
    <n v="2115.4299999999998"/>
    <x v="0"/>
  </r>
  <r>
    <x v="1340"/>
    <s v="Male"/>
    <n v="44"/>
    <s v="No"/>
    <n v="41"/>
    <x v="3"/>
    <s v="Month-to-month"/>
    <s v="Fiber optic"/>
    <s v="Mailed check"/>
    <s v="Yes"/>
    <s v="Yes"/>
    <n v="4"/>
    <n v="76.13"/>
    <n v="3217.8"/>
    <x v="1"/>
  </r>
  <r>
    <x v="1341"/>
    <s v="Female"/>
    <n v="45"/>
    <s v="No"/>
    <n v="51"/>
    <x v="0"/>
    <s v="Month-to-month"/>
    <s v="DSL"/>
    <s v="Electronic check"/>
    <s v="No"/>
    <s v="No"/>
    <n v="3"/>
    <n v="49.26"/>
    <n v="2401.19"/>
    <x v="0"/>
  </r>
  <r>
    <x v="1342"/>
    <s v="Male"/>
    <n v="39"/>
    <s v="No"/>
    <n v="71"/>
    <x v="0"/>
    <s v="One year"/>
    <s v="Fiber optic"/>
    <s v="Bank transfer"/>
    <s v="Yes"/>
    <s v="Yes"/>
    <n v="4"/>
    <n v="68.63"/>
    <n v="4820.8100000000004"/>
    <x v="0"/>
  </r>
  <r>
    <x v="1343"/>
    <s v="Male"/>
    <n v="31"/>
    <s v="No"/>
    <n v="29"/>
    <x v="3"/>
    <s v="One year"/>
    <s v="DSL"/>
    <s v="Credit card"/>
    <s v="Yes"/>
    <s v="No"/>
    <n v="5"/>
    <n v="55.96"/>
    <n v="1747.68"/>
    <x v="0"/>
  </r>
  <r>
    <x v="1344"/>
    <s v="Male"/>
    <n v="24"/>
    <s v="No"/>
    <n v="19"/>
    <x v="4"/>
    <s v="Two year"/>
    <s v="Fiber optic"/>
    <s v="Mailed check"/>
    <s v="No"/>
    <s v="No"/>
    <n v="2"/>
    <n v="72.650000000000006"/>
    <n v="1317.38"/>
    <x v="1"/>
  </r>
  <r>
    <x v="1345"/>
    <s v="Male"/>
    <n v="54"/>
    <s v="No"/>
    <n v="66"/>
    <x v="0"/>
    <s v="One year"/>
    <s v="No"/>
    <s v="Electronic check"/>
    <s v="No"/>
    <s v="Yes"/>
    <n v="7"/>
    <n v="60.38"/>
    <n v="4206.93"/>
    <x v="0"/>
  </r>
  <r>
    <x v="1346"/>
    <s v="Male"/>
    <n v="39"/>
    <s v="No"/>
    <n v="41"/>
    <x v="3"/>
    <s v="Month-to-month"/>
    <s v="No"/>
    <s v="Bank transfer"/>
    <s v="Yes"/>
    <s v="Yes"/>
    <n v="2"/>
    <n v="26.67"/>
    <n v="1150.4100000000001"/>
    <x v="0"/>
  </r>
  <r>
    <x v="1347"/>
    <s v="Male"/>
    <n v="22"/>
    <s v="No"/>
    <n v="45"/>
    <x v="3"/>
    <s v="One year"/>
    <s v="No"/>
    <s v="Credit card"/>
    <s v="Yes"/>
    <s v="No"/>
    <n v="2"/>
    <n v="38.51"/>
    <n v="1841.46"/>
    <x v="0"/>
  </r>
  <r>
    <x v="1348"/>
    <s v="Female"/>
    <n v="72"/>
    <s v="Yes"/>
    <n v="15"/>
    <x v="4"/>
    <s v="Month-to-month"/>
    <s v="Fiber optic"/>
    <s v="Electronic check"/>
    <s v="Yes"/>
    <s v="No"/>
    <n v="4"/>
    <n v="72.97"/>
    <n v="1167.25"/>
    <x v="0"/>
  </r>
  <r>
    <x v="1349"/>
    <s v="Male"/>
    <n v="19"/>
    <s v="No"/>
    <n v="3"/>
    <x v="2"/>
    <s v="One year"/>
    <s v="No"/>
    <s v="Bank transfer"/>
    <s v="No"/>
    <s v="Yes"/>
    <n v="2"/>
    <n v="27.82"/>
    <n v="83.56"/>
    <x v="0"/>
  </r>
  <r>
    <x v="1350"/>
    <s v="Female"/>
    <n v="44"/>
    <s v="No"/>
    <n v="11"/>
    <x v="1"/>
    <s v="Month-to-month"/>
    <s v="DSL"/>
    <s v="Bank transfer"/>
    <s v="Yes"/>
    <s v="No"/>
    <n v="5"/>
    <n v="55.51"/>
    <n v="628.38"/>
    <x v="0"/>
  </r>
  <r>
    <x v="1351"/>
    <s v="Female"/>
    <n v="38"/>
    <s v="No"/>
    <n v="53"/>
    <x v="0"/>
    <s v="Month-to-month"/>
    <s v="Fiber optic"/>
    <s v="Electronic check"/>
    <s v="Yes"/>
    <s v="Yes"/>
    <n v="1"/>
    <n v="76.319999999999993"/>
    <n v="4121.91"/>
    <x v="0"/>
  </r>
  <r>
    <x v="1352"/>
    <s v="Male"/>
    <n v="71"/>
    <s v="Yes"/>
    <n v="46"/>
    <x v="3"/>
    <s v="Month-to-month"/>
    <s v="Fiber optic"/>
    <s v="Mailed check"/>
    <s v="Yes"/>
    <s v="Yes"/>
    <n v="2"/>
    <n v="82.24"/>
    <n v="3667.4"/>
    <x v="0"/>
  </r>
  <r>
    <x v="1353"/>
    <s v="Female"/>
    <n v="55"/>
    <s v="No"/>
    <n v="30"/>
    <x v="3"/>
    <s v="Month-to-month"/>
    <s v="Fiber optic"/>
    <s v="Electronic check"/>
    <s v="No"/>
    <s v="No"/>
    <n v="6"/>
    <n v="81.900000000000006"/>
    <n v="2370.4299999999998"/>
    <x v="0"/>
  </r>
  <r>
    <x v="1354"/>
    <s v="Female"/>
    <n v="32"/>
    <s v="No"/>
    <n v="57"/>
    <x v="0"/>
    <s v="Two year"/>
    <s v="Fiber optic"/>
    <s v="Credit card"/>
    <s v="No"/>
    <s v="No"/>
    <n v="3"/>
    <n v="69.34"/>
    <n v="3852.19"/>
    <x v="1"/>
  </r>
  <r>
    <x v="1355"/>
    <s v="Female"/>
    <n v="38"/>
    <s v="No"/>
    <n v="18"/>
    <x v="4"/>
    <s v="Month-to-month"/>
    <s v="DSL"/>
    <s v="Bank transfer"/>
    <s v="Yes"/>
    <s v="No"/>
    <n v="7"/>
    <n v="75.36"/>
    <n v="1295.3699999999999"/>
    <x v="0"/>
  </r>
  <r>
    <x v="1356"/>
    <s v="Female"/>
    <n v="27"/>
    <s v="No"/>
    <n v="51"/>
    <x v="0"/>
    <s v="Month-to-month"/>
    <s v="No"/>
    <s v="Bank transfer"/>
    <s v="No"/>
    <s v="Yes"/>
    <n v="4"/>
    <n v="53.1"/>
    <n v="2819.62"/>
    <x v="0"/>
  </r>
  <r>
    <x v="1357"/>
    <s v="Male"/>
    <n v="40"/>
    <s v="No"/>
    <n v="48"/>
    <x v="3"/>
    <s v="Month-to-month"/>
    <s v="Fiber optic"/>
    <s v="Mailed check"/>
    <s v="Yes"/>
    <s v="Yes"/>
    <n v="4"/>
    <n v="90.3"/>
    <n v="4656.58"/>
    <x v="0"/>
  </r>
  <r>
    <x v="1358"/>
    <s v="Female"/>
    <n v="75"/>
    <s v="Yes"/>
    <n v="66"/>
    <x v="0"/>
    <s v="One year"/>
    <s v="DSL"/>
    <s v="Electronic check"/>
    <s v="No"/>
    <s v="No"/>
    <n v="6"/>
    <n v="64.3"/>
    <n v="4493.5200000000004"/>
    <x v="0"/>
  </r>
  <r>
    <x v="1359"/>
    <s v="Male"/>
    <n v="73"/>
    <s v="Yes"/>
    <n v="8"/>
    <x v="1"/>
    <s v="Month-to-month"/>
    <s v="No"/>
    <s v="Credit card"/>
    <s v="No"/>
    <s v="Yes"/>
    <n v="4"/>
    <n v="39.72"/>
    <n v="303.42"/>
    <x v="0"/>
  </r>
  <r>
    <x v="1360"/>
    <s v="Female"/>
    <n v="56"/>
    <s v="No"/>
    <n v="22"/>
    <x v="4"/>
    <s v="Two year"/>
    <s v="Fiber optic"/>
    <s v="Mailed check"/>
    <s v="Yes"/>
    <s v="No"/>
    <n v="3"/>
    <n v="66.38"/>
    <n v="1355.66"/>
    <x v="0"/>
  </r>
  <r>
    <x v="1361"/>
    <s v="Female"/>
    <n v="22"/>
    <s v="No"/>
    <n v="6"/>
    <x v="2"/>
    <s v="Two year"/>
    <s v="No"/>
    <s v="Mailed check"/>
    <s v="Yes"/>
    <s v="Yes"/>
    <n v="5"/>
    <n v="42.23"/>
    <n v="263.8"/>
    <x v="0"/>
  </r>
  <r>
    <x v="1362"/>
    <s v="Male"/>
    <n v="18"/>
    <s v="No"/>
    <n v="57"/>
    <x v="0"/>
    <s v="One year"/>
    <s v="DSL"/>
    <s v="Bank transfer"/>
    <s v="No"/>
    <s v="No"/>
    <n v="7"/>
    <n v="71.680000000000007"/>
    <n v="4013.99"/>
    <x v="0"/>
  </r>
  <r>
    <x v="1363"/>
    <s v="Female"/>
    <n v="30"/>
    <s v="No"/>
    <n v="36"/>
    <x v="3"/>
    <s v="One year"/>
    <s v="DSL"/>
    <s v="Mailed check"/>
    <s v="Yes"/>
    <s v="Yes"/>
    <n v="6"/>
    <n v="57.55"/>
    <n v="2179.41"/>
    <x v="0"/>
  </r>
  <r>
    <x v="1364"/>
    <s v="Female"/>
    <n v="38"/>
    <s v="No"/>
    <n v="57"/>
    <x v="0"/>
    <s v="Month-to-month"/>
    <s v="Fiber optic"/>
    <s v="Electronic check"/>
    <s v="No"/>
    <s v="Yes"/>
    <n v="1"/>
    <n v="63.19"/>
    <n v="3762.75"/>
    <x v="0"/>
  </r>
  <r>
    <x v="1365"/>
    <s v="Female"/>
    <n v="43"/>
    <s v="No"/>
    <n v="49"/>
    <x v="0"/>
    <s v="Month-to-month"/>
    <s v="DSL"/>
    <s v="Electronic check"/>
    <s v="No"/>
    <s v="No"/>
    <n v="7"/>
    <n v="72.56"/>
    <n v="3626.78"/>
    <x v="0"/>
  </r>
  <r>
    <x v="1366"/>
    <s v="Male"/>
    <n v="67"/>
    <s v="Yes"/>
    <n v="45"/>
    <x v="3"/>
    <s v="One year"/>
    <s v="Fiber optic"/>
    <s v="Electronic check"/>
    <s v="Yes"/>
    <s v="No"/>
    <n v="5"/>
    <n v="72.36"/>
    <n v="3128.73"/>
    <x v="0"/>
  </r>
  <r>
    <x v="1367"/>
    <s v="Female"/>
    <n v="62"/>
    <s v="Yes"/>
    <n v="66"/>
    <x v="0"/>
    <s v="Month-to-month"/>
    <s v="DSL"/>
    <s v="Bank transfer"/>
    <s v="No"/>
    <s v="Yes"/>
    <n v="3"/>
    <n v="58.28"/>
    <n v="3602.79"/>
    <x v="0"/>
  </r>
  <r>
    <x v="1368"/>
    <s v="Male"/>
    <n v="38"/>
    <s v="No"/>
    <n v="45"/>
    <x v="3"/>
    <s v="Month-to-month"/>
    <s v="Fiber optic"/>
    <s v="Electronic check"/>
    <s v="No"/>
    <s v="No"/>
    <n v="7"/>
    <n v="98.14"/>
    <n v="4241.5200000000004"/>
    <x v="0"/>
  </r>
  <r>
    <x v="1369"/>
    <s v="Female"/>
    <n v="70"/>
    <s v="Yes"/>
    <n v="20"/>
    <x v="4"/>
    <s v="One year"/>
    <s v="No"/>
    <s v="Electronic check"/>
    <s v="No"/>
    <s v="Yes"/>
    <n v="2"/>
    <n v="36.99"/>
    <n v="740.96"/>
    <x v="0"/>
  </r>
  <r>
    <x v="1370"/>
    <s v="Male"/>
    <n v="35"/>
    <s v="No"/>
    <n v="64"/>
    <x v="0"/>
    <s v="Month-to-month"/>
    <s v="Fiber optic"/>
    <s v="Credit card"/>
    <s v="Yes"/>
    <s v="No"/>
    <n v="7"/>
    <n v="87.52"/>
    <n v="6030.98"/>
    <x v="1"/>
  </r>
  <r>
    <x v="1371"/>
    <s v="Male"/>
    <n v="54"/>
    <s v="No"/>
    <n v="67"/>
    <x v="0"/>
    <s v="Two year"/>
    <s v="Fiber optic"/>
    <s v="Electronic check"/>
    <s v="No"/>
    <s v="No"/>
    <n v="4"/>
    <n v="87.2"/>
    <n v="5434.54"/>
    <x v="0"/>
  </r>
  <r>
    <x v="1372"/>
    <s v="Female"/>
    <n v="62"/>
    <s v="Yes"/>
    <n v="3"/>
    <x v="2"/>
    <s v="Month-to-month"/>
    <s v="DSL"/>
    <s v="Bank transfer"/>
    <s v="No"/>
    <s v="Yes"/>
    <n v="2"/>
    <n v="60.71"/>
    <n v="173.39"/>
    <x v="0"/>
  </r>
  <r>
    <x v="1373"/>
    <s v="Female"/>
    <n v="49"/>
    <s v="No"/>
    <n v="54"/>
    <x v="0"/>
    <s v="One year"/>
    <s v="Fiber optic"/>
    <s v="Electronic check"/>
    <s v="No"/>
    <s v="No"/>
    <n v="3"/>
    <n v="77.22"/>
    <n v="4254.8"/>
    <x v="0"/>
  </r>
  <r>
    <x v="1374"/>
    <s v="Male"/>
    <n v="53"/>
    <s v="No"/>
    <n v="64"/>
    <x v="0"/>
    <s v="Month-to-month"/>
    <s v="DSL"/>
    <s v="Electronic check"/>
    <s v="No"/>
    <s v="No"/>
    <n v="1"/>
    <n v="48.04"/>
    <n v="2978.32"/>
    <x v="0"/>
  </r>
  <r>
    <x v="1375"/>
    <s v="Male"/>
    <n v="34"/>
    <s v="No"/>
    <n v="40"/>
    <x v="3"/>
    <s v="One year"/>
    <s v="No"/>
    <s v="Mailed check"/>
    <s v="Yes"/>
    <s v="No"/>
    <n v="4"/>
    <n v="36.659999999999997"/>
    <n v="1550.51"/>
    <x v="0"/>
  </r>
  <r>
    <x v="1376"/>
    <s v="Female"/>
    <n v="52"/>
    <s v="No"/>
    <n v="59"/>
    <x v="0"/>
    <s v="Month-to-month"/>
    <s v="DSL"/>
    <s v="Electronic check"/>
    <s v="No"/>
    <s v="No"/>
    <n v="1"/>
    <n v="44.15"/>
    <n v="2454.5700000000002"/>
    <x v="0"/>
  </r>
  <r>
    <x v="1377"/>
    <s v="Male"/>
    <n v="66"/>
    <s v="Yes"/>
    <n v="55"/>
    <x v="0"/>
    <s v="Month-to-month"/>
    <s v="Fiber optic"/>
    <s v="Credit card"/>
    <s v="No"/>
    <s v="Yes"/>
    <n v="3"/>
    <n v="82.51"/>
    <n v="4874.34"/>
    <x v="0"/>
  </r>
  <r>
    <x v="1378"/>
    <s v="Female"/>
    <n v="28"/>
    <s v="No"/>
    <n v="62"/>
    <x v="0"/>
    <s v="Two year"/>
    <s v="DSL"/>
    <s v="Mailed check"/>
    <s v="No"/>
    <s v="Yes"/>
    <n v="2"/>
    <n v="63.95"/>
    <n v="4226.5"/>
    <x v="0"/>
  </r>
  <r>
    <x v="1379"/>
    <s v="Female"/>
    <n v="38"/>
    <s v="No"/>
    <n v="4"/>
    <x v="2"/>
    <s v="Month-to-month"/>
    <s v="DSL"/>
    <s v="Electronic check"/>
    <s v="No"/>
    <s v="No"/>
    <n v="5"/>
    <n v="60.1"/>
    <n v="255.31"/>
    <x v="0"/>
  </r>
  <r>
    <x v="1380"/>
    <s v="Female"/>
    <n v="69"/>
    <s v="Yes"/>
    <n v="60"/>
    <x v="0"/>
    <s v="Month-to-month"/>
    <s v="No"/>
    <s v="Electronic check"/>
    <s v="Yes"/>
    <s v="Yes"/>
    <n v="1"/>
    <n v="27.8"/>
    <n v="1580.75"/>
    <x v="0"/>
  </r>
  <r>
    <x v="1381"/>
    <s v="Female"/>
    <n v="72"/>
    <s v="Yes"/>
    <n v="30"/>
    <x v="3"/>
    <s v="Month-to-month"/>
    <s v="Fiber optic"/>
    <s v="Mailed check"/>
    <s v="No"/>
    <s v="No"/>
    <n v="5"/>
    <n v="78.47"/>
    <n v="2289.88"/>
    <x v="0"/>
  </r>
  <r>
    <x v="1382"/>
    <s v="Male"/>
    <n v="70"/>
    <s v="Yes"/>
    <n v="2"/>
    <x v="2"/>
    <s v="One year"/>
    <s v="DSL"/>
    <s v="Electronic check"/>
    <s v="No"/>
    <s v="No"/>
    <n v="3"/>
    <n v="51.98"/>
    <n v="109.02"/>
    <x v="0"/>
  </r>
  <r>
    <x v="1383"/>
    <s v="Female"/>
    <n v="43"/>
    <s v="No"/>
    <n v="62"/>
    <x v="0"/>
    <s v="Month-to-month"/>
    <s v="DSL"/>
    <s v="Electronic check"/>
    <s v="No"/>
    <s v="Yes"/>
    <n v="3"/>
    <n v="46.19"/>
    <n v="3004.82"/>
    <x v="1"/>
  </r>
  <r>
    <x v="1384"/>
    <s v="Male"/>
    <n v="21"/>
    <s v="No"/>
    <n v="49"/>
    <x v="0"/>
    <s v="Two year"/>
    <s v="Fiber optic"/>
    <s v="Bank transfer"/>
    <s v="No"/>
    <s v="Yes"/>
    <n v="3"/>
    <n v="78"/>
    <n v="3947.47"/>
    <x v="0"/>
  </r>
  <r>
    <x v="1385"/>
    <s v="Female"/>
    <n v="51"/>
    <s v="No"/>
    <n v="9"/>
    <x v="1"/>
    <s v="Month-to-month"/>
    <s v="Fiber optic"/>
    <s v="Credit card"/>
    <s v="No"/>
    <s v="No"/>
    <n v="2"/>
    <n v="62.12"/>
    <n v="554.42999999999995"/>
    <x v="1"/>
  </r>
  <r>
    <x v="1386"/>
    <s v="Male"/>
    <n v="69"/>
    <s v="Yes"/>
    <n v="31"/>
    <x v="3"/>
    <s v="Month-to-month"/>
    <s v="Fiber optic"/>
    <s v="Mailed check"/>
    <s v="No"/>
    <s v="Yes"/>
    <n v="3"/>
    <n v="71.16"/>
    <n v="2139.46"/>
    <x v="0"/>
  </r>
  <r>
    <x v="1387"/>
    <s v="Female"/>
    <n v="65"/>
    <s v="Yes"/>
    <n v="61"/>
    <x v="0"/>
    <s v="One year"/>
    <s v="No"/>
    <s v="Bank transfer"/>
    <s v="No"/>
    <s v="No"/>
    <n v="3"/>
    <n v="36.57"/>
    <n v="2396.0100000000002"/>
    <x v="0"/>
  </r>
  <r>
    <x v="1388"/>
    <s v="Male"/>
    <n v="35"/>
    <s v="No"/>
    <n v="48"/>
    <x v="3"/>
    <s v="One year"/>
    <s v="No"/>
    <s v="Credit card"/>
    <s v="No"/>
    <s v="No"/>
    <n v="8"/>
    <n v="47.8"/>
    <n v="2161.9699999999998"/>
    <x v="0"/>
  </r>
  <r>
    <x v="1389"/>
    <s v="Male"/>
    <n v="57"/>
    <s v="No"/>
    <n v="25"/>
    <x v="3"/>
    <s v="Two year"/>
    <s v="DSL"/>
    <s v="Electronic check"/>
    <s v="Yes"/>
    <s v="No"/>
    <n v="2"/>
    <n v="45.58"/>
    <n v="1056.32"/>
    <x v="0"/>
  </r>
  <r>
    <x v="1390"/>
    <s v="Female"/>
    <n v="52"/>
    <s v="No"/>
    <n v="36"/>
    <x v="3"/>
    <s v="Two year"/>
    <s v="Fiber optic"/>
    <s v="Credit card"/>
    <s v="No"/>
    <s v="No"/>
    <n v="7"/>
    <n v="83.12"/>
    <n v="2757.31"/>
    <x v="0"/>
  </r>
  <r>
    <x v="1391"/>
    <s v="Female"/>
    <n v="58"/>
    <s v="No"/>
    <n v="8"/>
    <x v="1"/>
    <s v="Month-to-month"/>
    <s v="Fiber optic"/>
    <s v="Bank transfer"/>
    <s v="No"/>
    <s v="No"/>
    <n v="4"/>
    <n v="86.7"/>
    <n v="724.12"/>
    <x v="1"/>
  </r>
  <r>
    <x v="1392"/>
    <s v="Female"/>
    <n v="46"/>
    <s v="No"/>
    <n v="58"/>
    <x v="0"/>
    <s v="Month-to-month"/>
    <s v="No"/>
    <s v="Mailed check"/>
    <s v="No"/>
    <s v="Yes"/>
    <n v="1"/>
    <n v="38.97"/>
    <n v="2099.9499999999998"/>
    <x v="0"/>
  </r>
  <r>
    <x v="1393"/>
    <s v="Female"/>
    <n v="69"/>
    <s v="Yes"/>
    <n v="45"/>
    <x v="3"/>
    <s v="Month-to-month"/>
    <s v="No"/>
    <s v="Credit card"/>
    <s v="No"/>
    <s v="No"/>
    <n v="2"/>
    <n v="27.47"/>
    <n v="1243.79"/>
    <x v="0"/>
  </r>
  <r>
    <x v="1394"/>
    <s v="Male"/>
    <n v="46"/>
    <s v="No"/>
    <n v="62"/>
    <x v="0"/>
    <s v="One year"/>
    <s v="No"/>
    <s v="Electronic check"/>
    <s v="No"/>
    <s v="Yes"/>
    <n v="3"/>
    <n v="56.34"/>
    <n v="3418.91"/>
    <x v="0"/>
  </r>
  <r>
    <x v="1395"/>
    <s v="Female"/>
    <n v="55"/>
    <s v="No"/>
    <n v="39"/>
    <x v="3"/>
    <s v="Two year"/>
    <s v="DSL"/>
    <s v="Electronic check"/>
    <s v="Yes"/>
    <s v="Yes"/>
    <n v="5"/>
    <n v="56.46"/>
    <n v="2077.54"/>
    <x v="0"/>
  </r>
  <r>
    <x v="1396"/>
    <s v="Male"/>
    <n v="59"/>
    <s v="No"/>
    <n v="58"/>
    <x v="0"/>
    <s v="Month-to-month"/>
    <s v="Fiber optic"/>
    <s v="Credit card"/>
    <s v="No"/>
    <s v="No"/>
    <n v="6"/>
    <n v="84.04"/>
    <n v="5061.96"/>
    <x v="0"/>
  </r>
  <r>
    <x v="1397"/>
    <s v="Male"/>
    <n v="38"/>
    <s v="No"/>
    <n v="64"/>
    <x v="0"/>
    <s v="Month-to-month"/>
    <s v="No"/>
    <s v="Mailed check"/>
    <s v="No"/>
    <s v="Yes"/>
    <n v="1"/>
    <n v="32.450000000000003"/>
    <n v="1928.93"/>
    <x v="0"/>
  </r>
  <r>
    <x v="1398"/>
    <s v="Female"/>
    <n v="59"/>
    <s v="No"/>
    <n v="44"/>
    <x v="3"/>
    <s v="Month-to-month"/>
    <s v="Fiber optic"/>
    <s v="Electronic check"/>
    <s v="No"/>
    <s v="Yes"/>
    <n v="6"/>
    <n v="91.11"/>
    <n v="3892.36"/>
    <x v="0"/>
  </r>
  <r>
    <x v="1399"/>
    <s v="Male"/>
    <n v="30"/>
    <s v="No"/>
    <n v="29"/>
    <x v="3"/>
    <s v="Two year"/>
    <s v="Fiber optic"/>
    <s v="Electronic check"/>
    <s v="Yes"/>
    <s v="Yes"/>
    <n v="5"/>
    <n v="80.77"/>
    <n v="2365.64"/>
    <x v="0"/>
  </r>
  <r>
    <x v="1400"/>
    <s v="Male"/>
    <n v="66"/>
    <s v="Yes"/>
    <n v="59"/>
    <x v="0"/>
    <s v="Month-to-month"/>
    <s v="DSL"/>
    <s v="Credit card"/>
    <s v="No"/>
    <s v="Yes"/>
    <n v="5"/>
    <n v="70.66"/>
    <n v="4103.8500000000004"/>
    <x v="0"/>
  </r>
  <r>
    <x v="1401"/>
    <s v="Male"/>
    <n v="58"/>
    <s v="No"/>
    <n v="71"/>
    <x v="0"/>
    <s v="Month-to-month"/>
    <s v="Fiber optic"/>
    <s v="Credit card"/>
    <s v="Yes"/>
    <s v="No"/>
    <n v="5"/>
    <n v="91.39"/>
    <n v="6238.64"/>
    <x v="0"/>
  </r>
  <r>
    <x v="1402"/>
    <s v="Male"/>
    <n v="34"/>
    <s v="No"/>
    <n v="9"/>
    <x v="1"/>
    <s v="Month-to-month"/>
    <s v="Fiber optic"/>
    <s v="Bank transfer"/>
    <s v="No"/>
    <s v="Yes"/>
    <n v="5"/>
    <n v="82.95"/>
    <n v="797.43"/>
    <x v="0"/>
  </r>
  <r>
    <x v="1403"/>
    <s v="Female"/>
    <n v="73"/>
    <s v="Yes"/>
    <n v="6"/>
    <x v="2"/>
    <s v="Two year"/>
    <s v="Fiber optic"/>
    <s v="Credit card"/>
    <s v="No"/>
    <s v="No"/>
    <n v="5"/>
    <n v="81.95"/>
    <n v="525.61"/>
    <x v="0"/>
  </r>
  <r>
    <x v="1404"/>
    <s v="Female"/>
    <n v="26"/>
    <s v="No"/>
    <n v="29"/>
    <x v="3"/>
    <s v="One year"/>
    <s v="Fiber optic"/>
    <s v="Electronic check"/>
    <s v="No"/>
    <s v="No"/>
    <n v="6"/>
    <n v="82.73"/>
    <n v="2366.96"/>
    <x v="0"/>
  </r>
  <r>
    <x v="1405"/>
    <s v="Female"/>
    <n v="58"/>
    <s v="No"/>
    <n v="58"/>
    <x v="0"/>
    <s v="One year"/>
    <s v="No"/>
    <s v="Electronic check"/>
    <s v="No"/>
    <s v="No"/>
    <n v="4"/>
    <n v="33.72"/>
    <n v="1922.51"/>
    <x v="0"/>
  </r>
  <r>
    <x v="1406"/>
    <s v="Female"/>
    <n v="18"/>
    <s v="No"/>
    <n v="17"/>
    <x v="4"/>
    <s v="Month-to-month"/>
    <s v="Fiber optic"/>
    <s v="Bank transfer"/>
    <s v="No"/>
    <s v="No"/>
    <n v="3"/>
    <n v="69.400000000000006"/>
    <n v="1143.44"/>
    <x v="1"/>
  </r>
  <r>
    <x v="1407"/>
    <s v="Male"/>
    <n v="19"/>
    <s v="No"/>
    <n v="16"/>
    <x v="4"/>
    <s v="Month-to-month"/>
    <s v="Fiber optic"/>
    <s v="Bank transfer"/>
    <s v="No"/>
    <s v="No"/>
    <n v="7"/>
    <n v="94.81"/>
    <n v="1603.31"/>
    <x v="0"/>
  </r>
  <r>
    <x v="1408"/>
    <s v="Male"/>
    <n v="65"/>
    <s v="Yes"/>
    <n v="3"/>
    <x v="2"/>
    <s v="One year"/>
    <s v="Fiber optic"/>
    <s v="Electronic check"/>
    <s v="No"/>
    <s v="Yes"/>
    <n v="5"/>
    <n v="83"/>
    <n v="251.71"/>
    <x v="0"/>
  </r>
  <r>
    <x v="1409"/>
    <s v="Female"/>
    <n v="46"/>
    <s v="No"/>
    <n v="21"/>
    <x v="4"/>
    <s v="Two year"/>
    <s v="Fiber optic"/>
    <s v="Electronic check"/>
    <s v="Yes"/>
    <s v="No"/>
    <n v="1"/>
    <n v="65.290000000000006"/>
    <n v="1281.04"/>
    <x v="0"/>
  </r>
  <r>
    <x v="1410"/>
    <s v="Female"/>
    <n v="50"/>
    <s v="No"/>
    <n v="64"/>
    <x v="0"/>
    <s v="Month-to-month"/>
    <s v="Fiber optic"/>
    <s v="Credit card"/>
    <s v="No"/>
    <s v="No"/>
    <n v="5"/>
    <n v="79"/>
    <n v="5341.82"/>
    <x v="0"/>
  </r>
  <r>
    <x v="1411"/>
    <s v="Female"/>
    <n v="27"/>
    <s v="No"/>
    <n v="36"/>
    <x v="3"/>
    <s v="Month-to-month"/>
    <s v="DSL"/>
    <s v="Credit card"/>
    <s v="No"/>
    <s v="No"/>
    <n v="6"/>
    <n v="63.15"/>
    <n v="2286.09"/>
    <x v="0"/>
  </r>
  <r>
    <x v="1412"/>
    <s v="Male"/>
    <n v="67"/>
    <s v="Yes"/>
    <n v="62"/>
    <x v="0"/>
    <s v="Month-to-month"/>
    <s v="Fiber optic"/>
    <s v="Bank transfer"/>
    <s v="Yes"/>
    <s v="No"/>
    <n v="1"/>
    <n v="66.680000000000007"/>
    <n v="4078.33"/>
    <x v="0"/>
  </r>
  <r>
    <x v="1413"/>
    <s v="Female"/>
    <n v="75"/>
    <s v="Yes"/>
    <n v="42"/>
    <x v="3"/>
    <s v="Month-to-month"/>
    <s v="DSL"/>
    <s v="Electronic check"/>
    <s v="Yes"/>
    <s v="Yes"/>
    <n v="4"/>
    <n v="58.13"/>
    <n v="2378.12"/>
    <x v="0"/>
  </r>
  <r>
    <x v="1414"/>
    <s v="Female"/>
    <n v="57"/>
    <s v="No"/>
    <n v="42"/>
    <x v="3"/>
    <s v="Two year"/>
    <s v="No"/>
    <s v="Credit card"/>
    <s v="No"/>
    <s v="No"/>
    <n v="2"/>
    <n v="32.99"/>
    <n v="1296.78"/>
    <x v="0"/>
  </r>
  <r>
    <x v="1415"/>
    <s v="Female"/>
    <n v="38"/>
    <s v="No"/>
    <n v="61"/>
    <x v="0"/>
    <s v="Month-to-month"/>
    <s v="DSL"/>
    <s v="Credit card"/>
    <s v="Yes"/>
    <s v="Yes"/>
    <n v="2"/>
    <n v="47.89"/>
    <n v="3134.76"/>
    <x v="0"/>
  </r>
  <r>
    <x v="1416"/>
    <s v="Male"/>
    <n v="45"/>
    <s v="No"/>
    <n v="13"/>
    <x v="4"/>
    <s v="Month-to-month"/>
    <s v="Fiber optic"/>
    <s v="Mailed check"/>
    <s v="Yes"/>
    <s v="No"/>
    <n v="2"/>
    <n v="66.3"/>
    <n v="895.17"/>
    <x v="0"/>
  </r>
  <r>
    <x v="1417"/>
    <s v="Male"/>
    <n v="28"/>
    <s v="No"/>
    <n v="11"/>
    <x v="1"/>
    <s v="Month-to-month"/>
    <s v="Fiber optic"/>
    <s v="Credit card"/>
    <s v="No"/>
    <s v="No"/>
    <n v="5"/>
    <n v="83.06"/>
    <n v="859.83"/>
    <x v="1"/>
  </r>
  <r>
    <x v="1418"/>
    <s v="Male"/>
    <n v="72"/>
    <s v="Yes"/>
    <n v="54"/>
    <x v="0"/>
    <s v="Month-to-month"/>
    <s v="No"/>
    <s v="Credit card"/>
    <s v="No"/>
    <s v="No"/>
    <n v="1"/>
    <n v="33.549999999999997"/>
    <n v="1814.97"/>
    <x v="0"/>
  </r>
  <r>
    <x v="1419"/>
    <s v="Male"/>
    <n v="51"/>
    <s v="No"/>
    <n v="16"/>
    <x v="4"/>
    <s v="Month-to-month"/>
    <s v="DSL"/>
    <s v="Credit card"/>
    <s v="No"/>
    <s v="No"/>
    <n v="6"/>
    <n v="63.44"/>
    <n v="1024.07"/>
    <x v="1"/>
  </r>
  <r>
    <x v="1420"/>
    <s v="Male"/>
    <n v="25"/>
    <s v="No"/>
    <n v="8"/>
    <x v="1"/>
    <s v="Month-to-month"/>
    <s v="No"/>
    <s v="Credit card"/>
    <s v="Yes"/>
    <s v="No"/>
    <n v="4"/>
    <n v="24.29"/>
    <n v="183.99"/>
    <x v="1"/>
  </r>
  <r>
    <x v="1421"/>
    <s v="Male"/>
    <n v="39"/>
    <s v="No"/>
    <n v="59"/>
    <x v="0"/>
    <s v="Month-to-month"/>
    <s v="No"/>
    <s v="Bank transfer"/>
    <s v="Yes"/>
    <s v="No"/>
    <n v="2"/>
    <n v="23.43"/>
    <n v="1366.27"/>
    <x v="0"/>
  </r>
  <r>
    <x v="1422"/>
    <s v="Male"/>
    <n v="25"/>
    <s v="No"/>
    <n v="57"/>
    <x v="0"/>
    <s v="One year"/>
    <s v="No"/>
    <s v="Bank transfer"/>
    <s v="No"/>
    <s v="Yes"/>
    <n v="4"/>
    <n v="48.52"/>
    <n v="2830.13"/>
    <x v="0"/>
  </r>
  <r>
    <x v="1423"/>
    <s v="Male"/>
    <n v="66"/>
    <s v="Yes"/>
    <n v="40"/>
    <x v="3"/>
    <s v="Month-to-month"/>
    <s v="No"/>
    <s v="Mailed check"/>
    <s v="Yes"/>
    <s v="No"/>
    <n v="4"/>
    <n v="47.96"/>
    <n v="1852.1"/>
    <x v="0"/>
  </r>
  <r>
    <x v="1424"/>
    <s v="Female"/>
    <n v="32"/>
    <s v="No"/>
    <n v="59"/>
    <x v="0"/>
    <s v="Month-to-month"/>
    <s v="DSL"/>
    <s v="Bank transfer"/>
    <s v="No"/>
    <s v="No"/>
    <n v="6"/>
    <n v="71.53"/>
    <n v="4106.57"/>
    <x v="0"/>
  </r>
  <r>
    <x v="1425"/>
    <s v="Female"/>
    <n v="34"/>
    <s v="No"/>
    <n v="2"/>
    <x v="2"/>
    <s v="Two year"/>
    <s v="Fiber optic"/>
    <s v="Credit card"/>
    <s v="Yes"/>
    <s v="No"/>
    <n v="6"/>
    <n v="90.59"/>
    <n v="170.22"/>
    <x v="1"/>
  </r>
  <r>
    <x v="1426"/>
    <s v="Male"/>
    <n v="40"/>
    <s v="No"/>
    <n v="10"/>
    <x v="1"/>
    <s v="One year"/>
    <s v="No"/>
    <s v="Credit card"/>
    <s v="No"/>
    <s v="No"/>
    <n v="4"/>
    <n v="48.12"/>
    <n v="474.52"/>
    <x v="0"/>
  </r>
  <r>
    <x v="1427"/>
    <s v="Male"/>
    <n v="41"/>
    <s v="No"/>
    <n v="44"/>
    <x v="3"/>
    <s v="One year"/>
    <s v="DSL"/>
    <s v="Mailed check"/>
    <s v="No"/>
    <s v="No"/>
    <n v="5"/>
    <n v="60.6"/>
    <n v="2702.18"/>
    <x v="0"/>
  </r>
  <r>
    <x v="1428"/>
    <s v="Female"/>
    <n v="62"/>
    <s v="Yes"/>
    <n v="11"/>
    <x v="1"/>
    <s v="Month-to-month"/>
    <s v="Fiber optic"/>
    <s v="Bank transfer"/>
    <s v="Yes"/>
    <s v="No"/>
    <n v="3"/>
    <n v="75.97"/>
    <n v="784.4"/>
    <x v="1"/>
  </r>
  <r>
    <x v="1429"/>
    <s v="Male"/>
    <n v="36"/>
    <s v="No"/>
    <n v="2"/>
    <x v="2"/>
    <s v="Month-to-month"/>
    <s v="DSL"/>
    <s v="Mailed check"/>
    <s v="No"/>
    <s v="Yes"/>
    <n v="4"/>
    <n v="53.6"/>
    <n v="109.17"/>
    <x v="0"/>
  </r>
  <r>
    <x v="1430"/>
    <s v="Male"/>
    <n v="22"/>
    <s v="No"/>
    <n v="50"/>
    <x v="0"/>
    <s v="Month-to-month"/>
    <s v="DSL"/>
    <s v="Bank transfer"/>
    <s v="Yes"/>
    <s v="No"/>
    <n v="3"/>
    <n v="53.77"/>
    <n v="2644.53"/>
    <x v="0"/>
  </r>
  <r>
    <x v="1431"/>
    <s v="Male"/>
    <n v="49"/>
    <s v="No"/>
    <n v="12"/>
    <x v="1"/>
    <s v="Month-to-month"/>
    <s v="No"/>
    <s v="Bank transfer"/>
    <s v="No"/>
    <s v="No"/>
    <n v="3"/>
    <n v="50.27"/>
    <n v="620.44000000000005"/>
    <x v="0"/>
  </r>
  <r>
    <x v="1432"/>
    <s v="Female"/>
    <n v="61"/>
    <s v="Yes"/>
    <n v="23"/>
    <x v="4"/>
    <s v="Month-to-month"/>
    <s v="DSL"/>
    <s v="Electronic check"/>
    <s v="No"/>
    <s v="No"/>
    <n v="3"/>
    <n v="49.21"/>
    <n v="1098.3"/>
    <x v="0"/>
  </r>
  <r>
    <x v="1433"/>
    <s v="Female"/>
    <n v="18"/>
    <s v="No"/>
    <n v="18"/>
    <x v="4"/>
    <s v="Two year"/>
    <s v="Fiber optic"/>
    <s v="Bank transfer"/>
    <s v="No"/>
    <s v="No"/>
    <n v="4"/>
    <n v="70.84"/>
    <n v="1289.0999999999999"/>
    <x v="1"/>
  </r>
  <r>
    <x v="1434"/>
    <s v="Female"/>
    <n v="40"/>
    <s v="No"/>
    <n v="62"/>
    <x v="0"/>
    <s v="Month-to-month"/>
    <s v="No"/>
    <s v="Electronic check"/>
    <s v="No"/>
    <s v="Yes"/>
    <n v="4"/>
    <n v="39.64"/>
    <n v="2502.04"/>
    <x v="0"/>
  </r>
  <r>
    <x v="1435"/>
    <s v="Female"/>
    <n v="54"/>
    <s v="No"/>
    <n v="62"/>
    <x v="0"/>
    <s v="Month-to-month"/>
    <s v="No"/>
    <s v="Electronic check"/>
    <s v="No"/>
    <s v="No"/>
    <n v="3"/>
    <n v="34.200000000000003"/>
    <n v="2185.0300000000002"/>
    <x v="0"/>
  </r>
  <r>
    <x v="1436"/>
    <s v="Female"/>
    <n v="25"/>
    <s v="No"/>
    <n v="38"/>
    <x v="3"/>
    <s v="One year"/>
    <s v="DSL"/>
    <s v="Credit card"/>
    <s v="Yes"/>
    <s v="No"/>
    <n v="4"/>
    <n v="60.86"/>
    <n v="2407.75"/>
    <x v="0"/>
  </r>
  <r>
    <x v="1437"/>
    <s v="Male"/>
    <n v="30"/>
    <s v="No"/>
    <n v="67"/>
    <x v="0"/>
    <s v="Month-to-month"/>
    <s v="Fiber optic"/>
    <s v="Electronic check"/>
    <s v="Yes"/>
    <s v="No"/>
    <n v="3"/>
    <n v="80.55"/>
    <n v="5082.84"/>
    <x v="0"/>
  </r>
  <r>
    <x v="1438"/>
    <s v="Female"/>
    <n v="25"/>
    <s v="No"/>
    <n v="38"/>
    <x v="3"/>
    <s v="One year"/>
    <s v="Fiber optic"/>
    <s v="Mailed check"/>
    <s v="No"/>
    <s v="No"/>
    <n v="5"/>
    <n v="80.38"/>
    <n v="3281.81"/>
    <x v="0"/>
  </r>
  <r>
    <x v="1439"/>
    <s v="Male"/>
    <n v="74"/>
    <s v="Yes"/>
    <n v="67"/>
    <x v="0"/>
    <s v="One year"/>
    <s v="DSL"/>
    <s v="Electronic check"/>
    <s v="No"/>
    <s v="Yes"/>
    <n v="7"/>
    <n v="85.75"/>
    <n v="6061.14"/>
    <x v="0"/>
  </r>
  <r>
    <x v="1440"/>
    <s v="Male"/>
    <n v="40"/>
    <s v="No"/>
    <n v="61"/>
    <x v="0"/>
    <s v="One year"/>
    <s v="Fiber optic"/>
    <s v="Electronic check"/>
    <s v="Yes"/>
    <s v="Yes"/>
    <n v="4"/>
    <n v="87.61"/>
    <n v="5397.5"/>
    <x v="0"/>
  </r>
  <r>
    <x v="1441"/>
    <s v="Female"/>
    <n v="60"/>
    <s v="Yes"/>
    <n v="1"/>
    <x v="2"/>
    <s v="Two year"/>
    <s v="Fiber optic"/>
    <s v="Credit card"/>
    <s v="Yes"/>
    <s v="No"/>
    <n v="6"/>
    <n v="81.66"/>
    <n v="86.76"/>
    <x v="0"/>
  </r>
  <r>
    <x v="1442"/>
    <s v="Female"/>
    <n v="18"/>
    <s v="No"/>
    <n v="45"/>
    <x v="3"/>
    <s v="Month-to-month"/>
    <s v="DSL"/>
    <s v="Mailed check"/>
    <s v="No"/>
    <s v="Yes"/>
    <n v="4"/>
    <n v="58.45"/>
    <n v="2580.77"/>
    <x v="0"/>
  </r>
  <r>
    <x v="1443"/>
    <s v="Male"/>
    <n v="62"/>
    <s v="Yes"/>
    <n v="28"/>
    <x v="3"/>
    <s v="Month-to-month"/>
    <s v="DSL"/>
    <s v="Credit card"/>
    <s v="No"/>
    <s v="No"/>
    <n v="4"/>
    <n v="62.7"/>
    <n v="1624.78"/>
    <x v="1"/>
  </r>
  <r>
    <x v="1444"/>
    <s v="Male"/>
    <n v="68"/>
    <s v="Yes"/>
    <n v="21"/>
    <x v="4"/>
    <s v="Two year"/>
    <s v="Fiber optic"/>
    <s v="Mailed check"/>
    <s v="No"/>
    <s v="Yes"/>
    <n v="2"/>
    <n v="65.2"/>
    <n v="1418.94"/>
    <x v="0"/>
  </r>
  <r>
    <x v="1445"/>
    <s v="Male"/>
    <n v="41"/>
    <s v="No"/>
    <n v="13"/>
    <x v="4"/>
    <s v="One year"/>
    <s v="Fiber optic"/>
    <s v="Electronic check"/>
    <s v="No"/>
    <s v="Yes"/>
    <n v="5"/>
    <n v="68.55"/>
    <n v="954.36"/>
    <x v="0"/>
  </r>
  <r>
    <x v="1446"/>
    <s v="Female"/>
    <n v="52"/>
    <s v="No"/>
    <n v="27"/>
    <x v="3"/>
    <s v="Month-to-month"/>
    <s v="Fiber optic"/>
    <s v="Mailed check"/>
    <s v="No"/>
    <s v="No"/>
    <n v="3"/>
    <n v="88.51"/>
    <n v="2260.48"/>
    <x v="0"/>
  </r>
  <r>
    <x v="1447"/>
    <s v="Female"/>
    <n v="41"/>
    <s v="No"/>
    <n v="7"/>
    <x v="1"/>
    <s v="Two year"/>
    <s v="DSL"/>
    <s v="Bank transfer"/>
    <s v="Yes"/>
    <s v="No"/>
    <n v="4"/>
    <n v="51.25"/>
    <n v="367.01"/>
    <x v="0"/>
  </r>
  <r>
    <x v="1448"/>
    <s v="Female"/>
    <n v="34"/>
    <s v="No"/>
    <n v="22"/>
    <x v="4"/>
    <s v="Month-to-month"/>
    <s v="Fiber optic"/>
    <s v="Bank transfer"/>
    <s v="Yes"/>
    <s v="Yes"/>
    <n v="3"/>
    <n v="80.97"/>
    <n v="1870.67"/>
    <x v="1"/>
  </r>
  <r>
    <x v="1449"/>
    <s v="Female"/>
    <n v="22"/>
    <s v="No"/>
    <n v="53"/>
    <x v="0"/>
    <s v="Two year"/>
    <s v="Fiber optic"/>
    <s v="Credit card"/>
    <s v="Yes"/>
    <s v="Yes"/>
    <n v="5"/>
    <n v="87.9"/>
    <n v="4960.63"/>
    <x v="0"/>
  </r>
  <r>
    <x v="1450"/>
    <s v="Female"/>
    <n v="37"/>
    <s v="No"/>
    <n v="4"/>
    <x v="2"/>
    <s v="Month-to-month"/>
    <s v="DSL"/>
    <s v="Bank transfer"/>
    <s v="No"/>
    <s v="Yes"/>
    <n v="7"/>
    <n v="65.290000000000006"/>
    <n v="251.82"/>
    <x v="1"/>
  </r>
  <r>
    <x v="1451"/>
    <s v="Male"/>
    <n v="38"/>
    <s v="No"/>
    <n v="23"/>
    <x v="4"/>
    <s v="Month-to-month"/>
    <s v="No"/>
    <s v="Mailed check"/>
    <s v="No"/>
    <s v="No"/>
    <n v="6"/>
    <n v="62.72"/>
    <n v="1356.87"/>
    <x v="0"/>
  </r>
  <r>
    <x v="1452"/>
    <s v="Female"/>
    <n v="57"/>
    <s v="No"/>
    <n v="70"/>
    <x v="0"/>
    <s v="Two year"/>
    <s v="DSL"/>
    <s v="Credit card"/>
    <s v="No"/>
    <s v="Yes"/>
    <n v="2"/>
    <n v="51.45"/>
    <n v="3456.2"/>
    <x v="0"/>
  </r>
  <r>
    <x v="1453"/>
    <s v="Male"/>
    <n v="75"/>
    <s v="Yes"/>
    <n v="33"/>
    <x v="3"/>
    <s v="Month-to-month"/>
    <s v="Fiber optic"/>
    <s v="Credit card"/>
    <s v="Yes"/>
    <s v="No"/>
    <n v="5"/>
    <n v="83.96"/>
    <n v="2805.13"/>
    <x v="0"/>
  </r>
  <r>
    <x v="1454"/>
    <s v="Male"/>
    <n v="48"/>
    <s v="No"/>
    <n v="28"/>
    <x v="3"/>
    <s v="Month-to-month"/>
    <s v="Fiber optic"/>
    <s v="Mailed check"/>
    <s v="No"/>
    <s v="No"/>
    <n v="3"/>
    <n v="64.23"/>
    <n v="1918.93"/>
    <x v="1"/>
  </r>
  <r>
    <x v="1455"/>
    <s v="Male"/>
    <n v="63"/>
    <s v="Yes"/>
    <n v="8"/>
    <x v="1"/>
    <s v="Month-to-month"/>
    <s v="No"/>
    <s v="Electronic check"/>
    <s v="No"/>
    <s v="No"/>
    <n v="5"/>
    <n v="30.22"/>
    <n v="244.95"/>
    <x v="0"/>
  </r>
  <r>
    <x v="1456"/>
    <s v="Female"/>
    <n v="53"/>
    <s v="No"/>
    <n v="1"/>
    <x v="2"/>
    <s v="Two year"/>
    <s v="Fiber optic"/>
    <s v="Bank transfer"/>
    <s v="No"/>
    <s v="Yes"/>
    <n v="2"/>
    <n v="69.3"/>
    <n v="73.95"/>
    <x v="1"/>
  </r>
  <r>
    <x v="1457"/>
    <s v="Female"/>
    <n v="28"/>
    <s v="No"/>
    <n v="37"/>
    <x v="3"/>
    <s v="Two year"/>
    <s v="DSL"/>
    <s v="Mailed check"/>
    <s v="Yes"/>
    <s v="No"/>
    <n v="2"/>
    <n v="60.08"/>
    <n v="2319.0100000000002"/>
    <x v="0"/>
  </r>
  <r>
    <x v="1458"/>
    <s v="Female"/>
    <n v="69"/>
    <s v="Yes"/>
    <n v="63"/>
    <x v="0"/>
    <s v="One year"/>
    <s v="Fiber optic"/>
    <s v="Credit card"/>
    <s v="No"/>
    <s v="No"/>
    <n v="5"/>
    <n v="69.97"/>
    <n v="4477.5"/>
    <x v="0"/>
  </r>
  <r>
    <x v="1459"/>
    <s v="Male"/>
    <n v="32"/>
    <s v="No"/>
    <n v="22"/>
    <x v="4"/>
    <s v="One year"/>
    <s v="Fiber optic"/>
    <s v="Mailed check"/>
    <s v="Yes"/>
    <s v="Yes"/>
    <n v="7"/>
    <n v="92.02"/>
    <n v="1869.55"/>
    <x v="0"/>
  </r>
  <r>
    <x v="1460"/>
    <s v="Male"/>
    <n v="36"/>
    <s v="No"/>
    <n v="70"/>
    <x v="0"/>
    <s v="Two year"/>
    <s v="No"/>
    <s v="Electronic check"/>
    <s v="No"/>
    <s v="Yes"/>
    <n v="2"/>
    <n v="33.57"/>
    <n v="2287.14"/>
    <x v="0"/>
  </r>
  <r>
    <x v="1461"/>
    <s v="Male"/>
    <n v="24"/>
    <s v="No"/>
    <n v="21"/>
    <x v="4"/>
    <s v="Month-to-month"/>
    <s v="DSL"/>
    <s v="Credit card"/>
    <s v="No"/>
    <s v="No"/>
    <n v="5"/>
    <n v="71.69"/>
    <n v="1398.89"/>
    <x v="1"/>
  </r>
  <r>
    <x v="1462"/>
    <s v="Male"/>
    <n v="68"/>
    <s v="Yes"/>
    <n v="35"/>
    <x v="3"/>
    <s v="Month-to-month"/>
    <s v="DSL"/>
    <s v="Credit card"/>
    <s v="Yes"/>
    <s v="Yes"/>
    <n v="1"/>
    <n v="54.12"/>
    <n v="1840.33"/>
    <x v="0"/>
  </r>
  <r>
    <x v="1463"/>
    <s v="Male"/>
    <n v="45"/>
    <s v="No"/>
    <n v="5"/>
    <x v="2"/>
    <s v="One year"/>
    <s v="Fiber optic"/>
    <s v="Electronic check"/>
    <s v="No"/>
    <s v="No"/>
    <n v="5"/>
    <n v="83.98"/>
    <n v="390.5"/>
    <x v="0"/>
  </r>
  <r>
    <x v="1464"/>
    <s v="Male"/>
    <n v="68"/>
    <s v="Yes"/>
    <n v="60"/>
    <x v="0"/>
    <s v="Month-to-month"/>
    <s v="Fiber optic"/>
    <s v="Credit card"/>
    <s v="Yes"/>
    <s v="No"/>
    <n v="4"/>
    <n v="78.349999999999994"/>
    <n v="4451.1400000000003"/>
    <x v="0"/>
  </r>
  <r>
    <x v="1465"/>
    <s v="Female"/>
    <n v="60"/>
    <s v="Yes"/>
    <n v="46"/>
    <x v="3"/>
    <s v="Month-to-month"/>
    <s v="DSL"/>
    <s v="Mailed check"/>
    <s v="No"/>
    <s v="No"/>
    <n v="5"/>
    <n v="57.96"/>
    <n v="2628.06"/>
    <x v="0"/>
  </r>
  <r>
    <x v="1466"/>
    <s v="Female"/>
    <n v="75"/>
    <s v="Yes"/>
    <n v="50"/>
    <x v="0"/>
    <s v="Month-to-month"/>
    <s v="DSL"/>
    <s v="Mailed check"/>
    <s v="Yes"/>
    <s v="No"/>
    <n v="2"/>
    <n v="42.98"/>
    <n v="2154.12"/>
    <x v="0"/>
  </r>
  <r>
    <x v="1467"/>
    <s v="Female"/>
    <n v="22"/>
    <s v="No"/>
    <n v="48"/>
    <x v="3"/>
    <s v="Month-to-month"/>
    <s v="Fiber optic"/>
    <s v="Credit card"/>
    <s v="No"/>
    <s v="No"/>
    <n v="5"/>
    <n v="78.62"/>
    <n v="3602.97"/>
    <x v="0"/>
  </r>
  <r>
    <x v="1468"/>
    <s v="Female"/>
    <n v="22"/>
    <s v="No"/>
    <n v="6"/>
    <x v="2"/>
    <s v="Two year"/>
    <s v="Fiber optic"/>
    <s v="Bank transfer"/>
    <s v="No"/>
    <s v="Yes"/>
    <n v="5"/>
    <n v="75.25"/>
    <n v="468.3"/>
    <x v="0"/>
  </r>
  <r>
    <x v="1469"/>
    <s v="Male"/>
    <n v="47"/>
    <s v="No"/>
    <n v="56"/>
    <x v="0"/>
    <s v="Month-to-month"/>
    <s v="Fiber optic"/>
    <s v="Electronic check"/>
    <s v="No"/>
    <s v="Yes"/>
    <n v="6"/>
    <n v="86.26"/>
    <n v="4900.3999999999996"/>
    <x v="0"/>
  </r>
  <r>
    <x v="1470"/>
    <s v="Male"/>
    <n v="71"/>
    <s v="Yes"/>
    <n v="59"/>
    <x v="0"/>
    <s v="One year"/>
    <s v="No"/>
    <s v="Mailed check"/>
    <s v="No"/>
    <s v="No"/>
    <n v="3"/>
    <n v="36.76"/>
    <n v="2235.38"/>
    <x v="0"/>
  </r>
  <r>
    <x v="1471"/>
    <s v="Female"/>
    <n v="49"/>
    <s v="No"/>
    <n v="29"/>
    <x v="3"/>
    <s v="Month-to-month"/>
    <s v="DSL"/>
    <s v="Bank transfer"/>
    <s v="No"/>
    <s v="No"/>
    <n v="2"/>
    <n v="49.08"/>
    <n v="1476.33"/>
    <x v="0"/>
  </r>
  <r>
    <x v="1472"/>
    <s v="Male"/>
    <n v="25"/>
    <s v="No"/>
    <n v="71"/>
    <x v="0"/>
    <s v="Month-to-month"/>
    <s v="No"/>
    <s v="Electronic check"/>
    <s v="Yes"/>
    <s v="No"/>
    <n v="1"/>
    <n v="29.77"/>
    <n v="2190.41"/>
    <x v="1"/>
  </r>
  <r>
    <x v="1473"/>
    <s v="Female"/>
    <n v="27"/>
    <s v="No"/>
    <n v="18"/>
    <x v="4"/>
    <s v="Month-to-month"/>
    <s v="Fiber optic"/>
    <s v="Bank transfer"/>
    <s v="No"/>
    <s v="No"/>
    <n v="3"/>
    <n v="71.790000000000006"/>
    <n v="1382.41"/>
    <x v="1"/>
  </r>
  <r>
    <x v="1474"/>
    <s v="Female"/>
    <n v="55"/>
    <s v="No"/>
    <n v="2"/>
    <x v="2"/>
    <s v="One year"/>
    <s v="No"/>
    <s v="Bank transfer"/>
    <s v="No"/>
    <s v="Yes"/>
    <n v="3"/>
    <n v="42.89"/>
    <n v="82.17"/>
    <x v="0"/>
  </r>
  <r>
    <x v="1475"/>
    <s v="Female"/>
    <n v="64"/>
    <s v="Yes"/>
    <n v="8"/>
    <x v="1"/>
    <s v="One year"/>
    <s v="Fiber optic"/>
    <s v="Mailed check"/>
    <s v="No"/>
    <s v="Yes"/>
    <n v="8"/>
    <n v="96.6"/>
    <n v="744.38"/>
    <x v="0"/>
  </r>
  <r>
    <x v="1476"/>
    <s v="Male"/>
    <n v="49"/>
    <s v="No"/>
    <n v="54"/>
    <x v="0"/>
    <s v="Two year"/>
    <s v="DSL"/>
    <s v="Bank transfer"/>
    <s v="No"/>
    <s v="No"/>
    <n v="3"/>
    <n v="51.61"/>
    <n v="2605.9899999999998"/>
    <x v="0"/>
  </r>
  <r>
    <x v="1477"/>
    <s v="Female"/>
    <n v="65"/>
    <s v="Yes"/>
    <n v="38"/>
    <x v="3"/>
    <s v="One year"/>
    <s v="No"/>
    <s v="Credit card"/>
    <s v="No"/>
    <s v="Yes"/>
    <n v="4"/>
    <n v="32.83"/>
    <n v="1266.02"/>
    <x v="0"/>
  </r>
  <r>
    <x v="1478"/>
    <s v="Female"/>
    <n v="45"/>
    <s v="No"/>
    <n v="48"/>
    <x v="3"/>
    <s v="One year"/>
    <s v="Fiber optic"/>
    <s v="Mailed check"/>
    <s v="No"/>
    <s v="No"/>
    <n v="5"/>
    <n v="82.43"/>
    <n v="3890.29"/>
    <x v="0"/>
  </r>
  <r>
    <x v="1479"/>
    <s v="Female"/>
    <n v="34"/>
    <s v="No"/>
    <n v="27"/>
    <x v="3"/>
    <s v="One year"/>
    <s v="Fiber optic"/>
    <s v="Mailed check"/>
    <s v="No"/>
    <s v="No"/>
    <n v="3"/>
    <n v="82.99"/>
    <n v="2239.37"/>
    <x v="0"/>
  </r>
  <r>
    <x v="1480"/>
    <s v="Male"/>
    <n v="48"/>
    <s v="No"/>
    <n v="20"/>
    <x v="4"/>
    <s v="Two year"/>
    <s v="Fiber optic"/>
    <s v="Electronic check"/>
    <s v="No"/>
    <s v="No"/>
    <n v="3"/>
    <n v="79.13"/>
    <n v="1498.99"/>
    <x v="0"/>
  </r>
  <r>
    <x v="1481"/>
    <s v="Male"/>
    <n v="25"/>
    <s v="No"/>
    <n v="12"/>
    <x v="1"/>
    <s v="One year"/>
    <s v="Fiber optic"/>
    <s v="Bank transfer"/>
    <s v="Yes"/>
    <s v="No"/>
    <n v="4"/>
    <n v="84.31"/>
    <n v="1035.8499999999999"/>
    <x v="1"/>
  </r>
  <r>
    <x v="1482"/>
    <s v="Female"/>
    <n v="57"/>
    <s v="No"/>
    <n v="43"/>
    <x v="3"/>
    <s v="Month-to-month"/>
    <s v="DSL"/>
    <s v="Credit card"/>
    <s v="No"/>
    <s v="Yes"/>
    <n v="6"/>
    <n v="72.069999999999993"/>
    <n v="3158.02"/>
    <x v="0"/>
  </r>
  <r>
    <x v="1483"/>
    <s v="Male"/>
    <n v="42"/>
    <s v="No"/>
    <n v="61"/>
    <x v="0"/>
    <s v="Month-to-month"/>
    <s v="DSL"/>
    <s v="Electronic check"/>
    <s v="No"/>
    <s v="Yes"/>
    <n v="3"/>
    <n v="63.51"/>
    <n v="3728.31"/>
    <x v="0"/>
  </r>
  <r>
    <x v="1484"/>
    <s v="Male"/>
    <n v="26"/>
    <s v="No"/>
    <n v="31"/>
    <x v="3"/>
    <s v="One year"/>
    <s v="DSL"/>
    <s v="Mailed check"/>
    <s v="No"/>
    <s v="No"/>
    <n v="4"/>
    <n v="65.03"/>
    <n v="2004.78"/>
    <x v="0"/>
  </r>
  <r>
    <x v="1485"/>
    <s v="Male"/>
    <n v="19"/>
    <s v="No"/>
    <n v="61"/>
    <x v="0"/>
    <s v="One year"/>
    <s v="DSL"/>
    <s v="Mailed check"/>
    <s v="No"/>
    <s v="No"/>
    <n v="4"/>
    <n v="60.04"/>
    <n v="3893.5"/>
    <x v="0"/>
  </r>
  <r>
    <x v="1486"/>
    <s v="Male"/>
    <n v="32"/>
    <s v="No"/>
    <n v="67"/>
    <x v="0"/>
    <s v="Month-to-month"/>
    <s v="DSL"/>
    <s v="Bank transfer"/>
    <s v="Yes"/>
    <s v="No"/>
    <n v="4"/>
    <n v="56.15"/>
    <n v="3926.68"/>
    <x v="0"/>
  </r>
  <r>
    <x v="1487"/>
    <s v="Male"/>
    <n v="67"/>
    <s v="Yes"/>
    <n v="35"/>
    <x v="3"/>
    <s v="Two year"/>
    <s v="Fiber optic"/>
    <s v="Electronic check"/>
    <s v="No"/>
    <s v="No"/>
    <n v="4"/>
    <n v="85.13"/>
    <n v="2849.38"/>
    <x v="0"/>
  </r>
  <r>
    <x v="1488"/>
    <s v="Male"/>
    <n v="20"/>
    <s v="No"/>
    <n v="15"/>
    <x v="4"/>
    <s v="Two year"/>
    <s v="Fiber optic"/>
    <s v="Credit card"/>
    <s v="No"/>
    <s v="No"/>
    <n v="4"/>
    <n v="62.07"/>
    <n v="987.49"/>
    <x v="0"/>
  </r>
  <r>
    <x v="1489"/>
    <s v="Male"/>
    <n v="66"/>
    <s v="Yes"/>
    <n v="16"/>
    <x v="4"/>
    <s v="Month-to-month"/>
    <s v="No"/>
    <s v="Electronic check"/>
    <s v="No"/>
    <s v="Yes"/>
    <n v="6"/>
    <n v="57.87"/>
    <n v="861.82"/>
    <x v="1"/>
  </r>
  <r>
    <x v="1490"/>
    <s v="Male"/>
    <n v="53"/>
    <s v="No"/>
    <n v="13"/>
    <x v="4"/>
    <s v="Two year"/>
    <s v="Fiber optic"/>
    <s v="Bank transfer"/>
    <s v="Yes"/>
    <s v="Yes"/>
    <n v="4"/>
    <n v="83.83"/>
    <n v="1074.78"/>
    <x v="1"/>
  </r>
  <r>
    <x v="1491"/>
    <s v="Male"/>
    <n v="21"/>
    <s v="No"/>
    <n v="35"/>
    <x v="3"/>
    <s v="Month-to-month"/>
    <s v="DSL"/>
    <s v="Mailed check"/>
    <s v="Yes"/>
    <s v="No"/>
    <n v="1"/>
    <n v="58.47"/>
    <n v="1908.97"/>
    <x v="0"/>
  </r>
  <r>
    <x v="1492"/>
    <s v="Male"/>
    <n v="31"/>
    <s v="No"/>
    <n v="59"/>
    <x v="0"/>
    <s v="Month-to-month"/>
    <s v="Fiber optic"/>
    <s v="Bank transfer"/>
    <s v="No"/>
    <s v="Yes"/>
    <n v="4"/>
    <n v="71.16"/>
    <n v="4483.41"/>
    <x v="0"/>
  </r>
  <r>
    <x v="1493"/>
    <s v="Female"/>
    <n v="58"/>
    <s v="No"/>
    <n v="21"/>
    <x v="4"/>
    <s v="Month-to-month"/>
    <s v="DSL"/>
    <s v="Electronic check"/>
    <s v="No"/>
    <s v="No"/>
    <n v="5"/>
    <n v="71.13"/>
    <n v="1383.96"/>
    <x v="1"/>
  </r>
  <r>
    <x v="1494"/>
    <s v="Female"/>
    <n v="58"/>
    <s v="No"/>
    <n v="54"/>
    <x v="0"/>
    <s v="Month-to-month"/>
    <s v="DSL"/>
    <s v="Bank transfer"/>
    <s v="No"/>
    <s v="No"/>
    <n v="6"/>
    <n v="71.64"/>
    <n v="3652.69"/>
    <x v="1"/>
  </r>
  <r>
    <x v="1495"/>
    <s v="Male"/>
    <n v="42"/>
    <s v="No"/>
    <n v="30"/>
    <x v="3"/>
    <s v="Two year"/>
    <s v="Fiber optic"/>
    <s v="Electronic check"/>
    <s v="Yes"/>
    <s v="Yes"/>
    <n v="3"/>
    <n v="70.75"/>
    <n v="2263.4499999999998"/>
    <x v="0"/>
  </r>
  <r>
    <x v="1496"/>
    <s v="Female"/>
    <n v="75"/>
    <s v="Yes"/>
    <n v="48"/>
    <x v="3"/>
    <s v="Month-to-month"/>
    <s v="Fiber optic"/>
    <s v="Electronic check"/>
    <s v="No"/>
    <s v="No"/>
    <n v="4"/>
    <n v="78.05"/>
    <n v="3795.65"/>
    <x v="0"/>
  </r>
  <r>
    <x v="1497"/>
    <s v="Female"/>
    <n v="72"/>
    <s v="Yes"/>
    <n v="35"/>
    <x v="3"/>
    <s v="Month-to-month"/>
    <s v="DSL"/>
    <s v="Bank transfer"/>
    <s v="Yes"/>
    <s v="No"/>
    <n v="2"/>
    <n v="49.56"/>
    <n v="1816.53"/>
    <x v="0"/>
  </r>
  <r>
    <x v="1498"/>
    <s v="Male"/>
    <n v="67"/>
    <s v="Yes"/>
    <n v="38"/>
    <x v="3"/>
    <s v="Month-to-month"/>
    <s v="Fiber optic"/>
    <s v="Bank transfer"/>
    <s v="Yes"/>
    <s v="No"/>
    <n v="6"/>
    <n v="84.45"/>
    <n v="2960.8"/>
    <x v="1"/>
  </r>
  <r>
    <x v="1499"/>
    <s v="Male"/>
    <n v="27"/>
    <s v="No"/>
    <n v="31"/>
    <x v="3"/>
    <s v="Month-to-month"/>
    <s v="Fiber optic"/>
    <s v="Electronic check"/>
    <s v="No"/>
    <s v="Yes"/>
    <n v="2"/>
    <n v="61.56"/>
    <n v="1883.66"/>
    <x v="1"/>
  </r>
  <r>
    <x v="1500"/>
    <s v="Male"/>
    <n v="38"/>
    <s v="No"/>
    <n v="24"/>
    <x v="4"/>
    <s v="Month-to-month"/>
    <s v="DSL"/>
    <s v="Electronic check"/>
    <s v="No"/>
    <s v="No"/>
    <n v="2"/>
    <n v="59.22"/>
    <n v="1531.45"/>
    <x v="1"/>
  </r>
  <r>
    <x v="1501"/>
    <s v="Female"/>
    <n v="53"/>
    <s v="No"/>
    <n v="49"/>
    <x v="0"/>
    <s v="One year"/>
    <s v="Fiber optic"/>
    <s v="Credit card"/>
    <s v="Yes"/>
    <s v="No"/>
    <n v="5"/>
    <n v="76.38"/>
    <n v="3790.42"/>
    <x v="0"/>
  </r>
  <r>
    <x v="1502"/>
    <s v="Female"/>
    <n v="29"/>
    <s v="No"/>
    <n v="32"/>
    <x v="3"/>
    <s v="Month-to-month"/>
    <s v="No"/>
    <s v="Credit card"/>
    <s v="No"/>
    <s v="No"/>
    <n v="4"/>
    <n v="33.65"/>
    <n v="1137.05"/>
    <x v="0"/>
  </r>
  <r>
    <x v="1503"/>
    <s v="Male"/>
    <n v="44"/>
    <s v="No"/>
    <n v="55"/>
    <x v="0"/>
    <s v="Two year"/>
    <s v="DSL"/>
    <s v="Electronic check"/>
    <s v="Yes"/>
    <s v="Yes"/>
    <n v="2"/>
    <n v="59.39"/>
    <n v="3508.72"/>
    <x v="0"/>
  </r>
  <r>
    <x v="1504"/>
    <s v="Male"/>
    <n v="57"/>
    <s v="No"/>
    <n v="58"/>
    <x v="0"/>
    <s v="Two year"/>
    <s v="Fiber optic"/>
    <s v="Bank transfer"/>
    <s v="Yes"/>
    <s v="No"/>
    <n v="5"/>
    <n v="73.180000000000007"/>
    <n v="4370.1000000000004"/>
    <x v="0"/>
  </r>
  <r>
    <x v="1505"/>
    <s v="Male"/>
    <n v="19"/>
    <s v="No"/>
    <n v="3"/>
    <x v="2"/>
    <s v="Month-to-month"/>
    <s v="DSL"/>
    <s v="Mailed check"/>
    <s v="Yes"/>
    <s v="No"/>
    <n v="5"/>
    <n v="60.88"/>
    <n v="177.6"/>
    <x v="0"/>
  </r>
  <r>
    <x v="1506"/>
    <s v="Female"/>
    <n v="71"/>
    <s v="Yes"/>
    <n v="69"/>
    <x v="0"/>
    <s v="Two year"/>
    <s v="DSL"/>
    <s v="Bank transfer"/>
    <s v="No"/>
    <s v="No"/>
    <n v="8"/>
    <n v="68.040000000000006"/>
    <n v="4550.99"/>
    <x v="0"/>
  </r>
  <r>
    <x v="1507"/>
    <s v="Female"/>
    <n v="30"/>
    <s v="No"/>
    <n v="10"/>
    <x v="1"/>
    <s v="Month-to-month"/>
    <s v="Fiber optic"/>
    <s v="Credit card"/>
    <s v="Yes"/>
    <s v="No"/>
    <n v="2"/>
    <n v="82.46"/>
    <n v="768.04"/>
    <x v="1"/>
  </r>
  <r>
    <x v="1508"/>
    <s v="Female"/>
    <n v="70"/>
    <s v="Yes"/>
    <n v="25"/>
    <x v="3"/>
    <s v="Month-to-month"/>
    <s v="Fiber optic"/>
    <s v="Electronic check"/>
    <s v="No"/>
    <s v="No"/>
    <n v="3"/>
    <n v="83.01"/>
    <n v="2051.27"/>
    <x v="1"/>
  </r>
  <r>
    <x v="1509"/>
    <s v="Female"/>
    <n v="49"/>
    <s v="No"/>
    <n v="68"/>
    <x v="0"/>
    <s v="Month-to-month"/>
    <s v="Fiber optic"/>
    <s v="Credit card"/>
    <s v="Yes"/>
    <s v="No"/>
    <n v="4"/>
    <n v="73.25"/>
    <n v="5312.05"/>
    <x v="0"/>
  </r>
  <r>
    <x v="1510"/>
    <s v="Male"/>
    <n v="48"/>
    <s v="No"/>
    <n v="61"/>
    <x v="0"/>
    <s v="Month-to-month"/>
    <s v="Fiber optic"/>
    <s v="Mailed check"/>
    <s v="Yes"/>
    <s v="Yes"/>
    <n v="4"/>
    <n v="72.02"/>
    <n v="4377.8"/>
    <x v="0"/>
  </r>
  <r>
    <x v="1511"/>
    <s v="Male"/>
    <n v="33"/>
    <s v="No"/>
    <n v="29"/>
    <x v="3"/>
    <s v="Month-to-month"/>
    <s v="Fiber optic"/>
    <s v="Bank transfer"/>
    <s v="Yes"/>
    <s v="No"/>
    <n v="2"/>
    <n v="76.37"/>
    <n v="2360.37"/>
    <x v="0"/>
  </r>
  <r>
    <x v="1512"/>
    <s v="Male"/>
    <n v="49"/>
    <s v="No"/>
    <n v="19"/>
    <x v="4"/>
    <s v="One year"/>
    <s v="Fiber optic"/>
    <s v="Bank transfer"/>
    <s v="No"/>
    <s v="Yes"/>
    <n v="3"/>
    <n v="78.03"/>
    <n v="1557.8"/>
    <x v="0"/>
  </r>
  <r>
    <x v="1513"/>
    <s v="Male"/>
    <n v="49"/>
    <s v="No"/>
    <n v="43"/>
    <x v="3"/>
    <s v="Month-to-month"/>
    <s v="Fiber optic"/>
    <s v="Credit card"/>
    <s v="No"/>
    <s v="No"/>
    <n v="6"/>
    <n v="84.52"/>
    <n v="3915.91"/>
    <x v="0"/>
  </r>
  <r>
    <x v="1514"/>
    <s v="Female"/>
    <n v="51"/>
    <s v="No"/>
    <n v="66"/>
    <x v="0"/>
    <s v="One year"/>
    <s v="DSL"/>
    <s v="Electronic check"/>
    <s v="No"/>
    <s v="No"/>
    <n v="2"/>
    <n v="47.87"/>
    <n v="3385.73"/>
    <x v="0"/>
  </r>
  <r>
    <x v="1515"/>
    <s v="Female"/>
    <n v="28"/>
    <s v="No"/>
    <n v="61"/>
    <x v="0"/>
    <s v="Month-to-month"/>
    <s v="DSL"/>
    <s v="Electronic check"/>
    <s v="No"/>
    <s v="Yes"/>
    <n v="6"/>
    <n v="65.36"/>
    <n v="4118.68"/>
    <x v="0"/>
  </r>
  <r>
    <x v="1516"/>
    <s v="Male"/>
    <n v="27"/>
    <s v="No"/>
    <n v="43"/>
    <x v="3"/>
    <s v="One year"/>
    <s v="DSL"/>
    <s v="Electronic check"/>
    <s v="No"/>
    <s v="No"/>
    <n v="2"/>
    <n v="57.31"/>
    <n v="2610.6999999999998"/>
    <x v="0"/>
  </r>
  <r>
    <x v="1517"/>
    <s v="Male"/>
    <n v="32"/>
    <s v="No"/>
    <n v="25"/>
    <x v="3"/>
    <s v="Month-to-month"/>
    <s v="DSL"/>
    <s v="Credit card"/>
    <s v="No"/>
    <s v="No"/>
    <n v="5"/>
    <n v="73.989999999999995"/>
    <n v="1923.17"/>
    <x v="1"/>
  </r>
  <r>
    <x v="1518"/>
    <s v="Female"/>
    <n v="34"/>
    <s v="No"/>
    <n v="20"/>
    <x v="4"/>
    <s v="Month-to-month"/>
    <s v="No"/>
    <s v="Bank transfer"/>
    <s v="Yes"/>
    <s v="Yes"/>
    <n v="7"/>
    <n v="65.760000000000005"/>
    <n v="1358"/>
    <x v="0"/>
  </r>
  <r>
    <x v="1519"/>
    <s v="Male"/>
    <n v="57"/>
    <s v="No"/>
    <n v="48"/>
    <x v="3"/>
    <s v="Month-to-month"/>
    <s v="DSL"/>
    <s v="Bank transfer"/>
    <s v="No"/>
    <s v="No"/>
    <n v="4"/>
    <n v="53.86"/>
    <n v="2674.45"/>
    <x v="0"/>
  </r>
  <r>
    <x v="1520"/>
    <s v="Female"/>
    <n v="35"/>
    <s v="No"/>
    <n v="24"/>
    <x v="4"/>
    <s v="Month-to-month"/>
    <s v="DSL"/>
    <s v="Electronic check"/>
    <s v="No"/>
    <s v="No"/>
    <n v="4"/>
    <n v="59.41"/>
    <n v="1476.27"/>
    <x v="0"/>
  </r>
  <r>
    <x v="1521"/>
    <s v="Male"/>
    <n v="72"/>
    <s v="Yes"/>
    <n v="11"/>
    <x v="1"/>
    <s v="Month-to-month"/>
    <s v="Fiber optic"/>
    <s v="Credit card"/>
    <s v="No"/>
    <s v="No"/>
    <n v="4"/>
    <n v="88.4"/>
    <n v="953.64"/>
    <x v="0"/>
  </r>
  <r>
    <x v="1522"/>
    <s v="Male"/>
    <n v="26"/>
    <s v="No"/>
    <n v="55"/>
    <x v="0"/>
    <s v="Two year"/>
    <s v="No"/>
    <s v="Credit card"/>
    <s v="No"/>
    <s v="No"/>
    <n v="4"/>
    <n v="34.909999999999997"/>
    <n v="1896.57"/>
    <x v="0"/>
  </r>
  <r>
    <x v="1523"/>
    <s v="Male"/>
    <n v="42"/>
    <s v="No"/>
    <n v="28"/>
    <x v="3"/>
    <s v="Month-to-month"/>
    <s v="Fiber optic"/>
    <s v="Bank transfer"/>
    <s v="No"/>
    <s v="No"/>
    <n v="7"/>
    <n v="86.23"/>
    <n v="2334.89"/>
    <x v="1"/>
  </r>
  <r>
    <x v="1524"/>
    <s v="Male"/>
    <n v="57"/>
    <s v="No"/>
    <n v="69"/>
    <x v="0"/>
    <s v="One year"/>
    <s v="Fiber optic"/>
    <s v="Electronic check"/>
    <s v="No"/>
    <s v="No"/>
    <n v="8"/>
    <n v="100.58"/>
    <n v="6549.45"/>
    <x v="0"/>
  </r>
  <r>
    <x v="1525"/>
    <s v="Male"/>
    <n v="31"/>
    <s v="No"/>
    <n v="63"/>
    <x v="0"/>
    <s v="One year"/>
    <s v="DSL"/>
    <s v="Electronic check"/>
    <s v="No"/>
    <s v="No"/>
    <n v="5"/>
    <n v="59.72"/>
    <n v="3737.34"/>
    <x v="1"/>
  </r>
  <r>
    <x v="1526"/>
    <s v="Male"/>
    <n v="75"/>
    <s v="Yes"/>
    <n v="59"/>
    <x v="0"/>
    <s v="Two year"/>
    <s v="Fiber optic"/>
    <s v="Bank transfer"/>
    <s v="No"/>
    <s v="No"/>
    <n v="3"/>
    <n v="64.67"/>
    <n v="4059.69"/>
    <x v="0"/>
  </r>
  <r>
    <x v="1527"/>
    <s v="Male"/>
    <n v="42"/>
    <s v="No"/>
    <n v="5"/>
    <x v="2"/>
    <s v="Month-to-month"/>
    <s v="Fiber optic"/>
    <s v="Bank transfer"/>
    <s v="No"/>
    <s v="No"/>
    <n v="7"/>
    <n v="85.21"/>
    <n v="436.36"/>
    <x v="1"/>
  </r>
  <r>
    <x v="1528"/>
    <s v="Female"/>
    <n v="67"/>
    <s v="Yes"/>
    <n v="51"/>
    <x v="0"/>
    <s v="Month-to-month"/>
    <s v="DSL"/>
    <s v="Electronic check"/>
    <s v="No"/>
    <s v="No"/>
    <n v="7"/>
    <n v="77.930000000000007"/>
    <n v="3692.2"/>
    <x v="0"/>
  </r>
  <r>
    <x v="1529"/>
    <s v="Female"/>
    <n v="39"/>
    <s v="No"/>
    <n v="21"/>
    <x v="4"/>
    <s v="Two year"/>
    <s v="DSL"/>
    <s v="Bank transfer"/>
    <s v="No"/>
    <s v="No"/>
    <n v="5"/>
    <n v="64.739999999999995"/>
    <n v="1427.23"/>
    <x v="0"/>
  </r>
  <r>
    <x v="1530"/>
    <s v="Female"/>
    <n v="69"/>
    <s v="Yes"/>
    <n v="12"/>
    <x v="1"/>
    <s v="One year"/>
    <s v="DSL"/>
    <s v="Electronic check"/>
    <s v="No"/>
    <s v="No"/>
    <n v="5"/>
    <n v="52.06"/>
    <n v="668.24"/>
    <x v="0"/>
  </r>
  <r>
    <x v="1531"/>
    <s v="Female"/>
    <n v="47"/>
    <s v="No"/>
    <n v="50"/>
    <x v="0"/>
    <s v="Month-to-month"/>
    <s v="No"/>
    <s v="Credit card"/>
    <s v="Yes"/>
    <s v="No"/>
    <n v="2"/>
    <n v="28.74"/>
    <n v="1512.74"/>
    <x v="0"/>
  </r>
  <r>
    <x v="1532"/>
    <s v="Female"/>
    <n v="37"/>
    <s v="No"/>
    <n v="4"/>
    <x v="2"/>
    <s v="Month-to-month"/>
    <s v="Fiber optic"/>
    <s v="Bank transfer"/>
    <s v="No"/>
    <s v="No"/>
    <n v="2"/>
    <n v="83.76"/>
    <n v="347.24"/>
    <x v="0"/>
  </r>
  <r>
    <x v="1533"/>
    <s v="Male"/>
    <n v="38"/>
    <s v="No"/>
    <n v="42"/>
    <x v="3"/>
    <s v="Month-to-month"/>
    <s v="Fiber optic"/>
    <s v="Electronic check"/>
    <s v="Yes"/>
    <s v="No"/>
    <n v="5"/>
    <n v="82.51"/>
    <n v="3271.42"/>
    <x v="0"/>
  </r>
  <r>
    <x v="1534"/>
    <s v="Male"/>
    <n v="61"/>
    <s v="Yes"/>
    <n v="38"/>
    <x v="3"/>
    <s v="One year"/>
    <s v="DSL"/>
    <s v="Bank transfer"/>
    <s v="No"/>
    <s v="No"/>
    <n v="6"/>
    <n v="65.3"/>
    <n v="2421.4499999999998"/>
    <x v="0"/>
  </r>
  <r>
    <x v="1535"/>
    <s v="Female"/>
    <n v="49"/>
    <s v="No"/>
    <n v="25"/>
    <x v="3"/>
    <s v="One year"/>
    <s v="Fiber optic"/>
    <s v="Mailed check"/>
    <s v="No"/>
    <s v="No"/>
    <n v="4"/>
    <n v="79.06"/>
    <n v="1997.15"/>
    <x v="0"/>
  </r>
  <r>
    <x v="1536"/>
    <s v="Male"/>
    <n v="68"/>
    <s v="Yes"/>
    <n v="14"/>
    <x v="4"/>
    <s v="Month-to-month"/>
    <s v="DSL"/>
    <s v="Electronic check"/>
    <s v="No"/>
    <s v="Yes"/>
    <n v="4"/>
    <n v="60.44"/>
    <n v="788.87"/>
    <x v="0"/>
  </r>
  <r>
    <x v="1537"/>
    <s v="Female"/>
    <n v="63"/>
    <s v="Yes"/>
    <n v="32"/>
    <x v="3"/>
    <s v="One year"/>
    <s v="Fiber optic"/>
    <s v="Credit card"/>
    <s v="No"/>
    <s v="No"/>
    <n v="8"/>
    <n v="92.26"/>
    <n v="2766.33"/>
    <x v="0"/>
  </r>
  <r>
    <x v="1538"/>
    <s v="Female"/>
    <n v="66"/>
    <s v="Yes"/>
    <n v="11"/>
    <x v="1"/>
    <s v="One year"/>
    <s v="DSL"/>
    <s v="Electronic check"/>
    <s v="No"/>
    <s v="No"/>
    <n v="6"/>
    <n v="76.38"/>
    <n v="898.56"/>
    <x v="0"/>
  </r>
  <r>
    <x v="1539"/>
    <s v="Male"/>
    <n v="73"/>
    <s v="Yes"/>
    <n v="61"/>
    <x v="0"/>
    <s v="Month-to-month"/>
    <s v="DSL"/>
    <s v="Electronic check"/>
    <s v="Yes"/>
    <s v="No"/>
    <n v="2"/>
    <n v="47.7"/>
    <n v="3004.06"/>
    <x v="0"/>
  </r>
  <r>
    <x v="1540"/>
    <s v="Male"/>
    <n v="38"/>
    <s v="No"/>
    <n v="18"/>
    <x v="4"/>
    <s v="One year"/>
    <s v="DSL"/>
    <s v="Electronic check"/>
    <s v="No"/>
    <s v="No"/>
    <n v="4"/>
    <n v="65.959999999999994"/>
    <n v="1144.55"/>
    <x v="0"/>
  </r>
  <r>
    <x v="1541"/>
    <s v="Male"/>
    <n v="52"/>
    <s v="No"/>
    <n v="27"/>
    <x v="3"/>
    <s v="Two year"/>
    <s v="DSL"/>
    <s v="Electronic check"/>
    <s v="No"/>
    <s v="No"/>
    <n v="4"/>
    <n v="71.760000000000005"/>
    <n v="1884"/>
    <x v="0"/>
  </r>
  <r>
    <x v="1542"/>
    <s v="Female"/>
    <n v="75"/>
    <s v="Yes"/>
    <n v="55"/>
    <x v="0"/>
    <s v="Month-to-month"/>
    <s v="DSL"/>
    <s v="Electronic check"/>
    <s v="No"/>
    <s v="No"/>
    <n v="1"/>
    <n v="49.64"/>
    <n v="2679.72"/>
    <x v="0"/>
  </r>
  <r>
    <x v="1543"/>
    <s v="Male"/>
    <n v="49"/>
    <s v="No"/>
    <n v="54"/>
    <x v="0"/>
    <s v="Two year"/>
    <s v="Fiber optic"/>
    <s v="Electronic check"/>
    <s v="No"/>
    <s v="No"/>
    <n v="4"/>
    <n v="71.67"/>
    <n v="3607.05"/>
    <x v="0"/>
  </r>
  <r>
    <x v="1544"/>
    <s v="Female"/>
    <n v="47"/>
    <s v="No"/>
    <n v="21"/>
    <x v="4"/>
    <s v="Month-to-month"/>
    <s v="Fiber optic"/>
    <s v="Bank transfer"/>
    <s v="No"/>
    <s v="No"/>
    <n v="4"/>
    <n v="80.319999999999993"/>
    <n v="1751.27"/>
    <x v="1"/>
  </r>
  <r>
    <x v="1545"/>
    <s v="Female"/>
    <n v="72"/>
    <s v="Yes"/>
    <n v="44"/>
    <x v="3"/>
    <s v="Month-to-month"/>
    <s v="Fiber optic"/>
    <s v="Electronic check"/>
    <s v="Yes"/>
    <s v="No"/>
    <n v="5"/>
    <n v="79.05"/>
    <n v="3298.35"/>
    <x v="1"/>
  </r>
  <r>
    <x v="1546"/>
    <s v="Female"/>
    <n v="56"/>
    <s v="No"/>
    <n v="5"/>
    <x v="2"/>
    <s v="Month-to-month"/>
    <s v="Fiber optic"/>
    <s v="Bank transfer"/>
    <s v="No"/>
    <s v="No"/>
    <n v="7"/>
    <n v="97.29"/>
    <n v="510.2"/>
    <x v="1"/>
  </r>
  <r>
    <x v="1547"/>
    <s v="Male"/>
    <n v="66"/>
    <s v="Yes"/>
    <n v="41"/>
    <x v="3"/>
    <s v="Month-to-month"/>
    <s v="Fiber optic"/>
    <s v="Electronic check"/>
    <s v="Yes"/>
    <s v="No"/>
    <n v="4"/>
    <n v="80.45"/>
    <n v="3480.98"/>
    <x v="0"/>
  </r>
  <r>
    <x v="1548"/>
    <s v="Male"/>
    <n v="29"/>
    <s v="No"/>
    <n v="59"/>
    <x v="0"/>
    <s v="Month-to-month"/>
    <s v="DSL"/>
    <s v="Electronic check"/>
    <s v="No"/>
    <s v="No"/>
    <n v="3"/>
    <n v="54.17"/>
    <n v="3266.82"/>
    <x v="0"/>
  </r>
  <r>
    <x v="1549"/>
    <s v="Female"/>
    <n v="58"/>
    <s v="No"/>
    <n v="54"/>
    <x v="0"/>
    <s v="Month-to-month"/>
    <s v="Fiber optic"/>
    <s v="Electronic check"/>
    <s v="No"/>
    <s v="Yes"/>
    <n v="1"/>
    <n v="59.94"/>
    <n v="3376.51"/>
    <x v="0"/>
  </r>
  <r>
    <x v="1550"/>
    <s v="Male"/>
    <n v="64"/>
    <s v="Yes"/>
    <n v="22"/>
    <x v="4"/>
    <s v="Two year"/>
    <s v="DSL"/>
    <s v="Credit card"/>
    <s v="Yes"/>
    <s v="Yes"/>
    <n v="5"/>
    <n v="49.97"/>
    <n v="1041.6199999999999"/>
    <x v="0"/>
  </r>
  <r>
    <x v="1551"/>
    <s v="Male"/>
    <n v="35"/>
    <s v="No"/>
    <n v="65"/>
    <x v="0"/>
    <s v="Month-to-month"/>
    <s v="No"/>
    <s v="Bank transfer"/>
    <s v="No"/>
    <s v="No"/>
    <n v="4"/>
    <n v="35.32"/>
    <n v="2323.69"/>
    <x v="0"/>
  </r>
  <r>
    <x v="1552"/>
    <s v="Male"/>
    <n v="38"/>
    <s v="No"/>
    <n v="64"/>
    <x v="0"/>
    <s v="One year"/>
    <s v="Fiber optic"/>
    <s v="Credit card"/>
    <s v="No"/>
    <s v="No"/>
    <n v="8"/>
    <n v="99.56"/>
    <n v="6552.09"/>
    <x v="0"/>
  </r>
  <r>
    <x v="1553"/>
    <s v="Female"/>
    <n v="30"/>
    <s v="No"/>
    <n v="71"/>
    <x v="0"/>
    <s v="Month-to-month"/>
    <s v="Fiber optic"/>
    <s v="Electronic check"/>
    <s v="No"/>
    <s v="No"/>
    <n v="3"/>
    <n v="83.28"/>
    <n v="6065.73"/>
    <x v="0"/>
  </r>
  <r>
    <x v="1554"/>
    <s v="Female"/>
    <n v="38"/>
    <s v="No"/>
    <n v="4"/>
    <x v="2"/>
    <s v="Two year"/>
    <s v="Fiber optic"/>
    <s v="Credit card"/>
    <s v="Yes"/>
    <s v="No"/>
    <n v="4"/>
    <n v="76.83"/>
    <n v="288.5"/>
    <x v="1"/>
  </r>
  <r>
    <x v="1555"/>
    <s v="Male"/>
    <n v="25"/>
    <s v="No"/>
    <n v="65"/>
    <x v="0"/>
    <s v="One year"/>
    <s v="DSL"/>
    <s v="Electronic check"/>
    <s v="Yes"/>
    <s v="Yes"/>
    <n v="3"/>
    <n v="48.39"/>
    <n v="3067.03"/>
    <x v="0"/>
  </r>
  <r>
    <x v="1556"/>
    <s v="Female"/>
    <n v="63"/>
    <s v="Yes"/>
    <n v="15"/>
    <x v="4"/>
    <s v="Month-to-month"/>
    <s v="Fiber optic"/>
    <s v="Electronic check"/>
    <s v="No"/>
    <s v="Yes"/>
    <n v="5"/>
    <n v="84.33"/>
    <n v="1229.54"/>
    <x v="1"/>
  </r>
  <r>
    <x v="1557"/>
    <s v="Male"/>
    <n v="57"/>
    <s v="No"/>
    <n v="22"/>
    <x v="4"/>
    <s v="One year"/>
    <s v="Fiber optic"/>
    <s v="Bank transfer"/>
    <s v="Yes"/>
    <s v="No"/>
    <n v="6"/>
    <n v="91.82"/>
    <n v="2043.48"/>
    <x v="1"/>
  </r>
  <r>
    <x v="1558"/>
    <s v="Male"/>
    <n v="63"/>
    <s v="Yes"/>
    <n v="47"/>
    <x v="3"/>
    <s v="Month-to-month"/>
    <s v="DSL"/>
    <s v="Mailed check"/>
    <s v="No"/>
    <s v="Yes"/>
    <n v="6"/>
    <n v="72.44"/>
    <n v="3549.17"/>
    <x v="0"/>
  </r>
  <r>
    <x v="1559"/>
    <s v="Male"/>
    <n v="24"/>
    <s v="No"/>
    <n v="46"/>
    <x v="3"/>
    <s v="One year"/>
    <s v="Fiber optic"/>
    <s v="Credit card"/>
    <s v="No"/>
    <s v="No"/>
    <n v="5"/>
    <n v="84.36"/>
    <n v="3924.39"/>
    <x v="0"/>
  </r>
  <r>
    <x v="1560"/>
    <s v="Male"/>
    <n v="40"/>
    <s v="No"/>
    <n v="14"/>
    <x v="4"/>
    <s v="Month-to-month"/>
    <s v="DSL"/>
    <s v="Electronic check"/>
    <s v="Yes"/>
    <s v="No"/>
    <n v="1"/>
    <n v="61.49"/>
    <n v="895.96"/>
    <x v="0"/>
  </r>
  <r>
    <x v="1561"/>
    <s v="Female"/>
    <n v="61"/>
    <s v="Yes"/>
    <n v="50"/>
    <x v="0"/>
    <s v="One year"/>
    <s v="DSL"/>
    <s v="Credit card"/>
    <s v="No"/>
    <s v="No"/>
    <n v="8"/>
    <n v="83.88"/>
    <n v="3924.89"/>
    <x v="0"/>
  </r>
  <r>
    <x v="1562"/>
    <s v="Female"/>
    <n v="49"/>
    <s v="No"/>
    <n v="20"/>
    <x v="4"/>
    <s v="One year"/>
    <s v="DSL"/>
    <s v="Bank transfer"/>
    <s v="No"/>
    <s v="Yes"/>
    <n v="4"/>
    <n v="50.44"/>
    <n v="1069.83"/>
    <x v="1"/>
  </r>
  <r>
    <x v="1563"/>
    <s v="Female"/>
    <n v="28"/>
    <s v="No"/>
    <n v="50"/>
    <x v="0"/>
    <s v="Month-to-month"/>
    <s v="Fiber optic"/>
    <s v="Bank transfer"/>
    <s v="No"/>
    <s v="Yes"/>
    <n v="5"/>
    <n v="72.73"/>
    <n v="3657.81"/>
    <x v="0"/>
  </r>
  <r>
    <x v="1564"/>
    <s v="Male"/>
    <n v="39"/>
    <s v="No"/>
    <n v="33"/>
    <x v="3"/>
    <s v="Month-to-month"/>
    <s v="No"/>
    <s v="Electronic check"/>
    <s v="No"/>
    <s v="No"/>
    <n v="5"/>
    <n v="37.090000000000003"/>
    <n v="1133.4000000000001"/>
    <x v="0"/>
  </r>
  <r>
    <x v="1565"/>
    <s v="Male"/>
    <n v="39"/>
    <s v="No"/>
    <n v="59"/>
    <x v="0"/>
    <s v="Two year"/>
    <s v="DSL"/>
    <s v="Electronic check"/>
    <s v="No"/>
    <s v="No"/>
    <n v="4"/>
    <n v="67.180000000000007"/>
    <n v="4054.44"/>
    <x v="0"/>
  </r>
  <r>
    <x v="1566"/>
    <s v="Male"/>
    <n v="60"/>
    <s v="Yes"/>
    <n v="43"/>
    <x v="3"/>
    <s v="Month-to-month"/>
    <s v="Fiber optic"/>
    <s v="Credit card"/>
    <s v="No"/>
    <s v="Yes"/>
    <n v="6"/>
    <n v="75.040000000000006"/>
    <n v="3235.68"/>
    <x v="0"/>
  </r>
  <r>
    <x v="1567"/>
    <s v="Female"/>
    <n v="42"/>
    <s v="No"/>
    <n v="12"/>
    <x v="1"/>
    <s v="Month-to-month"/>
    <s v="Fiber optic"/>
    <s v="Mailed check"/>
    <s v="No"/>
    <s v="No"/>
    <n v="5"/>
    <n v="86.2"/>
    <n v="988.12"/>
    <x v="1"/>
  </r>
  <r>
    <x v="1568"/>
    <s v="Male"/>
    <n v="39"/>
    <s v="No"/>
    <n v="40"/>
    <x v="3"/>
    <s v="Month-to-month"/>
    <s v="Fiber optic"/>
    <s v="Bank transfer"/>
    <s v="Yes"/>
    <s v="Yes"/>
    <n v="5"/>
    <n v="81.81"/>
    <n v="3410.85"/>
    <x v="0"/>
  </r>
  <r>
    <x v="1569"/>
    <s v="Female"/>
    <n v="45"/>
    <s v="No"/>
    <n v="20"/>
    <x v="4"/>
    <s v="Month-to-month"/>
    <s v="No"/>
    <s v="Credit card"/>
    <s v="No"/>
    <s v="No"/>
    <n v="2"/>
    <n v="24.29"/>
    <n v="519.5"/>
    <x v="0"/>
  </r>
  <r>
    <x v="1570"/>
    <s v="Female"/>
    <n v="46"/>
    <s v="No"/>
    <n v="38"/>
    <x v="3"/>
    <s v="Two year"/>
    <s v="No"/>
    <s v="Electronic check"/>
    <s v="No"/>
    <s v="Yes"/>
    <n v="1"/>
    <n v="30.74"/>
    <n v="1134.98"/>
    <x v="1"/>
  </r>
  <r>
    <x v="1571"/>
    <s v="Female"/>
    <n v="30"/>
    <s v="No"/>
    <n v="3"/>
    <x v="2"/>
    <s v="Month-to-month"/>
    <s v="DSL"/>
    <s v="Bank transfer"/>
    <s v="No"/>
    <s v="No"/>
    <n v="4"/>
    <n v="57.76"/>
    <n v="173.11"/>
    <x v="0"/>
  </r>
  <r>
    <x v="1572"/>
    <s v="Female"/>
    <n v="35"/>
    <s v="No"/>
    <n v="28"/>
    <x v="3"/>
    <s v="Month-to-month"/>
    <s v="No"/>
    <s v="Bank transfer"/>
    <s v="No"/>
    <s v="No"/>
    <n v="3"/>
    <n v="42.65"/>
    <n v="1123.1500000000001"/>
    <x v="0"/>
  </r>
  <r>
    <x v="1573"/>
    <s v="Female"/>
    <n v="19"/>
    <s v="No"/>
    <n v="56"/>
    <x v="0"/>
    <s v="One year"/>
    <s v="Fiber optic"/>
    <s v="Electronic check"/>
    <s v="No"/>
    <s v="Yes"/>
    <n v="4"/>
    <n v="67.61"/>
    <n v="4046.53"/>
    <x v="0"/>
  </r>
  <r>
    <x v="1574"/>
    <s v="Female"/>
    <n v="46"/>
    <s v="No"/>
    <n v="13"/>
    <x v="4"/>
    <s v="Two year"/>
    <s v="Fiber optic"/>
    <s v="Electronic check"/>
    <s v="No"/>
    <s v="No"/>
    <n v="6"/>
    <n v="80.75"/>
    <n v="1019.31"/>
    <x v="0"/>
  </r>
  <r>
    <x v="1575"/>
    <s v="Male"/>
    <n v="38"/>
    <s v="No"/>
    <n v="66"/>
    <x v="0"/>
    <s v="Month-to-month"/>
    <s v="No"/>
    <s v="Mailed check"/>
    <s v="Yes"/>
    <s v="No"/>
    <n v="2"/>
    <n v="26.89"/>
    <n v="1688.07"/>
    <x v="0"/>
  </r>
  <r>
    <x v="1576"/>
    <s v="Male"/>
    <n v="32"/>
    <s v="No"/>
    <n v="37"/>
    <x v="3"/>
    <s v="Month-to-month"/>
    <s v="DSL"/>
    <s v="Mailed check"/>
    <s v="Yes"/>
    <s v="No"/>
    <n v="3"/>
    <n v="59.63"/>
    <n v="2198.6999999999998"/>
    <x v="0"/>
  </r>
  <r>
    <x v="1577"/>
    <s v="Female"/>
    <n v="69"/>
    <s v="Yes"/>
    <n v="49"/>
    <x v="0"/>
    <s v="Two year"/>
    <s v="DSL"/>
    <s v="Bank transfer"/>
    <s v="Yes"/>
    <s v="Yes"/>
    <n v="5"/>
    <n v="61.34"/>
    <n v="2786.02"/>
    <x v="0"/>
  </r>
  <r>
    <x v="1578"/>
    <s v="Female"/>
    <n v="44"/>
    <s v="No"/>
    <n v="66"/>
    <x v="0"/>
    <s v="One year"/>
    <s v="DSL"/>
    <s v="Electronic check"/>
    <s v="No"/>
    <s v="No"/>
    <n v="5"/>
    <n v="71.27"/>
    <n v="4517.8"/>
    <x v="0"/>
  </r>
  <r>
    <x v="1579"/>
    <s v="Male"/>
    <n v="67"/>
    <s v="Yes"/>
    <n v="36"/>
    <x v="3"/>
    <s v="Month-to-month"/>
    <s v="No"/>
    <s v="Credit card"/>
    <s v="No"/>
    <s v="Yes"/>
    <n v="1"/>
    <n v="26.21"/>
    <n v="878.29"/>
    <x v="0"/>
  </r>
  <r>
    <x v="1580"/>
    <s v="Female"/>
    <n v="48"/>
    <s v="No"/>
    <n v="54"/>
    <x v="0"/>
    <s v="Month-to-month"/>
    <s v="DSL"/>
    <s v="Electronic check"/>
    <s v="No"/>
    <s v="No"/>
    <n v="4"/>
    <n v="60.54"/>
    <n v="3074.25"/>
    <x v="0"/>
  </r>
  <r>
    <x v="1581"/>
    <s v="Female"/>
    <n v="32"/>
    <s v="No"/>
    <n v="26"/>
    <x v="3"/>
    <s v="Month-to-month"/>
    <s v="No"/>
    <s v="Bank transfer"/>
    <s v="No"/>
    <s v="No"/>
    <n v="3"/>
    <n v="47.39"/>
    <n v="1155.68"/>
    <x v="1"/>
  </r>
  <r>
    <x v="1582"/>
    <s v="Male"/>
    <n v="68"/>
    <s v="Yes"/>
    <n v="72"/>
    <x v="0"/>
    <s v="Month-to-month"/>
    <s v="DSL"/>
    <s v="Bank transfer"/>
    <s v="No"/>
    <s v="No"/>
    <n v="4"/>
    <n v="46.59"/>
    <n v="3554.36"/>
    <x v="0"/>
  </r>
  <r>
    <x v="1583"/>
    <s v="Female"/>
    <n v="40"/>
    <s v="No"/>
    <n v="40"/>
    <x v="3"/>
    <s v="Month-to-month"/>
    <s v="Fiber optic"/>
    <s v="Electronic check"/>
    <s v="No"/>
    <s v="No"/>
    <n v="5"/>
    <n v="83.2"/>
    <n v="3557.2"/>
    <x v="0"/>
  </r>
  <r>
    <x v="1584"/>
    <s v="Female"/>
    <n v="41"/>
    <s v="No"/>
    <n v="43"/>
    <x v="3"/>
    <s v="Two year"/>
    <s v="No"/>
    <s v="Electronic check"/>
    <s v="No"/>
    <s v="No"/>
    <n v="4"/>
    <n v="40.78"/>
    <n v="1746.39"/>
    <x v="0"/>
  </r>
  <r>
    <x v="1585"/>
    <s v="Female"/>
    <n v="61"/>
    <s v="Yes"/>
    <n v="22"/>
    <x v="4"/>
    <s v="Month-to-month"/>
    <s v="Fiber optic"/>
    <s v="Credit card"/>
    <s v="No"/>
    <s v="No"/>
    <n v="5"/>
    <n v="77.489999999999995"/>
    <n v="1740.35"/>
    <x v="1"/>
  </r>
  <r>
    <x v="1586"/>
    <s v="Male"/>
    <n v="30"/>
    <s v="No"/>
    <n v="20"/>
    <x v="4"/>
    <s v="One year"/>
    <s v="No"/>
    <s v="Credit card"/>
    <s v="Yes"/>
    <s v="Yes"/>
    <n v="3"/>
    <n v="35.85"/>
    <n v="739.47"/>
    <x v="0"/>
  </r>
  <r>
    <x v="1587"/>
    <s v="Male"/>
    <n v="39"/>
    <s v="No"/>
    <n v="8"/>
    <x v="1"/>
    <s v="Month-to-month"/>
    <s v="DSL"/>
    <s v="Electronic check"/>
    <s v="Yes"/>
    <s v="Yes"/>
    <n v="4"/>
    <n v="61.19"/>
    <n v="481.01"/>
    <x v="1"/>
  </r>
  <r>
    <x v="1588"/>
    <s v="Male"/>
    <n v="60"/>
    <s v="Yes"/>
    <n v="29"/>
    <x v="3"/>
    <s v="One year"/>
    <s v="DSL"/>
    <s v="Mailed check"/>
    <s v="No"/>
    <s v="No"/>
    <n v="5"/>
    <n v="57.78"/>
    <n v="1640.82"/>
    <x v="0"/>
  </r>
  <r>
    <x v="1589"/>
    <s v="Female"/>
    <n v="54"/>
    <s v="No"/>
    <n v="40"/>
    <x v="3"/>
    <s v="One year"/>
    <s v="DSL"/>
    <s v="Mailed check"/>
    <s v="No"/>
    <s v="No"/>
    <n v="6"/>
    <n v="67.39"/>
    <n v="2771.32"/>
    <x v="0"/>
  </r>
  <r>
    <x v="1590"/>
    <s v="Female"/>
    <n v="50"/>
    <s v="No"/>
    <n v="30"/>
    <x v="3"/>
    <s v="Month-to-month"/>
    <s v="Fiber optic"/>
    <s v="Electronic check"/>
    <s v="No"/>
    <s v="Yes"/>
    <n v="5"/>
    <n v="75.86"/>
    <n v="2230.91"/>
    <x v="1"/>
  </r>
  <r>
    <x v="1591"/>
    <s v="Male"/>
    <n v="73"/>
    <s v="Yes"/>
    <n v="55"/>
    <x v="0"/>
    <s v="Month-to-month"/>
    <s v="Fiber optic"/>
    <s v="Bank transfer"/>
    <s v="No"/>
    <s v="No"/>
    <n v="4"/>
    <n v="77.569999999999993"/>
    <n v="4321.6499999999996"/>
    <x v="0"/>
  </r>
  <r>
    <x v="1592"/>
    <s v="Female"/>
    <n v="20"/>
    <s v="No"/>
    <n v="16"/>
    <x v="4"/>
    <s v="Month-to-month"/>
    <s v="No"/>
    <s v="Credit card"/>
    <s v="Yes"/>
    <s v="No"/>
    <n v="4"/>
    <n v="47.5"/>
    <n v="761.85"/>
    <x v="0"/>
  </r>
  <r>
    <x v="1593"/>
    <s v="Female"/>
    <n v="71"/>
    <s v="Yes"/>
    <n v="46"/>
    <x v="3"/>
    <s v="Two year"/>
    <s v="No"/>
    <s v="Electronic check"/>
    <s v="No"/>
    <s v="No"/>
    <n v="4"/>
    <n v="47.83"/>
    <n v="2208.79"/>
    <x v="0"/>
  </r>
  <r>
    <x v="1594"/>
    <s v="Female"/>
    <n v="36"/>
    <s v="No"/>
    <n v="62"/>
    <x v="0"/>
    <s v="Two year"/>
    <s v="Fiber optic"/>
    <s v="Credit card"/>
    <s v="No"/>
    <s v="Yes"/>
    <n v="2"/>
    <n v="79.209999999999994"/>
    <n v="5169.82"/>
    <x v="0"/>
  </r>
  <r>
    <x v="1595"/>
    <s v="Female"/>
    <n v="40"/>
    <s v="No"/>
    <n v="7"/>
    <x v="1"/>
    <s v="Month-to-month"/>
    <s v="No"/>
    <s v="Electronic check"/>
    <s v="Yes"/>
    <s v="No"/>
    <n v="5"/>
    <n v="44.29"/>
    <n v="320.14999999999998"/>
    <x v="1"/>
  </r>
  <r>
    <x v="1596"/>
    <s v="Female"/>
    <n v="46"/>
    <s v="No"/>
    <n v="45"/>
    <x v="3"/>
    <s v="Month-to-month"/>
    <s v="No"/>
    <s v="Bank transfer"/>
    <s v="No"/>
    <s v="Yes"/>
    <n v="7"/>
    <n v="50.71"/>
    <n v="2450.15"/>
    <x v="0"/>
  </r>
  <r>
    <x v="1597"/>
    <s v="Male"/>
    <n v="47"/>
    <s v="No"/>
    <n v="59"/>
    <x v="0"/>
    <s v="Month-to-month"/>
    <s v="DSL"/>
    <s v="Mailed check"/>
    <s v="No"/>
    <s v="Yes"/>
    <n v="1"/>
    <n v="52.17"/>
    <n v="3221.33"/>
    <x v="0"/>
  </r>
  <r>
    <x v="1598"/>
    <s v="Female"/>
    <n v="56"/>
    <s v="No"/>
    <n v="56"/>
    <x v="0"/>
    <s v="One year"/>
    <s v="Fiber optic"/>
    <s v="Mailed check"/>
    <s v="No"/>
    <s v="No"/>
    <n v="3"/>
    <n v="83.17"/>
    <n v="4393.5600000000004"/>
    <x v="0"/>
  </r>
  <r>
    <x v="1599"/>
    <s v="Male"/>
    <n v="61"/>
    <s v="Yes"/>
    <n v="48"/>
    <x v="3"/>
    <s v="Month-to-month"/>
    <s v="No"/>
    <s v="Mailed check"/>
    <s v="Yes"/>
    <s v="Yes"/>
    <n v="7"/>
    <n v="53.58"/>
    <n v="2669.97"/>
    <x v="0"/>
  </r>
  <r>
    <x v="1600"/>
    <s v="Female"/>
    <n v="64"/>
    <s v="Yes"/>
    <n v="27"/>
    <x v="3"/>
    <s v="Month-to-month"/>
    <s v="DSL"/>
    <s v="Electronic check"/>
    <s v="No"/>
    <s v="Yes"/>
    <n v="5"/>
    <n v="73.59"/>
    <n v="2039.59"/>
    <x v="0"/>
  </r>
  <r>
    <x v="1601"/>
    <s v="Male"/>
    <n v="42"/>
    <s v="No"/>
    <n v="53"/>
    <x v="0"/>
    <s v="Month-to-month"/>
    <s v="No"/>
    <s v="Bank transfer"/>
    <s v="No"/>
    <s v="Yes"/>
    <n v="2"/>
    <n v="37.97"/>
    <n v="2059.4299999999998"/>
    <x v="0"/>
  </r>
  <r>
    <x v="1602"/>
    <s v="Female"/>
    <n v="54"/>
    <s v="No"/>
    <n v="35"/>
    <x v="3"/>
    <s v="Month-to-month"/>
    <s v="No"/>
    <s v="Bank transfer"/>
    <s v="Yes"/>
    <s v="No"/>
    <n v="6"/>
    <n v="45"/>
    <n v="1570.15"/>
    <x v="0"/>
  </r>
  <r>
    <x v="1603"/>
    <s v="Male"/>
    <n v="64"/>
    <s v="Yes"/>
    <n v="51"/>
    <x v="0"/>
    <s v="One year"/>
    <s v="No"/>
    <s v="Electronic check"/>
    <s v="No"/>
    <s v="Yes"/>
    <n v="4"/>
    <n v="37.85"/>
    <n v="1795.21"/>
    <x v="0"/>
  </r>
  <r>
    <x v="1604"/>
    <s v="Female"/>
    <n v="25"/>
    <s v="No"/>
    <n v="37"/>
    <x v="3"/>
    <s v="Month-to-month"/>
    <s v="DSL"/>
    <s v="Credit card"/>
    <s v="No"/>
    <s v="Yes"/>
    <n v="5"/>
    <n v="62.72"/>
    <n v="2488.2800000000002"/>
    <x v="0"/>
  </r>
  <r>
    <x v="1605"/>
    <s v="Male"/>
    <n v="59"/>
    <s v="No"/>
    <n v="57"/>
    <x v="0"/>
    <s v="One year"/>
    <s v="Fiber optic"/>
    <s v="Electronic check"/>
    <s v="No"/>
    <s v="No"/>
    <n v="3"/>
    <n v="64.010000000000005"/>
    <n v="3854.01"/>
    <x v="0"/>
  </r>
  <r>
    <x v="1606"/>
    <s v="Female"/>
    <n v="75"/>
    <s v="Yes"/>
    <n v="8"/>
    <x v="1"/>
    <s v="Month-to-month"/>
    <s v="Fiber optic"/>
    <s v="Bank transfer"/>
    <s v="No"/>
    <s v="No"/>
    <n v="4"/>
    <n v="75.13"/>
    <n v="599.77"/>
    <x v="1"/>
  </r>
  <r>
    <x v="1607"/>
    <s v="Male"/>
    <n v="33"/>
    <s v="No"/>
    <n v="20"/>
    <x v="4"/>
    <s v="Month-to-month"/>
    <s v="Fiber optic"/>
    <s v="Electronic check"/>
    <s v="Yes"/>
    <s v="No"/>
    <n v="7"/>
    <n v="98.99"/>
    <n v="1871.65"/>
    <x v="1"/>
  </r>
  <r>
    <x v="1608"/>
    <s v="Female"/>
    <n v="25"/>
    <s v="No"/>
    <n v="53"/>
    <x v="0"/>
    <s v="One year"/>
    <s v="Fiber optic"/>
    <s v="Electronic check"/>
    <s v="No"/>
    <s v="No"/>
    <n v="6"/>
    <n v="96.42"/>
    <n v="5375.56"/>
    <x v="1"/>
  </r>
  <r>
    <x v="1609"/>
    <s v="Male"/>
    <n v="18"/>
    <s v="No"/>
    <n v="12"/>
    <x v="1"/>
    <s v="Two year"/>
    <s v="DSL"/>
    <s v="Electronic check"/>
    <s v="No"/>
    <s v="No"/>
    <n v="5"/>
    <n v="65"/>
    <n v="771.35"/>
    <x v="1"/>
  </r>
  <r>
    <x v="1610"/>
    <s v="Male"/>
    <n v="61"/>
    <s v="Yes"/>
    <n v="49"/>
    <x v="0"/>
    <s v="One year"/>
    <s v="DSL"/>
    <s v="Bank transfer"/>
    <s v="Yes"/>
    <s v="No"/>
    <n v="2"/>
    <n v="54.18"/>
    <n v="2608.14"/>
    <x v="0"/>
  </r>
  <r>
    <x v="1611"/>
    <s v="Female"/>
    <n v="22"/>
    <s v="No"/>
    <n v="17"/>
    <x v="4"/>
    <s v="Month-to-month"/>
    <s v="No"/>
    <s v="Bank transfer"/>
    <s v="No"/>
    <s v="Yes"/>
    <n v="3"/>
    <n v="34.83"/>
    <n v="607.78"/>
    <x v="0"/>
  </r>
  <r>
    <x v="1612"/>
    <s v="Female"/>
    <n v="20"/>
    <s v="No"/>
    <n v="64"/>
    <x v="0"/>
    <s v="Month-to-month"/>
    <s v="Fiber optic"/>
    <s v="Mailed check"/>
    <s v="No"/>
    <s v="No"/>
    <n v="3"/>
    <n v="70.52"/>
    <n v="4700.08"/>
    <x v="0"/>
  </r>
  <r>
    <x v="1613"/>
    <s v="Male"/>
    <n v="18"/>
    <s v="No"/>
    <n v="42"/>
    <x v="3"/>
    <s v="Two year"/>
    <s v="DSL"/>
    <s v="Electronic check"/>
    <s v="No"/>
    <s v="No"/>
    <n v="6"/>
    <n v="70.989999999999995"/>
    <n v="2773.03"/>
    <x v="0"/>
  </r>
  <r>
    <x v="1614"/>
    <s v="Female"/>
    <n v="21"/>
    <s v="No"/>
    <n v="29"/>
    <x v="3"/>
    <s v="Month-to-month"/>
    <s v="Fiber optic"/>
    <s v="Mailed check"/>
    <s v="No"/>
    <s v="Yes"/>
    <n v="1"/>
    <n v="63.92"/>
    <n v="1933.03"/>
    <x v="1"/>
  </r>
  <r>
    <x v="1615"/>
    <s v="Male"/>
    <n v="57"/>
    <s v="No"/>
    <n v="19"/>
    <x v="4"/>
    <s v="Month-to-month"/>
    <s v="Fiber optic"/>
    <s v="Bank transfer"/>
    <s v="Yes"/>
    <s v="No"/>
    <n v="3"/>
    <n v="86.83"/>
    <n v="1711.52"/>
    <x v="0"/>
  </r>
  <r>
    <x v="1616"/>
    <s v="Male"/>
    <n v="52"/>
    <s v="No"/>
    <n v="11"/>
    <x v="1"/>
    <s v="Two year"/>
    <s v="Fiber optic"/>
    <s v="Bank transfer"/>
    <s v="No"/>
    <s v="Yes"/>
    <n v="1"/>
    <n v="69.86"/>
    <n v="779.43"/>
    <x v="0"/>
  </r>
  <r>
    <x v="1617"/>
    <s v="Male"/>
    <n v="49"/>
    <s v="No"/>
    <n v="50"/>
    <x v="0"/>
    <s v="Two year"/>
    <s v="DSL"/>
    <s v="Electronic check"/>
    <s v="Yes"/>
    <s v="No"/>
    <n v="6"/>
    <n v="70.12"/>
    <n v="3415.36"/>
    <x v="0"/>
  </r>
  <r>
    <x v="1618"/>
    <s v="Female"/>
    <n v="59"/>
    <s v="No"/>
    <n v="71"/>
    <x v="0"/>
    <s v="Two year"/>
    <s v="Fiber optic"/>
    <s v="Electronic check"/>
    <s v="Yes"/>
    <s v="No"/>
    <n v="3"/>
    <n v="67.58"/>
    <n v="4540.8500000000004"/>
    <x v="0"/>
  </r>
  <r>
    <x v="1619"/>
    <s v="Male"/>
    <n v="51"/>
    <s v="No"/>
    <n v="58"/>
    <x v="0"/>
    <s v="Two year"/>
    <s v="DSL"/>
    <s v="Bank transfer"/>
    <s v="No"/>
    <s v="No"/>
    <n v="5"/>
    <n v="46.77"/>
    <n v="2540.1999999999998"/>
    <x v="0"/>
  </r>
  <r>
    <x v="1620"/>
    <s v="Male"/>
    <n v="60"/>
    <s v="Yes"/>
    <n v="34"/>
    <x v="3"/>
    <s v="Two year"/>
    <s v="Fiber optic"/>
    <s v="Electronic check"/>
    <s v="No"/>
    <s v="Yes"/>
    <n v="5"/>
    <n v="86.12"/>
    <n v="2694.39"/>
    <x v="0"/>
  </r>
  <r>
    <x v="1621"/>
    <s v="Female"/>
    <n v="42"/>
    <s v="No"/>
    <n v="20"/>
    <x v="4"/>
    <s v="Month-to-month"/>
    <s v="No"/>
    <s v="Electronic check"/>
    <s v="No"/>
    <s v="Yes"/>
    <n v="3"/>
    <n v="33.520000000000003"/>
    <n v="638.91"/>
    <x v="0"/>
  </r>
  <r>
    <x v="1622"/>
    <s v="Female"/>
    <n v="27"/>
    <s v="No"/>
    <n v="50"/>
    <x v="0"/>
    <s v="Month-to-month"/>
    <s v="No"/>
    <s v="Electronic check"/>
    <s v="Yes"/>
    <s v="Yes"/>
    <n v="4"/>
    <n v="47.89"/>
    <n v="2360.5300000000002"/>
    <x v="0"/>
  </r>
  <r>
    <x v="1623"/>
    <s v="Female"/>
    <n v="38"/>
    <s v="No"/>
    <n v="10"/>
    <x v="1"/>
    <s v="One year"/>
    <s v="No"/>
    <s v="Mailed check"/>
    <s v="No"/>
    <s v="Yes"/>
    <n v="4"/>
    <n v="34.61"/>
    <n v="331.9"/>
    <x v="0"/>
  </r>
  <r>
    <x v="1624"/>
    <s v="Female"/>
    <n v="63"/>
    <s v="Yes"/>
    <n v="32"/>
    <x v="3"/>
    <s v="Month-to-month"/>
    <s v="No"/>
    <s v="Mailed check"/>
    <s v="No"/>
    <s v="No"/>
    <n v="4"/>
    <n v="37.28"/>
    <n v="1156.5"/>
    <x v="0"/>
  </r>
  <r>
    <x v="1625"/>
    <s v="Male"/>
    <n v="56"/>
    <s v="No"/>
    <n v="52"/>
    <x v="0"/>
    <s v="Month-to-month"/>
    <s v="No"/>
    <s v="Bank transfer"/>
    <s v="No"/>
    <s v="No"/>
    <n v="2"/>
    <n v="40.840000000000003"/>
    <n v="2086.46"/>
    <x v="0"/>
  </r>
  <r>
    <x v="1626"/>
    <s v="Male"/>
    <n v="44"/>
    <s v="No"/>
    <n v="15"/>
    <x v="4"/>
    <s v="Month-to-month"/>
    <s v="No"/>
    <s v="Electronic check"/>
    <s v="No"/>
    <s v="No"/>
    <n v="3"/>
    <n v="40.06"/>
    <n v="582.47"/>
    <x v="0"/>
  </r>
  <r>
    <x v="1627"/>
    <s v="Male"/>
    <n v="44"/>
    <s v="No"/>
    <n v="3"/>
    <x v="2"/>
    <s v="Month-to-month"/>
    <s v="DSL"/>
    <s v="Bank transfer"/>
    <s v="No"/>
    <s v="No"/>
    <n v="6"/>
    <n v="59.99"/>
    <n v="186.44"/>
    <x v="0"/>
  </r>
  <r>
    <x v="1628"/>
    <s v="Male"/>
    <n v="19"/>
    <s v="No"/>
    <n v="37"/>
    <x v="3"/>
    <s v="One year"/>
    <s v="Fiber optic"/>
    <s v="Electronic check"/>
    <s v="No"/>
    <s v="No"/>
    <n v="6"/>
    <n v="87.24"/>
    <n v="3223.61"/>
    <x v="0"/>
  </r>
  <r>
    <x v="1629"/>
    <s v="Female"/>
    <n v="58"/>
    <s v="No"/>
    <n v="40"/>
    <x v="3"/>
    <s v="Month-to-month"/>
    <s v="Fiber optic"/>
    <s v="Credit card"/>
    <s v="Yes"/>
    <s v="No"/>
    <n v="2"/>
    <n v="84.33"/>
    <n v="3113.78"/>
    <x v="0"/>
  </r>
  <r>
    <x v="1630"/>
    <s v="Male"/>
    <n v="65"/>
    <s v="Yes"/>
    <n v="72"/>
    <x v="0"/>
    <s v="Month-to-month"/>
    <s v="Fiber optic"/>
    <s v="Bank transfer"/>
    <s v="No"/>
    <s v="Yes"/>
    <n v="4"/>
    <n v="80.010000000000005"/>
    <n v="5508.79"/>
    <x v="0"/>
  </r>
  <r>
    <x v="1631"/>
    <s v="Male"/>
    <n v="30"/>
    <s v="No"/>
    <n v="40"/>
    <x v="3"/>
    <s v="Month-to-month"/>
    <s v="DSL"/>
    <s v="Bank transfer"/>
    <s v="No"/>
    <s v="No"/>
    <n v="6"/>
    <n v="65.959999999999994"/>
    <n v="2726.91"/>
    <x v="0"/>
  </r>
  <r>
    <x v="1632"/>
    <s v="Female"/>
    <n v="26"/>
    <s v="No"/>
    <n v="56"/>
    <x v="0"/>
    <s v="One year"/>
    <s v="DSL"/>
    <s v="Electronic check"/>
    <s v="No"/>
    <s v="No"/>
    <n v="4"/>
    <n v="65.27"/>
    <n v="3538.7"/>
    <x v="0"/>
  </r>
  <r>
    <x v="1633"/>
    <s v="Male"/>
    <n v="69"/>
    <s v="Yes"/>
    <n v="23"/>
    <x v="4"/>
    <s v="Month-to-month"/>
    <s v="No"/>
    <s v="Electronic check"/>
    <s v="Yes"/>
    <s v="No"/>
    <n v="4"/>
    <n v="43.47"/>
    <n v="1067.02"/>
    <x v="1"/>
  </r>
  <r>
    <x v="1634"/>
    <s v="Male"/>
    <n v="53"/>
    <s v="No"/>
    <n v="11"/>
    <x v="1"/>
    <s v="Month-to-month"/>
    <s v="No"/>
    <s v="Mailed check"/>
    <s v="No"/>
    <s v="No"/>
    <n v="4"/>
    <n v="51.11"/>
    <n v="581.34"/>
    <x v="0"/>
  </r>
  <r>
    <x v="1635"/>
    <s v="Male"/>
    <n v="39"/>
    <s v="No"/>
    <n v="64"/>
    <x v="0"/>
    <s v="One year"/>
    <s v="Fiber optic"/>
    <s v="Bank transfer"/>
    <s v="No"/>
    <s v="No"/>
    <n v="5"/>
    <n v="88.29"/>
    <n v="5460.64"/>
    <x v="0"/>
  </r>
  <r>
    <x v="1636"/>
    <s v="Male"/>
    <n v="59"/>
    <s v="No"/>
    <n v="8"/>
    <x v="1"/>
    <s v="Month-to-month"/>
    <s v="DSL"/>
    <s v="Electronic check"/>
    <s v="No"/>
    <s v="Yes"/>
    <n v="5"/>
    <n v="69.349999999999994"/>
    <n v="556.26"/>
    <x v="1"/>
  </r>
  <r>
    <x v="1637"/>
    <s v="Male"/>
    <n v="43"/>
    <s v="No"/>
    <n v="56"/>
    <x v="0"/>
    <s v="Month-to-month"/>
    <s v="No"/>
    <s v="Credit card"/>
    <s v="No"/>
    <s v="No"/>
    <n v="2"/>
    <n v="43.45"/>
    <n v="2498.31"/>
    <x v="0"/>
  </r>
  <r>
    <x v="1638"/>
    <s v="Male"/>
    <n v="75"/>
    <s v="Yes"/>
    <n v="60"/>
    <x v="0"/>
    <s v="Month-to-month"/>
    <s v="Fiber optic"/>
    <s v="Credit card"/>
    <s v="No"/>
    <s v="Yes"/>
    <n v="3"/>
    <n v="72.91"/>
    <n v="4159.9799999999996"/>
    <x v="0"/>
  </r>
  <r>
    <x v="1639"/>
    <s v="Female"/>
    <n v="71"/>
    <s v="Yes"/>
    <n v="10"/>
    <x v="1"/>
    <s v="Month-to-month"/>
    <s v="DSL"/>
    <s v="Bank transfer"/>
    <s v="No"/>
    <s v="No"/>
    <n v="6"/>
    <n v="62.81"/>
    <n v="602.59"/>
    <x v="1"/>
  </r>
  <r>
    <x v="1640"/>
    <s v="Female"/>
    <n v="29"/>
    <s v="No"/>
    <n v="39"/>
    <x v="3"/>
    <s v="Two year"/>
    <s v="Fiber optic"/>
    <s v="Credit card"/>
    <s v="No"/>
    <s v="No"/>
    <n v="3"/>
    <n v="65.58"/>
    <n v="2560.54"/>
    <x v="0"/>
  </r>
  <r>
    <x v="1641"/>
    <s v="Male"/>
    <n v="34"/>
    <s v="No"/>
    <n v="28"/>
    <x v="3"/>
    <s v="Month-to-month"/>
    <s v="DSL"/>
    <s v="Electronic check"/>
    <s v="Yes"/>
    <s v="No"/>
    <n v="5"/>
    <n v="61.52"/>
    <n v="1839.67"/>
    <x v="0"/>
  </r>
  <r>
    <x v="1642"/>
    <s v="Male"/>
    <n v="31"/>
    <s v="No"/>
    <n v="49"/>
    <x v="0"/>
    <s v="One year"/>
    <s v="Fiber optic"/>
    <s v="Electronic check"/>
    <s v="No"/>
    <s v="No"/>
    <n v="2"/>
    <n v="61.84"/>
    <n v="2954.53"/>
    <x v="1"/>
  </r>
  <r>
    <x v="1643"/>
    <s v="Female"/>
    <n v="31"/>
    <s v="No"/>
    <n v="36"/>
    <x v="3"/>
    <s v="Month-to-month"/>
    <s v="No"/>
    <s v="Electronic check"/>
    <s v="No"/>
    <s v="No"/>
    <n v="4"/>
    <n v="43.56"/>
    <n v="1543.6"/>
    <x v="1"/>
  </r>
  <r>
    <x v="1644"/>
    <s v="Male"/>
    <n v="74"/>
    <s v="Yes"/>
    <n v="13"/>
    <x v="4"/>
    <s v="Month-to-month"/>
    <s v="DSL"/>
    <s v="Bank transfer"/>
    <s v="No"/>
    <s v="Yes"/>
    <n v="3"/>
    <n v="50.71"/>
    <n v="626.6"/>
    <x v="0"/>
  </r>
  <r>
    <x v="1645"/>
    <s v="Male"/>
    <n v="51"/>
    <s v="No"/>
    <n v="36"/>
    <x v="3"/>
    <s v="One year"/>
    <s v="Fiber optic"/>
    <s v="Electronic check"/>
    <s v="No"/>
    <s v="Yes"/>
    <n v="5"/>
    <n v="89.74"/>
    <n v="3278.82"/>
    <x v="0"/>
  </r>
  <r>
    <x v="1646"/>
    <s v="Male"/>
    <n v="70"/>
    <s v="Yes"/>
    <n v="26"/>
    <x v="3"/>
    <s v="Month-to-month"/>
    <s v="Fiber optic"/>
    <s v="Credit card"/>
    <s v="Yes"/>
    <s v="No"/>
    <n v="3"/>
    <n v="80.45"/>
    <n v="2172.0700000000002"/>
    <x v="0"/>
  </r>
  <r>
    <x v="1647"/>
    <s v="Female"/>
    <n v="74"/>
    <s v="Yes"/>
    <n v="4"/>
    <x v="2"/>
    <s v="Month-to-month"/>
    <s v="DSL"/>
    <s v="Electronic check"/>
    <s v="No"/>
    <s v="Yes"/>
    <n v="6"/>
    <n v="64.27"/>
    <n v="254.64"/>
    <x v="0"/>
  </r>
  <r>
    <x v="1648"/>
    <s v="Male"/>
    <n v="37"/>
    <s v="No"/>
    <n v="64"/>
    <x v="0"/>
    <s v="Month-to-month"/>
    <s v="No"/>
    <s v="Electronic check"/>
    <s v="No"/>
    <s v="Yes"/>
    <n v="4"/>
    <n v="47.83"/>
    <n v="3183.69"/>
    <x v="0"/>
  </r>
  <r>
    <x v="1649"/>
    <s v="Female"/>
    <n v="28"/>
    <s v="No"/>
    <n v="38"/>
    <x v="3"/>
    <s v="Month-to-month"/>
    <s v="DSL"/>
    <s v="Credit card"/>
    <s v="No"/>
    <s v="Yes"/>
    <n v="6"/>
    <n v="68.040000000000006"/>
    <n v="2503.86"/>
    <x v="0"/>
  </r>
  <r>
    <x v="1650"/>
    <s v="Male"/>
    <n v="33"/>
    <s v="No"/>
    <n v="22"/>
    <x v="4"/>
    <s v="One year"/>
    <s v="DSL"/>
    <s v="Electronic check"/>
    <s v="Yes"/>
    <s v="No"/>
    <n v="4"/>
    <n v="46.6"/>
    <n v="1059.1500000000001"/>
    <x v="0"/>
  </r>
  <r>
    <x v="1651"/>
    <s v="Female"/>
    <n v="68"/>
    <s v="Yes"/>
    <n v="2"/>
    <x v="2"/>
    <s v="Month-to-month"/>
    <s v="Fiber optic"/>
    <s v="Electronic check"/>
    <s v="No"/>
    <s v="Yes"/>
    <n v="3"/>
    <n v="68.08"/>
    <n v="130.9"/>
    <x v="1"/>
  </r>
  <r>
    <x v="1652"/>
    <s v="Female"/>
    <n v="48"/>
    <s v="No"/>
    <n v="31"/>
    <x v="3"/>
    <s v="Two year"/>
    <s v="DSL"/>
    <s v="Bank transfer"/>
    <s v="No"/>
    <s v="No"/>
    <n v="3"/>
    <n v="49.93"/>
    <n v="1617.33"/>
    <x v="0"/>
  </r>
  <r>
    <x v="1653"/>
    <s v="Male"/>
    <n v="72"/>
    <s v="Yes"/>
    <n v="11"/>
    <x v="1"/>
    <s v="One year"/>
    <s v="DSL"/>
    <s v="Electronic check"/>
    <s v="No"/>
    <s v="No"/>
    <n v="3"/>
    <n v="55.07"/>
    <n v="637.82000000000005"/>
    <x v="0"/>
  </r>
  <r>
    <x v="1654"/>
    <s v="Female"/>
    <n v="23"/>
    <s v="No"/>
    <n v="46"/>
    <x v="3"/>
    <s v="Month-to-month"/>
    <s v="DSL"/>
    <s v="Electronic check"/>
    <s v="No"/>
    <s v="No"/>
    <n v="4"/>
    <n v="56"/>
    <n v="2698.71"/>
    <x v="0"/>
  </r>
  <r>
    <x v="1655"/>
    <s v="Male"/>
    <n v="73"/>
    <s v="Yes"/>
    <n v="62"/>
    <x v="0"/>
    <s v="Month-to-month"/>
    <s v="Fiber optic"/>
    <s v="Electronic check"/>
    <s v="No"/>
    <s v="Yes"/>
    <n v="5"/>
    <n v="79.3"/>
    <n v="4692.7700000000004"/>
    <x v="1"/>
  </r>
  <r>
    <x v="1656"/>
    <s v="Female"/>
    <n v="36"/>
    <s v="No"/>
    <n v="69"/>
    <x v="0"/>
    <s v="Month-to-month"/>
    <s v="DSL"/>
    <s v="Mailed check"/>
    <s v="No"/>
    <s v="No"/>
    <n v="1"/>
    <n v="51.07"/>
    <n v="3633.35"/>
    <x v="0"/>
  </r>
  <r>
    <x v="1657"/>
    <s v="Male"/>
    <n v="54"/>
    <s v="No"/>
    <n v="64"/>
    <x v="0"/>
    <s v="One year"/>
    <s v="DSL"/>
    <s v="Credit card"/>
    <s v="No"/>
    <s v="No"/>
    <n v="5"/>
    <n v="68.510000000000005"/>
    <n v="4411.68"/>
    <x v="0"/>
  </r>
  <r>
    <x v="1658"/>
    <s v="Male"/>
    <n v="75"/>
    <s v="Yes"/>
    <n v="10"/>
    <x v="1"/>
    <s v="Month-to-month"/>
    <s v="No"/>
    <s v="Credit card"/>
    <s v="No"/>
    <s v="No"/>
    <n v="4"/>
    <n v="36.67"/>
    <n v="395.22"/>
    <x v="0"/>
  </r>
  <r>
    <x v="1659"/>
    <s v="Female"/>
    <n v="21"/>
    <s v="No"/>
    <n v="40"/>
    <x v="3"/>
    <s v="Two year"/>
    <s v="No"/>
    <s v="Electronic check"/>
    <s v="No"/>
    <s v="No"/>
    <n v="4"/>
    <n v="35.049999999999997"/>
    <n v="1370.95"/>
    <x v="0"/>
  </r>
  <r>
    <x v="1660"/>
    <s v="Male"/>
    <n v="64"/>
    <s v="Yes"/>
    <n v="24"/>
    <x v="4"/>
    <s v="Month-to-month"/>
    <s v="DSL"/>
    <s v="Mailed check"/>
    <s v="No"/>
    <s v="No"/>
    <n v="5"/>
    <n v="71.849999999999994"/>
    <n v="1799.24"/>
    <x v="0"/>
  </r>
  <r>
    <x v="1661"/>
    <s v="Male"/>
    <n v="21"/>
    <s v="No"/>
    <n v="44"/>
    <x v="3"/>
    <s v="Two year"/>
    <s v="DSL"/>
    <s v="Mailed check"/>
    <s v="No"/>
    <s v="Yes"/>
    <n v="1"/>
    <n v="66.08"/>
    <n v="2847.08"/>
    <x v="0"/>
  </r>
  <r>
    <x v="1662"/>
    <s v="Female"/>
    <n v="37"/>
    <s v="No"/>
    <n v="60"/>
    <x v="0"/>
    <s v="Month-to-month"/>
    <s v="Fiber optic"/>
    <s v="Credit card"/>
    <s v="Yes"/>
    <s v="No"/>
    <n v="8"/>
    <n v="88.41"/>
    <n v="5217.0600000000004"/>
    <x v="0"/>
  </r>
  <r>
    <x v="1663"/>
    <s v="Male"/>
    <n v="27"/>
    <s v="No"/>
    <n v="62"/>
    <x v="0"/>
    <s v="Two year"/>
    <s v="No"/>
    <s v="Electronic check"/>
    <s v="No"/>
    <s v="Yes"/>
    <n v="2"/>
    <n v="39.24"/>
    <n v="2281.4499999999998"/>
    <x v="0"/>
  </r>
  <r>
    <x v="1664"/>
    <s v="Male"/>
    <n v="41"/>
    <s v="No"/>
    <n v="17"/>
    <x v="4"/>
    <s v="Month-to-month"/>
    <s v="Fiber optic"/>
    <s v="Mailed check"/>
    <s v="No"/>
    <s v="Yes"/>
    <n v="4"/>
    <n v="78.03"/>
    <n v="1271.26"/>
    <x v="0"/>
  </r>
  <r>
    <x v="1665"/>
    <s v="Female"/>
    <n v="71"/>
    <s v="Yes"/>
    <n v="65"/>
    <x v="0"/>
    <s v="Month-to-month"/>
    <s v="Fiber optic"/>
    <s v="Bank transfer"/>
    <s v="Yes"/>
    <s v="No"/>
    <n v="3"/>
    <n v="79.73"/>
    <n v="4904.24"/>
    <x v="0"/>
  </r>
  <r>
    <x v="1666"/>
    <s v="Female"/>
    <n v="52"/>
    <s v="No"/>
    <n v="57"/>
    <x v="0"/>
    <s v="Month-to-month"/>
    <s v="Fiber optic"/>
    <s v="Credit card"/>
    <s v="Yes"/>
    <s v="No"/>
    <n v="4"/>
    <n v="72.33"/>
    <n v="3898"/>
    <x v="0"/>
  </r>
  <r>
    <x v="1667"/>
    <s v="Male"/>
    <n v="43"/>
    <s v="No"/>
    <n v="55"/>
    <x v="0"/>
    <s v="Month-to-month"/>
    <s v="No"/>
    <s v="Electronic check"/>
    <s v="Yes"/>
    <s v="Yes"/>
    <n v="2"/>
    <n v="24.24"/>
    <n v="1228.47"/>
    <x v="0"/>
  </r>
  <r>
    <x v="1668"/>
    <s v="Male"/>
    <n v="54"/>
    <s v="No"/>
    <n v="53"/>
    <x v="0"/>
    <s v="Two year"/>
    <s v="Fiber optic"/>
    <s v="Electronic check"/>
    <s v="No"/>
    <s v="No"/>
    <n v="7"/>
    <n v="83.14"/>
    <n v="4613.54"/>
    <x v="1"/>
  </r>
  <r>
    <x v="1669"/>
    <s v="Female"/>
    <n v="55"/>
    <s v="No"/>
    <n v="56"/>
    <x v="0"/>
    <s v="Month-to-month"/>
    <s v="DSL"/>
    <s v="Electronic check"/>
    <s v="No"/>
    <s v="No"/>
    <n v="4"/>
    <n v="55.05"/>
    <n v="3066.98"/>
    <x v="0"/>
  </r>
  <r>
    <x v="1670"/>
    <s v="Female"/>
    <n v="38"/>
    <s v="No"/>
    <n v="9"/>
    <x v="1"/>
    <s v="Month-to-month"/>
    <s v="DSL"/>
    <s v="Electronic check"/>
    <s v="Yes"/>
    <s v="Yes"/>
    <n v="1"/>
    <n v="45.36"/>
    <n v="428.11"/>
    <x v="1"/>
  </r>
  <r>
    <x v="1671"/>
    <s v="Male"/>
    <n v="71"/>
    <s v="Yes"/>
    <n v="22"/>
    <x v="4"/>
    <s v="One year"/>
    <s v="Fiber optic"/>
    <s v="Bank transfer"/>
    <s v="No"/>
    <s v="No"/>
    <n v="3"/>
    <n v="81.62"/>
    <n v="1827.98"/>
    <x v="1"/>
  </r>
  <r>
    <x v="1672"/>
    <s v="Female"/>
    <n v="57"/>
    <s v="No"/>
    <n v="13"/>
    <x v="4"/>
    <s v="Month-to-month"/>
    <s v="Fiber optic"/>
    <s v="Bank transfer"/>
    <s v="No"/>
    <s v="No"/>
    <n v="5"/>
    <n v="77.17"/>
    <n v="1056.3900000000001"/>
    <x v="1"/>
  </r>
  <r>
    <x v="1673"/>
    <s v="Male"/>
    <n v="56"/>
    <s v="No"/>
    <n v="48"/>
    <x v="3"/>
    <s v="Month-to-month"/>
    <s v="No"/>
    <s v="Bank transfer"/>
    <s v="No"/>
    <s v="No"/>
    <n v="1"/>
    <n v="24.54"/>
    <n v="1178.6300000000001"/>
    <x v="0"/>
  </r>
  <r>
    <x v="1674"/>
    <s v="Male"/>
    <n v="38"/>
    <s v="No"/>
    <n v="18"/>
    <x v="4"/>
    <s v="One year"/>
    <s v="No"/>
    <s v="Electronic check"/>
    <s v="No"/>
    <s v="Yes"/>
    <n v="2"/>
    <n v="47.56"/>
    <n v="800.47"/>
    <x v="0"/>
  </r>
  <r>
    <x v="1675"/>
    <s v="Male"/>
    <n v="27"/>
    <s v="No"/>
    <n v="40"/>
    <x v="3"/>
    <s v="Month-to-month"/>
    <s v="Fiber optic"/>
    <s v="Electronic check"/>
    <s v="No"/>
    <s v="Yes"/>
    <n v="3"/>
    <n v="75.37"/>
    <n v="3071.12"/>
    <x v="0"/>
  </r>
  <r>
    <x v="1676"/>
    <s v="Male"/>
    <n v="55"/>
    <s v="No"/>
    <n v="17"/>
    <x v="4"/>
    <s v="Two year"/>
    <s v="No"/>
    <s v="Electronic check"/>
    <s v="No"/>
    <s v="Yes"/>
    <n v="3"/>
    <n v="39"/>
    <n v="681.86"/>
    <x v="0"/>
  </r>
  <r>
    <x v="1677"/>
    <s v="Male"/>
    <n v="63"/>
    <s v="Yes"/>
    <n v="15"/>
    <x v="4"/>
    <s v="Month-to-month"/>
    <s v="DSL"/>
    <s v="Electronic check"/>
    <s v="Yes"/>
    <s v="Yes"/>
    <n v="4"/>
    <n v="64.22"/>
    <n v="982.8"/>
    <x v="1"/>
  </r>
  <r>
    <x v="1678"/>
    <s v="Female"/>
    <n v="21"/>
    <s v="No"/>
    <n v="15"/>
    <x v="4"/>
    <s v="Month-to-month"/>
    <s v="Fiber optic"/>
    <s v="Credit card"/>
    <s v="Yes"/>
    <s v="No"/>
    <n v="3"/>
    <n v="71.33"/>
    <n v="1121.54"/>
    <x v="0"/>
  </r>
  <r>
    <x v="1679"/>
    <s v="Female"/>
    <n v="74"/>
    <s v="Yes"/>
    <n v="63"/>
    <x v="0"/>
    <s v="One year"/>
    <s v="DSL"/>
    <s v="Electronic check"/>
    <s v="No"/>
    <s v="No"/>
    <n v="4"/>
    <n v="58.87"/>
    <n v="3846.18"/>
    <x v="0"/>
  </r>
  <r>
    <x v="1680"/>
    <s v="Female"/>
    <n v="62"/>
    <s v="Yes"/>
    <n v="39"/>
    <x v="3"/>
    <s v="One year"/>
    <s v="No"/>
    <s v="Electronic check"/>
    <s v="No"/>
    <s v="No"/>
    <n v="2"/>
    <n v="30.74"/>
    <n v="1185.94"/>
    <x v="0"/>
  </r>
  <r>
    <x v="1681"/>
    <s v="Female"/>
    <n v="37"/>
    <s v="No"/>
    <n v="13"/>
    <x v="4"/>
    <s v="Month-to-month"/>
    <s v="DSL"/>
    <s v="Mailed check"/>
    <s v="No"/>
    <s v="No"/>
    <n v="2"/>
    <n v="50.42"/>
    <n v="688.93"/>
    <x v="0"/>
  </r>
  <r>
    <x v="1682"/>
    <s v="Male"/>
    <n v="34"/>
    <s v="No"/>
    <n v="32"/>
    <x v="3"/>
    <s v="One year"/>
    <s v="Fiber optic"/>
    <s v="Mailed check"/>
    <s v="Yes"/>
    <s v="Yes"/>
    <n v="5"/>
    <n v="88.9"/>
    <n v="2932.1"/>
    <x v="0"/>
  </r>
  <r>
    <x v="1683"/>
    <s v="Male"/>
    <n v="72"/>
    <s v="Yes"/>
    <n v="9"/>
    <x v="1"/>
    <s v="Month-to-month"/>
    <s v="No"/>
    <s v="Mailed check"/>
    <s v="Yes"/>
    <s v="No"/>
    <n v="3"/>
    <n v="41.72"/>
    <n v="352.67"/>
    <x v="0"/>
  </r>
  <r>
    <x v="1684"/>
    <s v="Male"/>
    <n v="24"/>
    <s v="No"/>
    <n v="40"/>
    <x v="3"/>
    <s v="Month-to-month"/>
    <s v="DSL"/>
    <s v="Credit card"/>
    <s v="No"/>
    <s v="No"/>
    <n v="2"/>
    <n v="35.020000000000003"/>
    <n v="1409.74"/>
    <x v="0"/>
  </r>
  <r>
    <x v="1685"/>
    <s v="Male"/>
    <n v="21"/>
    <s v="No"/>
    <n v="20"/>
    <x v="4"/>
    <s v="Two year"/>
    <s v="Fiber optic"/>
    <s v="Electronic check"/>
    <s v="No"/>
    <s v="Yes"/>
    <n v="7"/>
    <n v="97.99"/>
    <n v="2031.47"/>
    <x v="0"/>
  </r>
  <r>
    <x v="1686"/>
    <s v="Female"/>
    <n v="46"/>
    <s v="No"/>
    <n v="63"/>
    <x v="0"/>
    <s v="Month-to-month"/>
    <s v="DSL"/>
    <s v="Bank transfer"/>
    <s v="No"/>
    <s v="Yes"/>
    <n v="1"/>
    <n v="44.58"/>
    <n v="2832.49"/>
    <x v="0"/>
  </r>
  <r>
    <x v="1687"/>
    <s v="Male"/>
    <n v="31"/>
    <s v="No"/>
    <n v="44"/>
    <x v="3"/>
    <s v="Month-to-month"/>
    <s v="DSL"/>
    <s v="Electronic check"/>
    <s v="No"/>
    <s v="No"/>
    <n v="5"/>
    <n v="65.760000000000005"/>
    <n v="3101.32"/>
    <x v="0"/>
  </r>
  <r>
    <x v="1688"/>
    <s v="Male"/>
    <n v="20"/>
    <s v="No"/>
    <n v="38"/>
    <x v="3"/>
    <s v="Two year"/>
    <s v="No"/>
    <s v="Electronic check"/>
    <s v="No"/>
    <s v="No"/>
    <n v="3"/>
    <n v="34.15"/>
    <n v="1214.96"/>
    <x v="0"/>
  </r>
  <r>
    <x v="1689"/>
    <s v="Female"/>
    <n v="41"/>
    <s v="No"/>
    <n v="60"/>
    <x v="0"/>
    <s v="Two year"/>
    <s v="DSL"/>
    <s v="Credit card"/>
    <s v="No"/>
    <s v="No"/>
    <n v="7"/>
    <n v="70.64"/>
    <n v="4389.17"/>
    <x v="1"/>
  </r>
  <r>
    <x v="1690"/>
    <s v="Female"/>
    <n v="54"/>
    <s v="No"/>
    <n v="71"/>
    <x v="0"/>
    <s v="Month-to-month"/>
    <s v="Fiber optic"/>
    <s v="Electronic check"/>
    <s v="No"/>
    <s v="Yes"/>
    <n v="5"/>
    <n v="92.21"/>
    <n v="6886.77"/>
    <x v="0"/>
  </r>
  <r>
    <x v="1691"/>
    <s v="Female"/>
    <n v="33"/>
    <s v="No"/>
    <n v="48"/>
    <x v="3"/>
    <s v="Month-to-month"/>
    <s v="DSL"/>
    <s v="Bank transfer"/>
    <s v="Yes"/>
    <s v="Yes"/>
    <n v="6"/>
    <n v="69.349999999999994"/>
    <n v="3436.73"/>
    <x v="0"/>
  </r>
  <r>
    <x v="1692"/>
    <s v="Female"/>
    <n v="75"/>
    <s v="Yes"/>
    <n v="18"/>
    <x v="4"/>
    <s v="One year"/>
    <s v="DSL"/>
    <s v="Electronic check"/>
    <s v="No"/>
    <s v="No"/>
    <n v="7"/>
    <n v="79.849999999999994"/>
    <n v="1410.99"/>
    <x v="1"/>
  </r>
  <r>
    <x v="1693"/>
    <s v="Male"/>
    <n v="72"/>
    <s v="Yes"/>
    <n v="16"/>
    <x v="4"/>
    <s v="Two year"/>
    <s v="Fiber optic"/>
    <s v="Mailed check"/>
    <s v="No"/>
    <s v="No"/>
    <n v="6"/>
    <n v="86.64"/>
    <n v="1360.84"/>
    <x v="0"/>
  </r>
  <r>
    <x v="1694"/>
    <s v="Male"/>
    <n v="69"/>
    <s v="Yes"/>
    <n v="55"/>
    <x v="0"/>
    <s v="Two year"/>
    <s v="DSL"/>
    <s v="Credit card"/>
    <s v="No"/>
    <s v="Yes"/>
    <n v="3"/>
    <n v="53.92"/>
    <n v="3006.68"/>
    <x v="0"/>
  </r>
  <r>
    <x v="1695"/>
    <s v="Female"/>
    <n v="21"/>
    <s v="No"/>
    <n v="39"/>
    <x v="3"/>
    <s v="Month-to-month"/>
    <s v="No"/>
    <s v="Credit card"/>
    <s v="No"/>
    <s v="No"/>
    <n v="5"/>
    <n v="45.09"/>
    <n v="1729.56"/>
    <x v="0"/>
  </r>
  <r>
    <x v="1696"/>
    <s v="Male"/>
    <n v="73"/>
    <s v="Yes"/>
    <n v="68"/>
    <x v="0"/>
    <s v="Month-to-month"/>
    <s v="Fiber optic"/>
    <s v="Credit card"/>
    <s v="No"/>
    <s v="No"/>
    <n v="4"/>
    <n v="70.11"/>
    <n v="5059.7700000000004"/>
    <x v="0"/>
  </r>
  <r>
    <x v="1697"/>
    <s v="Male"/>
    <n v="41"/>
    <s v="No"/>
    <n v="59"/>
    <x v="0"/>
    <s v="Month-to-month"/>
    <s v="DSL"/>
    <s v="Bank transfer"/>
    <s v="Yes"/>
    <s v="No"/>
    <n v="3"/>
    <n v="36.159999999999997"/>
    <n v="2000.29"/>
    <x v="0"/>
  </r>
  <r>
    <x v="1698"/>
    <s v="Male"/>
    <n v="51"/>
    <s v="No"/>
    <n v="62"/>
    <x v="0"/>
    <s v="One year"/>
    <s v="Fiber optic"/>
    <s v="Electronic check"/>
    <s v="Yes"/>
    <s v="Yes"/>
    <n v="4"/>
    <n v="73.53"/>
    <n v="4660.3599999999997"/>
    <x v="0"/>
  </r>
  <r>
    <x v="1699"/>
    <s v="Female"/>
    <n v="47"/>
    <s v="No"/>
    <n v="13"/>
    <x v="4"/>
    <s v="One year"/>
    <s v="Fiber optic"/>
    <s v="Bank transfer"/>
    <s v="Yes"/>
    <s v="No"/>
    <n v="2"/>
    <n v="78.19"/>
    <n v="956.96"/>
    <x v="0"/>
  </r>
  <r>
    <x v="1700"/>
    <s v="Male"/>
    <n v="35"/>
    <s v="No"/>
    <n v="6"/>
    <x v="2"/>
    <s v="One year"/>
    <s v="Fiber optic"/>
    <s v="Bank transfer"/>
    <s v="Yes"/>
    <s v="No"/>
    <n v="1"/>
    <n v="76.94"/>
    <n v="464.61"/>
    <x v="1"/>
  </r>
  <r>
    <x v="1701"/>
    <s v="Female"/>
    <n v="36"/>
    <s v="No"/>
    <n v="60"/>
    <x v="0"/>
    <s v="Two year"/>
    <s v="Fiber optic"/>
    <s v="Electronic check"/>
    <s v="No"/>
    <s v="No"/>
    <n v="2"/>
    <n v="56.98"/>
    <n v="3536.72"/>
    <x v="0"/>
  </r>
  <r>
    <x v="1702"/>
    <s v="Male"/>
    <n v="48"/>
    <s v="No"/>
    <n v="14"/>
    <x v="4"/>
    <s v="Month-to-month"/>
    <s v="No"/>
    <s v="Mailed check"/>
    <s v="No"/>
    <s v="Yes"/>
    <n v="5"/>
    <n v="54.01"/>
    <n v="715.67"/>
    <x v="0"/>
  </r>
  <r>
    <x v="1703"/>
    <s v="Male"/>
    <n v="36"/>
    <s v="No"/>
    <n v="54"/>
    <x v="0"/>
    <s v="Month-to-month"/>
    <s v="Fiber optic"/>
    <s v="Credit card"/>
    <s v="Yes"/>
    <s v="Yes"/>
    <n v="2"/>
    <n v="66.849999999999994"/>
    <n v="3727.75"/>
    <x v="1"/>
  </r>
  <r>
    <x v="1704"/>
    <s v="Male"/>
    <n v="66"/>
    <s v="Yes"/>
    <n v="4"/>
    <x v="2"/>
    <s v="Month-to-month"/>
    <s v="DSL"/>
    <s v="Mailed check"/>
    <s v="No"/>
    <s v="No"/>
    <n v="6"/>
    <n v="57.02"/>
    <n v="214.94"/>
    <x v="1"/>
  </r>
  <r>
    <x v="1705"/>
    <s v="Female"/>
    <n v="63"/>
    <s v="Yes"/>
    <n v="39"/>
    <x v="3"/>
    <s v="Month-to-month"/>
    <s v="Fiber optic"/>
    <s v="Electronic check"/>
    <s v="No"/>
    <s v="No"/>
    <n v="3"/>
    <n v="82.41"/>
    <n v="3275.98"/>
    <x v="0"/>
  </r>
  <r>
    <x v="1706"/>
    <s v="Male"/>
    <n v="36"/>
    <s v="No"/>
    <n v="72"/>
    <x v="0"/>
    <s v="Month-to-month"/>
    <s v="No"/>
    <s v="Credit card"/>
    <s v="No"/>
    <s v="No"/>
    <n v="1"/>
    <n v="25.46"/>
    <n v="1834.75"/>
    <x v="0"/>
  </r>
  <r>
    <x v="1707"/>
    <s v="Female"/>
    <n v="39"/>
    <s v="No"/>
    <n v="25"/>
    <x v="3"/>
    <s v="Month-to-month"/>
    <s v="DSL"/>
    <s v="Electronic check"/>
    <s v="No"/>
    <s v="No"/>
    <n v="6"/>
    <n v="85.31"/>
    <n v="2063.85"/>
    <x v="1"/>
  </r>
  <r>
    <x v="1708"/>
    <s v="Female"/>
    <n v="41"/>
    <s v="No"/>
    <n v="32"/>
    <x v="3"/>
    <s v="One year"/>
    <s v="DSL"/>
    <s v="Electronic check"/>
    <s v="No"/>
    <s v="Yes"/>
    <n v="3"/>
    <n v="50.29"/>
    <n v="1509.26"/>
    <x v="0"/>
  </r>
  <r>
    <x v="1709"/>
    <s v="Female"/>
    <n v="62"/>
    <s v="Yes"/>
    <n v="59"/>
    <x v="0"/>
    <s v="Two year"/>
    <s v="Fiber optic"/>
    <s v="Bank transfer"/>
    <s v="Yes"/>
    <s v="No"/>
    <n v="1"/>
    <n v="65.069999999999993"/>
    <n v="3984.01"/>
    <x v="0"/>
  </r>
  <r>
    <x v="1710"/>
    <s v="Male"/>
    <n v="29"/>
    <s v="No"/>
    <n v="63"/>
    <x v="0"/>
    <s v="Month-to-month"/>
    <s v="Fiber optic"/>
    <s v="Mailed check"/>
    <s v="No"/>
    <s v="No"/>
    <n v="4"/>
    <n v="72.16"/>
    <n v="4460.1099999999997"/>
    <x v="0"/>
  </r>
  <r>
    <x v="1711"/>
    <s v="Male"/>
    <n v="47"/>
    <s v="No"/>
    <n v="38"/>
    <x v="3"/>
    <s v="Month-to-month"/>
    <s v="Fiber optic"/>
    <s v="Bank transfer"/>
    <s v="Yes"/>
    <s v="No"/>
    <n v="8"/>
    <n v="96.05"/>
    <n v="3408.44"/>
    <x v="0"/>
  </r>
  <r>
    <x v="1712"/>
    <s v="Male"/>
    <n v="75"/>
    <s v="Yes"/>
    <n v="53"/>
    <x v="0"/>
    <s v="Month-to-month"/>
    <s v="No"/>
    <s v="Electronic check"/>
    <s v="No"/>
    <s v="Yes"/>
    <n v="1"/>
    <n v="34.58"/>
    <n v="1912.73"/>
    <x v="0"/>
  </r>
  <r>
    <x v="1713"/>
    <s v="Male"/>
    <n v="55"/>
    <s v="No"/>
    <n v="67"/>
    <x v="0"/>
    <s v="One year"/>
    <s v="DSL"/>
    <s v="Electronic check"/>
    <s v="No"/>
    <s v="No"/>
    <n v="8"/>
    <n v="62.89"/>
    <n v="4033.55"/>
    <x v="0"/>
  </r>
  <r>
    <x v="1714"/>
    <s v="Female"/>
    <n v="70"/>
    <s v="Yes"/>
    <n v="28"/>
    <x v="3"/>
    <s v="One year"/>
    <s v="DSL"/>
    <s v="Electronic check"/>
    <s v="No"/>
    <s v="No"/>
    <n v="5"/>
    <n v="67.59"/>
    <n v="1964.12"/>
    <x v="0"/>
  </r>
  <r>
    <x v="1715"/>
    <s v="Female"/>
    <n v="48"/>
    <s v="No"/>
    <n v="3"/>
    <x v="2"/>
    <s v="One year"/>
    <s v="DSL"/>
    <s v="Credit card"/>
    <s v="No"/>
    <s v="No"/>
    <n v="3"/>
    <n v="52.14"/>
    <n v="158.04"/>
    <x v="1"/>
  </r>
  <r>
    <x v="1716"/>
    <s v="Female"/>
    <n v="53"/>
    <s v="No"/>
    <n v="22"/>
    <x v="4"/>
    <s v="Month-to-month"/>
    <s v="Fiber optic"/>
    <s v="Mailed check"/>
    <s v="No"/>
    <s v="No"/>
    <n v="3"/>
    <n v="68.97"/>
    <n v="1443.18"/>
    <x v="1"/>
  </r>
  <r>
    <x v="1717"/>
    <s v="Male"/>
    <n v="36"/>
    <s v="No"/>
    <n v="38"/>
    <x v="3"/>
    <s v="Month-to-month"/>
    <s v="DSL"/>
    <s v="Electronic check"/>
    <s v="Yes"/>
    <s v="No"/>
    <n v="2"/>
    <n v="41.19"/>
    <n v="1459.14"/>
    <x v="0"/>
  </r>
  <r>
    <x v="1718"/>
    <s v="Female"/>
    <n v="65"/>
    <s v="Yes"/>
    <n v="72"/>
    <x v="0"/>
    <s v="Month-to-month"/>
    <s v="DSL"/>
    <s v="Electronic check"/>
    <s v="No"/>
    <s v="No"/>
    <n v="3"/>
    <n v="61.85"/>
    <n v="4519.6400000000003"/>
    <x v="1"/>
  </r>
  <r>
    <x v="1719"/>
    <s v="Male"/>
    <n v="62"/>
    <s v="Yes"/>
    <n v="72"/>
    <x v="0"/>
    <s v="One year"/>
    <s v="DSL"/>
    <s v="Electronic check"/>
    <s v="No"/>
    <s v="No"/>
    <n v="7"/>
    <n v="73.010000000000005"/>
    <n v="4857.3900000000003"/>
    <x v="0"/>
  </r>
  <r>
    <x v="1720"/>
    <s v="Female"/>
    <n v="53"/>
    <s v="No"/>
    <n v="62"/>
    <x v="0"/>
    <s v="Two year"/>
    <s v="DSL"/>
    <s v="Mailed check"/>
    <s v="No"/>
    <s v="No"/>
    <n v="2"/>
    <n v="46.93"/>
    <n v="2707.36"/>
    <x v="0"/>
  </r>
  <r>
    <x v="1721"/>
    <s v="Male"/>
    <n v="47"/>
    <s v="No"/>
    <n v="57"/>
    <x v="0"/>
    <s v="Two year"/>
    <s v="Fiber optic"/>
    <s v="Electronic check"/>
    <s v="Yes"/>
    <s v="No"/>
    <n v="4"/>
    <n v="84.46"/>
    <n v="4969.9799999999996"/>
    <x v="0"/>
  </r>
  <r>
    <x v="1722"/>
    <s v="Male"/>
    <n v="72"/>
    <s v="Yes"/>
    <n v="6"/>
    <x v="2"/>
    <s v="Month-to-month"/>
    <s v="Fiber optic"/>
    <s v="Mailed check"/>
    <s v="No"/>
    <s v="No"/>
    <n v="5"/>
    <n v="86.71"/>
    <n v="523.5"/>
    <x v="0"/>
  </r>
  <r>
    <x v="1723"/>
    <s v="Female"/>
    <n v="66"/>
    <s v="Yes"/>
    <n v="32"/>
    <x v="3"/>
    <s v="One year"/>
    <s v="No"/>
    <s v="Mailed check"/>
    <s v="No"/>
    <s v="Yes"/>
    <n v="2"/>
    <n v="39.07"/>
    <n v="1215.49"/>
    <x v="0"/>
  </r>
  <r>
    <x v="1724"/>
    <s v="Female"/>
    <n v="72"/>
    <s v="Yes"/>
    <n v="10"/>
    <x v="1"/>
    <s v="Two year"/>
    <s v="DSL"/>
    <s v="Credit card"/>
    <s v="No"/>
    <s v="Yes"/>
    <n v="1"/>
    <n v="58.48"/>
    <n v="588.47"/>
    <x v="0"/>
  </r>
  <r>
    <x v="1725"/>
    <s v="Female"/>
    <n v="50"/>
    <s v="No"/>
    <n v="3"/>
    <x v="2"/>
    <s v="Month-to-month"/>
    <s v="Fiber optic"/>
    <s v="Bank transfer"/>
    <s v="No"/>
    <s v="No"/>
    <n v="4"/>
    <n v="80.52"/>
    <n v="245.1"/>
    <x v="0"/>
  </r>
  <r>
    <x v="1726"/>
    <s v="Female"/>
    <n v="35"/>
    <s v="No"/>
    <n v="59"/>
    <x v="0"/>
    <s v="Month-to-month"/>
    <s v="No"/>
    <s v="Mailed check"/>
    <s v="No"/>
    <s v="No"/>
    <n v="4"/>
    <n v="54.53"/>
    <n v="3250.88"/>
    <x v="0"/>
  </r>
  <r>
    <x v="1727"/>
    <s v="Male"/>
    <n v="69"/>
    <s v="Yes"/>
    <n v="49"/>
    <x v="0"/>
    <s v="Two year"/>
    <s v="Fiber optic"/>
    <s v="Electronic check"/>
    <s v="No"/>
    <s v="No"/>
    <n v="3"/>
    <n v="84.99"/>
    <n v="4259.5"/>
    <x v="1"/>
  </r>
  <r>
    <x v="1728"/>
    <s v="Female"/>
    <n v="66"/>
    <s v="Yes"/>
    <n v="59"/>
    <x v="0"/>
    <s v="Month-to-month"/>
    <s v="No"/>
    <s v="Bank transfer"/>
    <s v="No"/>
    <s v="Yes"/>
    <n v="5"/>
    <n v="50.48"/>
    <n v="3188.13"/>
    <x v="0"/>
  </r>
  <r>
    <x v="1729"/>
    <s v="Female"/>
    <n v="45"/>
    <s v="No"/>
    <n v="31"/>
    <x v="3"/>
    <s v="Two year"/>
    <s v="No"/>
    <s v="Bank transfer"/>
    <s v="No"/>
    <s v="Yes"/>
    <n v="3"/>
    <n v="25.16"/>
    <n v="766.08"/>
    <x v="1"/>
  </r>
  <r>
    <x v="1730"/>
    <s v="Female"/>
    <n v="64"/>
    <s v="Yes"/>
    <n v="69"/>
    <x v="0"/>
    <s v="Two year"/>
    <s v="No"/>
    <s v="Electronic check"/>
    <s v="No"/>
    <s v="Yes"/>
    <n v="4"/>
    <n v="41.77"/>
    <n v="2790.43"/>
    <x v="1"/>
  </r>
  <r>
    <x v="1731"/>
    <s v="Male"/>
    <n v="28"/>
    <s v="No"/>
    <n v="62"/>
    <x v="0"/>
    <s v="One year"/>
    <s v="No"/>
    <s v="Credit card"/>
    <s v="Yes"/>
    <s v="No"/>
    <n v="3"/>
    <n v="38.72"/>
    <n v="2223.35"/>
    <x v="0"/>
  </r>
  <r>
    <x v="1732"/>
    <s v="Male"/>
    <n v="74"/>
    <s v="Yes"/>
    <n v="52"/>
    <x v="0"/>
    <s v="Two year"/>
    <s v="Fiber optic"/>
    <s v="Electronic check"/>
    <s v="Yes"/>
    <s v="No"/>
    <n v="6"/>
    <n v="88.51"/>
    <n v="4342.62"/>
    <x v="0"/>
  </r>
  <r>
    <x v="1733"/>
    <s v="Female"/>
    <n v="71"/>
    <s v="Yes"/>
    <n v="41"/>
    <x v="3"/>
    <s v="One year"/>
    <s v="Fiber optic"/>
    <s v="Electronic check"/>
    <s v="No"/>
    <s v="No"/>
    <n v="1"/>
    <n v="66.23"/>
    <n v="2544.36"/>
    <x v="0"/>
  </r>
  <r>
    <x v="1734"/>
    <s v="Male"/>
    <n v="62"/>
    <s v="Yes"/>
    <n v="31"/>
    <x v="3"/>
    <s v="One year"/>
    <s v="DSL"/>
    <s v="Electronic check"/>
    <s v="Yes"/>
    <s v="Yes"/>
    <n v="4"/>
    <n v="63.52"/>
    <n v="1917.28"/>
    <x v="0"/>
  </r>
  <r>
    <x v="1735"/>
    <s v="Female"/>
    <n v="50"/>
    <s v="No"/>
    <n v="22"/>
    <x v="4"/>
    <s v="Month-to-month"/>
    <s v="Fiber optic"/>
    <s v="Credit card"/>
    <s v="No"/>
    <s v="No"/>
    <n v="3"/>
    <n v="80.45"/>
    <n v="1801.05"/>
    <x v="0"/>
  </r>
  <r>
    <x v="1736"/>
    <s v="Male"/>
    <n v="34"/>
    <s v="No"/>
    <n v="4"/>
    <x v="2"/>
    <s v="Month-to-month"/>
    <s v="Fiber optic"/>
    <s v="Mailed check"/>
    <s v="Yes"/>
    <s v="No"/>
    <n v="7"/>
    <n v="79.290000000000006"/>
    <n v="294.14"/>
    <x v="1"/>
  </r>
  <r>
    <x v="1737"/>
    <s v="Male"/>
    <n v="23"/>
    <s v="No"/>
    <n v="13"/>
    <x v="4"/>
    <s v="Month-to-month"/>
    <s v="DSL"/>
    <s v="Credit card"/>
    <s v="No"/>
    <s v="Yes"/>
    <n v="5"/>
    <n v="72.48"/>
    <n v="976.56"/>
    <x v="0"/>
  </r>
  <r>
    <x v="1738"/>
    <s v="Male"/>
    <n v="21"/>
    <s v="No"/>
    <n v="45"/>
    <x v="3"/>
    <s v="One year"/>
    <s v="Fiber optic"/>
    <s v="Electronic check"/>
    <s v="Yes"/>
    <s v="No"/>
    <n v="4"/>
    <n v="68.66"/>
    <n v="3039"/>
    <x v="0"/>
  </r>
  <r>
    <x v="1739"/>
    <s v="Male"/>
    <n v="37"/>
    <s v="No"/>
    <n v="42"/>
    <x v="3"/>
    <s v="Month-to-month"/>
    <s v="No"/>
    <s v="Mailed check"/>
    <s v="No"/>
    <s v="Yes"/>
    <n v="2"/>
    <n v="30.16"/>
    <n v="1360.66"/>
    <x v="0"/>
  </r>
  <r>
    <x v="1740"/>
    <s v="Female"/>
    <n v="65"/>
    <s v="Yes"/>
    <n v="49"/>
    <x v="0"/>
    <s v="Month-to-month"/>
    <s v="No"/>
    <s v="Mailed check"/>
    <s v="No"/>
    <s v="No"/>
    <n v="2"/>
    <n v="26.79"/>
    <n v="1327.07"/>
    <x v="0"/>
  </r>
  <r>
    <x v="1741"/>
    <s v="Female"/>
    <n v="64"/>
    <s v="Yes"/>
    <n v="20"/>
    <x v="4"/>
    <s v="Month-to-month"/>
    <s v="No"/>
    <s v="Credit card"/>
    <s v="No"/>
    <s v="No"/>
    <n v="6"/>
    <n v="43.95"/>
    <n v="917.16"/>
    <x v="0"/>
  </r>
  <r>
    <x v="1742"/>
    <s v="Female"/>
    <n v="44"/>
    <s v="No"/>
    <n v="54"/>
    <x v="0"/>
    <s v="One year"/>
    <s v="DSL"/>
    <s v="Electronic check"/>
    <s v="No"/>
    <s v="No"/>
    <n v="2"/>
    <n v="58.61"/>
    <n v="3347.84"/>
    <x v="0"/>
  </r>
  <r>
    <x v="1743"/>
    <s v="Male"/>
    <n v="32"/>
    <s v="No"/>
    <n v="36"/>
    <x v="3"/>
    <s v="Two year"/>
    <s v="No"/>
    <s v="Electronic check"/>
    <s v="Yes"/>
    <s v="Yes"/>
    <n v="2"/>
    <n v="33.85"/>
    <n v="1294.42"/>
    <x v="0"/>
  </r>
  <r>
    <x v="1744"/>
    <s v="Female"/>
    <n v="23"/>
    <s v="No"/>
    <n v="1"/>
    <x v="2"/>
    <s v="Two year"/>
    <s v="No"/>
    <s v="Electronic check"/>
    <s v="Yes"/>
    <s v="Yes"/>
    <n v="5"/>
    <n v="49.78"/>
    <n v="49.93"/>
    <x v="1"/>
  </r>
  <r>
    <x v="1745"/>
    <s v="Female"/>
    <n v="64"/>
    <s v="Yes"/>
    <n v="15"/>
    <x v="4"/>
    <s v="Month-to-month"/>
    <s v="DSL"/>
    <s v="Credit card"/>
    <s v="No"/>
    <s v="No"/>
    <n v="1"/>
    <n v="51.42"/>
    <n v="758.56"/>
    <x v="0"/>
  </r>
  <r>
    <x v="1746"/>
    <s v="Female"/>
    <n v="31"/>
    <s v="No"/>
    <n v="17"/>
    <x v="4"/>
    <s v="Two year"/>
    <s v="Fiber optic"/>
    <s v="Mailed check"/>
    <s v="No"/>
    <s v="Yes"/>
    <n v="5"/>
    <n v="69.59"/>
    <n v="1194.48"/>
    <x v="0"/>
  </r>
  <r>
    <x v="1747"/>
    <s v="Male"/>
    <n v="28"/>
    <s v="No"/>
    <n v="24"/>
    <x v="4"/>
    <s v="One year"/>
    <s v="No"/>
    <s v="Mailed check"/>
    <s v="No"/>
    <s v="No"/>
    <n v="2"/>
    <n v="29.1"/>
    <n v="687.46"/>
    <x v="0"/>
  </r>
  <r>
    <x v="1748"/>
    <s v="Male"/>
    <n v="56"/>
    <s v="No"/>
    <n v="58"/>
    <x v="0"/>
    <s v="Month-to-month"/>
    <s v="No"/>
    <s v="Mailed check"/>
    <s v="No"/>
    <s v="No"/>
    <n v="6"/>
    <n v="54.24"/>
    <n v="3015.41"/>
    <x v="0"/>
  </r>
  <r>
    <x v="1749"/>
    <s v="Male"/>
    <n v="26"/>
    <s v="No"/>
    <n v="72"/>
    <x v="0"/>
    <s v="One year"/>
    <s v="DSL"/>
    <s v="Credit card"/>
    <s v="No"/>
    <s v="No"/>
    <n v="1"/>
    <n v="51.6"/>
    <n v="3610.53"/>
    <x v="0"/>
  </r>
  <r>
    <x v="1750"/>
    <s v="Female"/>
    <n v="43"/>
    <s v="No"/>
    <n v="23"/>
    <x v="4"/>
    <s v="Month-to-month"/>
    <s v="Fiber optic"/>
    <s v="Credit card"/>
    <s v="Yes"/>
    <s v="No"/>
    <n v="3"/>
    <n v="62.7"/>
    <n v="1380.44"/>
    <x v="0"/>
  </r>
  <r>
    <x v="1751"/>
    <s v="Female"/>
    <n v="33"/>
    <s v="No"/>
    <n v="46"/>
    <x v="3"/>
    <s v="Two year"/>
    <s v="DSL"/>
    <s v="Bank transfer"/>
    <s v="No"/>
    <s v="No"/>
    <n v="3"/>
    <n v="62.21"/>
    <n v="2756.09"/>
    <x v="0"/>
  </r>
  <r>
    <x v="1752"/>
    <s v="Female"/>
    <n v="22"/>
    <s v="No"/>
    <n v="72"/>
    <x v="0"/>
    <s v="Month-to-month"/>
    <s v="Fiber optic"/>
    <s v="Electronic check"/>
    <s v="No"/>
    <s v="No"/>
    <n v="5"/>
    <n v="87.31"/>
    <n v="5877.57"/>
    <x v="0"/>
  </r>
  <r>
    <x v="1753"/>
    <s v="Male"/>
    <n v="74"/>
    <s v="Yes"/>
    <n v="8"/>
    <x v="1"/>
    <s v="Month-to-month"/>
    <s v="No"/>
    <s v="Electronic check"/>
    <s v="No"/>
    <s v="No"/>
    <n v="5"/>
    <n v="38.26"/>
    <n v="302.48"/>
    <x v="1"/>
  </r>
  <r>
    <x v="1754"/>
    <s v="Male"/>
    <n v="69"/>
    <s v="Yes"/>
    <n v="59"/>
    <x v="0"/>
    <s v="One year"/>
    <s v="No"/>
    <s v="Credit card"/>
    <s v="No"/>
    <s v="Yes"/>
    <n v="4"/>
    <n v="43.86"/>
    <n v="2478.14"/>
    <x v="0"/>
  </r>
  <r>
    <x v="1755"/>
    <s v="Female"/>
    <n v="27"/>
    <s v="No"/>
    <n v="59"/>
    <x v="0"/>
    <s v="Month-to-month"/>
    <s v="Fiber optic"/>
    <s v="Mailed check"/>
    <s v="Yes"/>
    <s v="Yes"/>
    <n v="4"/>
    <n v="77.400000000000006"/>
    <n v="4528.87"/>
    <x v="1"/>
  </r>
  <r>
    <x v="1756"/>
    <s v="Male"/>
    <n v="67"/>
    <s v="Yes"/>
    <n v="13"/>
    <x v="4"/>
    <s v="Month-to-month"/>
    <s v="DSL"/>
    <s v="Electronic check"/>
    <s v="No"/>
    <s v="Yes"/>
    <n v="4"/>
    <n v="62.44"/>
    <n v="849.67"/>
    <x v="1"/>
  </r>
  <r>
    <x v="1757"/>
    <s v="Male"/>
    <n v="20"/>
    <s v="No"/>
    <n v="39"/>
    <x v="3"/>
    <s v="One year"/>
    <s v="Fiber optic"/>
    <s v="Mailed check"/>
    <s v="Yes"/>
    <s v="No"/>
    <n v="3"/>
    <n v="62.4"/>
    <n v="2413.4699999999998"/>
    <x v="0"/>
  </r>
  <r>
    <x v="1758"/>
    <s v="Male"/>
    <n v="30"/>
    <s v="No"/>
    <n v="28"/>
    <x v="3"/>
    <s v="Month-to-month"/>
    <s v="DSL"/>
    <s v="Credit card"/>
    <s v="No"/>
    <s v="No"/>
    <n v="4"/>
    <n v="56.53"/>
    <n v="1697.97"/>
    <x v="0"/>
  </r>
  <r>
    <x v="1759"/>
    <s v="Male"/>
    <n v="60"/>
    <s v="Yes"/>
    <n v="61"/>
    <x v="0"/>
    <s v="One year"/>
    <s v="Fiber optic"/>
    <s v="Mailed check"/>
    <s v="No"/>
    <s v="No"/>
    <n v="4"/>
    <n v="87.27"/>
    <n v="5023.51"/>
    <x v="0"/>
  </r>
  <r>
    <x v="1760"/>
    <s v="Female"/>
    <n v="66"/>
    <s v="Yes"/>
    <n v="16"/>
    <x v="4"/>
    <s v="Month-to-month"/>
    <s v="DSL"/>
    <s v="Bank transfer"/>
    <s v="No"/>
    <s v="No"/>
    <n v="4"/>
    <n v="62.77"/>
    <n v="1060.5999999999999"/>
    <x v="0"/>
  </r>
  <r>
    <x v="1761"/>
    <s v="Male"/>
    <n v="47"/>
    <s v="No"/>
    <n v="2"/>
    <x v="2"/>
    <s v="One year"/>
    <s v="Fiber optic"/>
    <s v="Credit card"/>
    <s v="No"/>
    <s v="No"/>
    <n v="5"/>
    <n v="88.54"/>
    <n v="169.95"/>
    <x v="0"/>
  </r>
  <r>
    <x v="1762"/>
    <s v="Male"/>
    <n v="71"/>
    <s v="Yes"/>
    <n v="17"/>
    <x v="4"/>
    <s v="One year"/>
    <s v="Fiber optic"/>
    <s v="Mailed check"/>
    <s v="Yes"/>
    <s v="No"/>
    <n v="4"/>
    <n v="77.37"/>
    <n v="1406.61"/>
    <x v="0"/>
  </r>
  <r>
    <x v="1763"/>
    <s v="Male"/>
    <n v="62"/>
    <s v="Yes"/>
    <n v="30"/>
    <x v="3"/>
    <s v="Month-to-month"/>
    <s v="Fiber optic"/>
    <s v="Electronic check"/>
    <s v="No"/>
    <s v="Yes"/>
    <n v="1"/>
    <n v="70.95"/>
    <n v="2035.58"/>
    <x v="0"/>
  </r>
  <r>
    <x v="1764"/>
    <s v="Male"/>
    <n v="23"/>
    <s v="No"/>
    <n v="13"/>
    <x v="4"/>
    <s v="One year"/>
    <s v="Fiber optic"/>
    <s v="Credit card"/>
    <s v="No"/>
    <s v="No"/>
    <n v="2"/>
    <n v="69.86"/>
    <n v="944.07"/>
    <x v="0"/>
  </r>
  <r>
    <x v="1765"/>
    <s v="Female"/>
    <n v="34"/>
    <s v="No"/>
    <n v="13"/>
    <x v="4"/>
    <s v="One year"/>
    <s v="DSL"/>
    <s v="Credit card"/>
    <s v="No"/>
    <s v="No"/>
    <n v="4"/>
    <n v="52.53"/>
    <n v="635.04999999999995"/>
    <x v="0"/>
  </r>
  <r>
    <x v="1766"/>
    <s v="Female"/>
    <n v="62"/>
    <s v="Yes"/>
    <n v="43"/>
    <x v="3"/>
    <s v="One year"/>
    <s v="Fiber optic"/>
    <s v="Credit card"/>
    <s v="Yes"/>
    <s v="No"/>
    <n v="4"/>
    <n v="77.23"/>
    <n v="3389.87"/>
    <x v="0"/>
  </r>
  <r>
    <x v="1767"/>
    <s v="Male"/>
    <n v="68"/>
    <s v="Yes"/>
    <n v="21"/>
    <x v="4"/>
    <s v="One year"/>
    <s v="DSL"/>
    <s v="Bank transfer"/>
    <s v="Yes"/>
    <s v="Yes"/>
    <n v="1"/>
    <n v="57.18"/>
    <n v="1146.73"/>
    <x v="0"/>
  </r>
  <r>
    <x v="1768"/>
    <s v="Male"/>
    <n v="70"/>
    <s v="Yes"/>
    <n v="55"/>
    <x v="0"/>
    <s v="Two year"/>
    <s v="No"/>
    <s v="Electronic check"/>
    <s v="Yes"/>
    <s v="No"/>
    <n v="3"/>
    <n v="44.93"/>
    <n v="2538.4299999999998"/>
    <x v="0"/>
  </r>
  <r>
    <x v="1769"/>
    <s v="Male"/>
    <n v="36"/>
    <s v="No"/>
    <n v="40"/>
    <x v="3"/>
    <s v="Month-to-month"/>
    <s v="No"/>
    <s v="Credit card"/>
    <s v="No"/>
    <s v="No"/>
    <n v="1"/>
    <n v="22.05"/>
    <n v="901.17"/>
    <x v="0"/>
  </r>
  <r>
    <x v="1770"/>
    <s v="Male"/>
    <n v="59"/>
    <s v="No"/>
    <n v="15"/>
    <x v="4"/>
    <s v="Month-to-month"/>
    <s v="No"/>
    <s v="Electronic check"/>
    <s v="Yes"/>
    <s v="No"/>
    <n v="3"/>
    <n v="34.08"/>
    <n v="545.85"/>
    <x v="1"/>
  </r>
  <r>
    <x v="1771"/>
    <s v="Male"/>
    <n v="52"/>
    <s v="No"/>
    <n v="52"/>
    <x v="0"/>
    <s v="Two year"/>
    <s v="No"/>
    <s v="Credit card"/>
    <s v="No"/>
    <s v="No"/>
    <n v="2"/>
    <n v="26.53"/>
    <n v="1407.52"/>
    <x v="0"/>
  </r>
  <r>
    <x v="1772"/>
    <s v="Male"/>
    <n v="63"/>
    <s v="Yes"/>
    <n v="53"/>
    <x v="0"/>
    <s v="Month-to-month"/>
    <s v="Fiber optic"/>
    <s v="Credit card"/>
    <s v="No"/>
    <s v="No"/>
    <n v="5"/>
    <n v="84.26"/>
    <n v="4400.22"/>
    <x v="1"/>
  </r>
  <r>
    <x v="1773"/>
    <s v="Female"/>
    <n v="43"/>
    <s v="No"/>
    <n v="52"/>
    <x v="0"/>
    <s v="Month-to-month"/>
    <s v="Fiber optic"/>
    <s v="Bank transfer"/>
    <s v="No"/>
    <s v="Yes"/>
    <n v="3"/>
    <n v="81.98"/>
    <n v="4053.95"/>
    <x v="0"/>
  </r>
  <r>
    <x v="1774"/>
    <s v="Male"/>
    <n v="68"/>
    <s v="Yes"/>
    <n v="30"/>
    <x v="3"/>
    <s v="Month-to-month"/>
    <s v="DSL"/>
    <s v="Credit card"/>
    <s v="No"/>
    <s v="Yes"/>
    <n v="8"/>
    <n v="89.22"/>
    <n v="2744.03"/>
    <x v="1"/>
  </r>
  <r>
    <x v="1775"/>
    <s v="Female"/>
    <n v="22"/>
    <s v="No"/>
    <n v="33"/>
    <x v="3"/>
    <s v="Month-to-month"/>
    <s v="No"/>
    <s v="Credit card"/>
    <s v="Yes"/>
    <s v="No"/>
    <n v="7"/>
    <n v="43.01"/>
    <n v="1332.21"/>
    <x v="0"/>
  </r>
  <r>
    <x v="1776"/>
    <s v="Female"/>
    <n v="46"/>
    <s v="No"/>
    <n v="57"/>
    <x v="0"/>
    <s v="Month-to-month"/>
    <s v="No"/>
    <s v="Electronic check"/>
    <s v="No"/>
    <s v="Yes"/>
    <n v="5"/>
    <n v="51.01"/>
    <n v="3060.4"/>
    <x v="0"/>
  </r>
  <r>
    <x v="1777"/>
    <s v="Male"/>
    <n v="54"/>
    <s v="No"/>
    <n v="52"/>
    <x v="0"/>
    <s v="Two year"/>
    <s v="Fiber optic"/>
    <s v="Bank transfer"/>
    <s v="No"/>
    <s v="No"/>
    <n v="3"/>
    <n v="74.95"/>
    <n v="3739.84"/>
    <x v="0"/>
  </r>
  <r>
    <x v="1778"/>
    <s v="Female"/>
    <n v="37"/>
    <s v="No"/>
    <n v="9"/>
    <x v="1"/>
    <s v="Month-to-month"/>
    <s v="Fiber optic"/>
    <s v="Electronic check"/>
    <s v="No"/>
    <s v="No"/>
    <n v="3"/>
    <n v="72.430000000000007"/>
    <n v="654.39"/>
    <x v="1"/>
  </r>
  <r>
    <x v="1779"/>
    <s v="Female"/>
    <n v="66"/>
    <s v="Yes"/>
    <n v="54"/>
    <x v="0"/>
    <s v="Month-to-month"/>
    <s v="Fiber optic"/>
    <s v="Mailed check"/>
    <s v="No"/>
    <s v="No"/>
    <n v="3"/>
    <n v="68.45"/>
    <n v="3753.04"/>
    <x v="0"/>
  </r>
  <r>
    <x v="1780"/>
    <s v="Female"/>
    <n v="38"/>
    <s v="No"/>
    <n v="1"/>
    <x v="2"/>
    <s v="Two year"/>
    <s v="DSL"/>
    <s v="Electronic check"/>
    <s v="Yes"/>
    <s v="Yes"/>
    <n v="2"/>
    <n v="63.46"/>
    <n v="62.06"/>
    <x v="0"/>
  </r>
  <r>
    <x v="1781"/>
    <s v="Female"/>
    <n v="27"/>
    <s v="No"/>
    <n v="44"/>
    <x v="3"/>
    <s v="Two year"/>
    <s v="DSL"/>
    <s v="Mailed check"/>
    <s v="No"/>
    <s v="No"/>
    <n v="4"/>
    <n v="47.6"/>
    <n v="2149.31"/>
    <x v="0"/>
  </r>
  <r>
    <x v="1782"/>
    <s v="Female"/>
    <n v="22"/>
    <s v="No"/>
    <n v="9"/>
    <x v="1"/>
    <s v="Month-to-month"/>
    <s v="Fiber optic"/>
    <s v="Credit card"/>
    <s v="No"/>
    <s v="Yes"/>
    <n v="4"/>
    <n v="75.569999999999993"/>
    <n v="652.95000000000005"/>
    <x v="0"/>
  </r>
  <r>
    <x v="1783"/>
    <s v="Female"/>
    <n v="53"/>
    <s v="No"/>
    <n v="32"/>
    <x v="3"/>
    <s v="Month-to-month"/>
    <s v="DSL"/>
    <s v="Credit card"/>
    <s v="No"/>
    <s v="No"/>
    <n v="4"/>
    <n v="61.57"/>
    <n v="1823.54"/>
    <x v="0"/>
  </r>
  <r>
    <x v="1784"/>
    <s v="Male"/>
    <n v="23"/>
    <s v="No"/>
    <n v="15"/>
    <x v="4"/>
    <s v="Two year"/>
    <s v="DSL"/>
    <s v="Electronic check"/>
    <s v="Yes"/>
    <s v="No"/>
    <n v="5"/>
    <n v="66.17"/>
    <n v="1065.49"/>
    <x v="0"/>
  </r>
  <r>
    <x v="1785"/>
    <s v="Female"/>
    <n v="43"/>
    <s v="No"/>
    <n v="12"/>
    <x v="1"/>
    <s v="One year"/>
    <s v="DSL"/>
    <s v="Bank transfer"/>
    <s v="Yes"/>
    <s v="No"/>
    <n v="4"/>
    <n v="67.73"/>
    <n v="789.36"/>
    <x v="0"/>
  </r>
  <r>
    <x v="1786"/>
    <s v="Female"/>
    <n v="21"/>
    <s v="No"/>
    <n v="57"/>
    <x v="0"/>
    <s v="One year"/>
    <s v="Fiber optic"/>
    <s v="Mailed check"/>
    <s v="No"/>
    <s v="Yes"/>
    <n v="4"/>
    <n v="72.84"/>
    <n v="4293.68"/>
    <x v="0"/>
  </r>
  <r>
    <x v="1787"/>
    <s v="Female"/>
    <n v="56"/>
    <s v="No"/>
    <n v="8"/>
    <x v="1"/>
    <s v="Two year"/>
    <s v="No"/>
    <s v="Credit card"/>
    <s v="No"/>
    <s v="No"/>
    <n v="5"/>
    <n v="49.37"/>
    <n v="395.44"/>
    <x v="0"/>
  </r>
  <r>
    <x v="1788"/>
    <s v="Male"/>
    <n v="56"/>
    <s v="No"/>
    <n v="72"/>
    <x v="0"/>
    <s v="One year"/>
    <s v="DSL"/>
    <s v="Mailed check"/>
    <s v="No"/>
    <s v="Yes"/>
    <n v="6"/>
    <n v="66.56"/>
    <n v="4921.8999999999996"/>
    <x v="0"/>
  </r>
  <r>
    <x v="1789"/>
    <s v="Female"/>
    <n v="67"/>
    <s v="Yes"/>
    <n v="27"/>
    <x v="3"/>
    <s v="Month-to-month"/>
    <s v="No"/>
    <s v="Bank transfer"/>
    <s v="No"/>
    <s v="No"/>
    <n v="3"/>
    <n v="37.28"/>
    <n v="943.9"/>
    <x v="0"/>
  </r>
  <r>
    <x v="1790"/>
    <s v="Male"/>
    <n v="52"/>
    <s v="No"/>
    <n v="62"/>
    <x v="0"/>
    <s v="One year"/>
    <s v="No"/>
    <s v="Credit card"/>
    <s v="No"/>
    <s v="No"/>
    <n v="3"/>
    <n v="33.78"/>
    <n v="2100.6799999999998"/>
    <x v="0"/>
  </r>
  <r>
    <x v="1791"/>
    <s v="Female"/>
    <n v="18"/>
    <s v="No"/>
    <n v="12"/>
    <x v="1"/>
    <s v="Month-to-month"/>
    <s v="Fiber optic"/>
    <s v="Mailed check"/>
    <s v="Yes"/>
    <s v="No"/>
    <n v="5"/>
    <n v="84.13"/>
    <n v="992.15"/>
    <x v="1"/>
  </r>
  <r>
    <x v="1792"/>
    <s v="Male"/>
    <n v="41"/>
    <s v="No"/>
    <n v="65"/>
    <x v="0"/>
    <s v="One year"/>
    <s v="Fiber optic"/>
    <s v="Credit card"/>
    <s v="Yes"/>
    <s v="No"/>
    <n v="5"/>
    <n v="82"/>
    <n v="5288.94"/>
    <x v="0"/>
  </r>
  <r>
    <x v="1793"/>
    <s v="Male"/>
    <n v="74"/>
    <s v="Yes"/>
    <n v="42"/>
    <x v="3"/>
    <s v="One year"/>
    <s v="DSL"/>
    <s v="Credit card"/>
    <s v="No"/>
    <s v="No"/>
    <n v="4"/>
    <n v="56.51"/>
    <n v="2550.46"/>
    <x v="0"/>
  </r>
  <r>
    <x v="1794"/>
    <s v="Female"/>
    <n v="53"/>
    <s v="No"/>
    <n v="62"/>
    <x v="0"/>
    <s v="Month-to-month"/>
    <s v="Fiber optic"/>
    <s v="Credit card"/>
    <s v="No"/>
    <s v="Yes"/>
    <n v="4"/>
    <n v="75.319999999999993"/>
    <n v="4398.08"/>
    <x v="1"/>
  </r>
  <r>
    <x v="1795"/>
    <s v="Female"/>
    <n v="23"/>
    <s v="No"/>
    <n v="11"/>
    <x v="1"/>
    <s v="Month-to-month"/>
    <s v="No"/>
    <s v="Electronic check"/>
    <s v="No"/>
    <s v="No"/>
    <n v="2"/>
    <n v="35.61"/>
    <n v="407.67"/>
    <x v="1"/>
  </r>
  <r>
    <x v="1796"/>
    <s v="Male"/>
    <n v="58"/>
    <s v="No"/>
    <n v="43"/>
    <x v="3"/>
    <s v="Month-to-month"/>
    <s v="DSL"/>
    <s v="Mailed check"/>
    <s v="No"/>
    <s v="Yes"/>
    <n v="2"/>
    <n v="41.68"/>
    <n v="1743.59"/>
    <x v="0"/>
  </r>
  <r>
    <x v="1797"/>
    <s v="Female"/>
    <n v="71"/>
    <s v="Yes"/>
    <n v="17"/>
    <x v="4"/>
    <s v="Month-to-month"/>
    <s v="No"/>
    <s v="Credit card"/>
    <s v="No"/>
    <s v="Yes"/>
    <n v="2"/>
    <n v="31.65"/>
    <n v="520"/>
    <x v="0"/>
  </r>
  <r>
    <x v="1798"/>
    <s v="Male"/>
    <n v="63"/>
    <s v="Yes"/>
    <n v="32"/>
    <x v="3"/>
    <s v="One year"/>
    <s v="Fiber optic"/>
    <s v="Mailed check"/>
    <s v="No"/>
    <s v="Yes"/>
    <n v="3"/>
    <n v="69.63"/>
    <n v="2146.44"/>
    <x v="0"/>
  </r>
  <r>
    <x v="1799"/>
    <s v="Male"/>
    <n v="61"/>
    <s v="Yes"/>
    <n v="40"/>
    <x v="3"/>
    <s v="Month-to-month"/>
    <s v="Fiber optic"/>
    <s v="Bank transfer"/>
    <s v="Yes"/>
    <s v="Yes"/>
    <n v="1"/>
    <n v="66.14"/>
    <n v="2581.59"/>
    <x v="1"/>
  </r>
  <r>
    <x v="1800"/>
    <s v="Male"/>
    <n v="74"/>
    <s v="Yes"/>
    <n v="23"/>
    <x v="4"/>
    <s v="One year"/>
    <s v="DSL"/>
    <s v="Electronic check"/>
    <s v="Yes"/>
    <s v="No"/>
    <n v="7"/>
    <n v="70.23"/>
    <n v="1578.36"/>
    <x v="0"/>
  </r>
  <r>
    <x v="1801"/>
    <s v="Male"/>
    <n v="48"/>
    <s v="No"/>
    <n v="56"/>
    <x v="0"/>
    <s v="Month-to-month"/>
    <s v="Fiber optic"/>
    <s v="Electronic check"/>
    <s v="No"/>
    <s v="No"/>
    <n v="3"/>
    <n v="81.069999999999993"/>
    <n v="4373.3900000000003"/>
    <x v="0"/>
  </r>
  <r>
    <x v="1802"/>
    <s v="Male"/>
    <n v="37"/>
    <s v="No"/>
    <n v="6"/>
    <x v="2"/>
    <s v="One year"/>
    <s v="DSL"/>
    <s v="Mailed check"/>
    <s v="No"/>
    <s v="Yes"/>
    <n v="4"/>
    <n v="63.61"/>
    <n v="391.89"/>
    <x v="0"/>
  </r>
  <r>
    <x v="1803"/>
    <s v="Female"/>
    <n v="41"/>
    <s v="No"/>
    <n v="50"/>
    <x v="0"/>
    <s v="Two year"/>
    <s v="No"/>
    <s v="Bank transfer"/>
    <s v="No"/>
    <s v="Yes"/>
    <n v="4"/>
    <n v="43.04"/>
    <n v="1996.27"/>
    <x v="0"/>
  </r>
  <r>
    <x v="1804"/>
    <s v="Male"/>
    <n v="42"/>
    <s v="No"/>
    <n v="37"/>
    <x v="3"/>
    <s v="One year"/>
    <s v="Fiber optic"/>
    <s v="Mailed check"/>
    <s v="Yes"/>
    <s v="No"/>
    <n v="3"/>
    <n v="76.209999999999994"/>
    <n v="2744.11"/>
    <x v="0"/>
  </r>
  <r>
    <x v="1805"/>
    <s v="Male"/>
    <n v="53"/>
    <s v="No"/>
    <n v="64"/>
    <x v="0"/>
    <s v="Month-to-month"/>
    <s v="DSL"/>
    <s v="Bank transfer"/>
    <s v="Yes"/>
    <s v="No"/>
    <n v="2"/>
    <n v="49.66"/>
    <n v="3066.47"/>
    <x v="0"/>
  </r>
  <r>
    <x v="1806"/>
    <s v="Female"/>
    <n v="38"/>
    <s v="No"/>
    <n v="54"/>
    <x v="0"/>
    <s v="Two year"/>
    <s v="Fiber optic"/>
    <s v="Mailed check"/>
    <s v="No"/>
    <s v="No"/>
    <n v="2"/>
    <n v="69.53"/>
    <n v="3905.66"/>
    <x v="0"/>
  </r>
  <r>
    <x v="1807"/>
    <s v="Male"/>
    <n v="47"/>
    <s v="No"/>
    <n v="72"/>
    <x v="0"/>
    <s v="Month-to-month"/>
    <s v="Fiber optic"/>
    <s v="Bank transfer"/>
    <s v="No"/>
    <s v="No"/>
    <n v="2"/>
    <n v="58.76"/>
    <n v="3991.43"/>
    <x v="0"/>
  </r>
  <r>
    <x v="1808"/>
    <s v="Female"/>
    <n v="41"/>
    <s v="No"/>
    <n v="49"/>
    <x v="0"/>
    <s v="Month-to-month"/>
    <s v="No"/>
    <s v="Bank transfer"/>
    <s v="No"/>
    <s v="No"/>
    <n v="7"/>
    <n v="58.14"/>
    <n v="3049.73"/>
    <x v="0"/>
  </r>
  <r>
    <x v="1809"/>
    <s v="Female"/>
    <n v="61"/>
    <s v="Yes"/>
    <n v="11"/>
    <x v="1"/>
    <s v="Month-to-month"/>
    <s v="No"/>
    <s v="Mailed check"/>
    <s v="No"/>
    <s v="No"/>
    <n v="6"/>
    <n v="50.87"/>
    <n v="530.07000000000005"/>
    <x v="1"/>
  </r>
  <r>
    <x v="1810"/>
    <s v="Female"/>
    <n v="59"/>
    <s v="No"/>
    <n v="49"/>
    <x v="0"/>
    <s v="Month-to-month"/>
    <s v="DSL"/>
    <s v="Mailed check"/>
    <s v="No"/>
    <s v="No"/>
    <n v="3"/>
    <n v="63.4"/>
    <n v="3042"/>
    <x v="1"/>
  </r>
  <r>
    <x v="1811"/>
    <s v="Male"/>
    <n v="47"/>
    <s v="No"/>
    <n v="21"/>
    <x v="4"/>
    <s v="Two year"/>
    <s v="No"/>
    <s v="Electronic check"/>
    <s v="Yes"/>
    <s v="Yes"/>
    <n v="4"/>
    <n v="37.119999999999997"/>
    <n v="742.07"/>
    <x v="0"/>
  </r>
  <r>
    <x v="1812"/>
    <s v="Male"/>
    <n v="39"/>
    <s v="No"/>
    <n v="66"/>
    <x v="0"/>
    <s v="Month-to-month"/>
    <s v="DSL"/>
    <s v="Mailed check"/>
    <s v="Yes"/>
    <s v="No"/>
    <n v="2"/>
    <n v="59.82"/>
    <n v="3813.38"/>
    <x v="0"/>
  </r>
  <r>
    <x v="1813"/>
    <s v="Male"/>
    <n v="45"/>
    <s v="No"/>
    <n v="63"/>
    <x v="0"/>
    <s v="One year"/>
    <s v="Fiber optic"/>
    <s v="Bank transfer"/>
    <s v="No"/>
    <s v="Yes"/>
    <n v="3"/>
    <n v="73.66"/>
    <n v="4834.3900000000003"/>
    <x v="0"/>
  </r>
  <r>
    <x v="1814"/>
    <s v="Female"/>
    <n v="24"/>
    <s v="No"/>
    <n v="28"/>
    <x v="3"/>
    <s v="One year"/>
    <s v="Fiber optic"/>
    <s v="Mailed check"/>
    <s v="No"/>
    <s v="No"/>
    <n v="4"/>
    <n v="74.989999999999995"/>
    <n v="2091.79"/>
    <x v="0"/>
  </r>
  <r>
    <x v="1815"/>
    <s v="Male"/>
    <n v="52"/>
    <s v="No"/>
    <n v="17"/>
    <x v="4"/>
    <s v="Month-to-month"/>
    <s v="No"/>
    <s v="Electronic check"/>
    <s v="Yes"/>
    <s v="No"/>
    <n v="4"/>
    <n v="51.82"/>
    <n v="833.38"/>
    <x v="1"/>
  </r>
  <r>
    <x v="1816"/>
    <s v="Female"/>
    <n v="72"/>
    <s v="Yes"/>
    <n v="6"/>
    <x v="2"/>
    <s v="One year"/>
    <s v="Fiber optic"/>
    <s v="Bank transfer"/>
    <s v="No"/>
    <s v="No"/>
    <n v="1"/>
    <n v="69.55"/>
    <n v="387.03"/>
    <x v="0"/>
  </r>
  <r>
    <x v="1817"/>
    <s v="Male"/>
    <n v="45"/>
    <s v="No"/>
    <n v="19"/>
    <x v="4"/>
    <s v="Month-to-month"/>
    <s v="DSL"/>
    <s v="Electronic check"/>
    <s v="Yes"/>
    <s v="Yes"/>
    <n v="4"/>
    <n v="70.7"/>
    <n v="1285.25"/>
    <x v="0"/>
  </r>
  <r>
    <x v="1818"/>
    <s v="Female"/>
    <n v="31"/>
    <s v="No"/>
    <n v="56"/>
    <x v="0"/>
    <s v="Month-to-month"/>
    <s v="DSL"/>
    <s v="Credit card"/>
    <s v="No"/>
    <s v="No"/>
    <n v="4"/>
    <n v="60.19"/>
    <n v="3610.95"/>
    <x v="0"/>
  </r>
  <r>
    <x v="1819"/>
    <s v="Male"/>
    <n v="73"/>
    <s v="Yes"/>
    <n v="28"/>
    <x v="3"/>
    <s v="Month-to-month"/>
    <s v="DSL"/>
    <s v="Electronic check"/>
    <s v="Yes"/>
    <s v="Yes"/>
    <n v="3"/>
    <n v="60.65"/>
    <n v="1792.03"/>
    <x v="0"/>
  </r>
  <r>
    <x v="1820"/>
    <s v="Male"/>
    <n v="27"/>
    <s v="No"/>
    <n v="66"/>
    <x v="0"/>
    <s v="Two year"/>
    <s v="DSL"/>
    <s v="Credit card"/>
    <s v="No"/>
    <s v="Yes"/>
    <n v="2"/>
    <n v="58.2"/>
    <n v="3804.43"/>
    <x v="0"/>
  </r>
  <r>
    <x v="1821"/>
    <s v="Male"/>
    <n v="33"/>
    <s v="No"/>
    <n v="38"/>
    <x v="3"/>
    <s v="Two year"/>
    <s v="Fiber optic"/>
    <s v="Mailed check"/>
    <s v="Yes"/>
    <s v="No"/>
    <n v="7"/>
    <n v="89.03"/>
    <n v="3373.39"/>
    <x v="1"/>
  </r>
  <r>
    <x v="1822"/>
    <s v="Female"/>
    <n v="33"/>
    <s v="No"/>
    <n v="37"/>
    <x v="3"/>
    <s v="Month-to-month"/>
    <s v="Fiber optic"/>
    <s v="Mailed check"/>
    <s v="No"/>
    <s v="Yes"/>
    <n v="2"/>
    <n v="73.42"/>
    <n v="2890.12"/>
    <x v="0"/>
  </r>
  <r>
    <x v="1823"/>
    <s v="Female"/>
    <n v="71"/>
    <s v="Yes"/>
    <n v="68"/>
    <x v="0"/>
    <s v="Month-to-month"/>
    <s v="DSL"/>
    <s v="Electronic check"/>
    <s v="Yes"/>
    <s v="No"/>
    <n v="4"/>
    <n v="60.08"/>
    <n v="4145.1499999999996"/>
    <x v="0"/>
  </r>
  <r>
    <x v="1824"/>
    <s v="Male"/>
    <n v="48"/>
    <s v="No"/>
    <n v="49"/>
    <x v="0"/>
    <s v="One year"/>
    <s v="DSL"/>
    <s v="Electronic check"/>
    <s v="No"/>
    <s v="No"/>
    <n v="5"/>
    <n v="68.83"/>
    <n v="3578.14"/>
    <x v="0"/>
  </r>
  <r>
    <x v="1825"/>
    <s v="Male"/>
    <n v="59"/>
    <s v="No"/>
    <n v="43"/>
    <x v="3"/>
    <s v="Month-to-month"/>
    <s v="DSL"/>
    <s v="Electronic check"/>
    <s v="No"/>
    <s v="No"/>
    <n v="5"/>
    <n v="55.54"/>
    <n v="2385.1"/>
    <x v="0"/>
  </r>
  <r>
    <x v="1826"/>
    <s v="Female"/>
    <n v="42"/>
    <s v="No"/>
    <n v="36"/>
    <x v="3"/>
    <s v="Two year"/>
    <s v="DSL"/>
    <s v="Electronic check"/>
    <s v="Yes"/>
    <s v="No"/>
    <n v="4"/>
    <n v="63.21"/>
    <n v="2166.37"/>
    <x v="0"/>
  </r>
  <r>
    <x v="1827"/>
    <s v="Female"/>
    <n v="30"/>
    <s v="No"/>
    <n v="58"/>
    <x v="0"/>
    <s v="One year"/>
    <s v="Fiber optic"/>
    <s v="Bank transfer"/>
    <s v="Yes"/>
    <s v="No"/>
    <n v="3"/>
    <n v="81.44"/>
    <n v="4894.2700000000004"/>
    <x v="0"/>
  </r>
  <r>
    <x v="1828"/>
    <s v="Female"/>
    <n v="23"/>
    <s v="No"/>
    <n v="13"/>
    <x v="4"/>
    <s v="Month-to-month"/>
    <s v="No"/>
    <s v="Electronic check"/>
    <s v="No"/>
    <s v="No"/>
    <n v="4"/>
    <n v="36.22"/>
    <n v="472.85"/>
    <x v="0"/>
  </r>
  <r>
    <x v="1829"/>
    <s v="Male"/>
    <n v="61"/>
    <s v="Yes"/>
    <n v="52"/>
    <x v="0"/>
    <s v="Two year"/>
    <s v="DSL"/>
    <s v="Credit card"/>
    <s v="No"/>
    <s v="No"/>
    <n v="6"/>
    <n v="60.83"/>
    <n v="3248.41"/>
    <x v="0"/>
  </r>
  <r>
    <x v="1830"/>
    <s v="Female"/>
    <n v="26"/>
    <s v="No"/>
    <n v="58"/>
    <x v="0"/>
    <s v="Month-to-month"/>
    <s v="Fiber optic"/>
    <s v="Electronic check"/>
    <s v="Yes"/>
    <s v="No"/>
    <n v="7"/>
    <n v="79.39"/>
    <n v="4352.09"/>
    <x v="0"/>
  </r>
  <r>
    <x v="1831"/>
    <s v="Male"/>
    <n v="62"/>
    <s v="Yes"/>
    <n v="32"/>
    <x v="3"/>
    <s v="Two year"/>
    <s v="DSL"/>
    <s v="Credit card"/>
    <s v="Yes"/>
    <s v="No"/>
    <n v="4"/>
    <n v="73.55"/>
    <n v="2409.1799999999998"/>
    <x v="1"/>
  </r>
  <r>
    <x v="1832"/>
    <s v="Female"/>
    <n v="53"/>
    <s v="No"/>
    <n v="60"/>
    <x v="0"/>
    <s v="Two year"/>
    <s v="No"/>
    <s v="Bank transfer"/>
    <s v="Yes"/>
    <s v="No"/>
    <n v="3"/>
    <n v="31.88"/>
    <n v="1876.77"/>
    <x v="0"/>
  </r>
  <r>
    <x v="1833"/>
    <s v="Male"/>
    <n v="73"/>
    <s v="Yes"/>
    <n v="58"/>
    <x v="0"/>
    <s v="Month-to-month"/>
    <s v="No"/>
    <s v="Electronic check"/>
    <s v="Yes"/>
    <s v="Yes"/>
    <n v="2"/>
    <n v="42.93"/>
    <n v="2423.0100000000002"/>
    <x v="0"/>
  </r>
  <r>
    <x v="1834"/>
    <s v="Female"/>
    <n v="60"/>
    <s v="Yes"/>
    <n v="56"/>
    <x v="0"/>
    <s v="Month-to-month"/>
    <s v="Fiber optic"/>
    <s v="Mailed check"/>
    <s v="No"/>
    <s v="No"/>
    <n v="3"/>
    <n v="73.540000000000006"/>
    <n v="4231.2299999999996"/>
    <x v="0"/>
  </r>
  <r>
    <x v="1835"/>
    <s v="Female"/>
    <n v="37"/>
    <s v="No"/>
    <n v="28"/>
    <x v="3"/>
    <s v="Two year"/>
    <s v="DSL"/>
    <s v="Electronic check"/>
    <s v="No"/>
    <s v="No"/>
    <n v="2"/>
    <n v="58.69"/>
    <n v="1667.57"/>
    <x v="0"/>
  </r>
  <r>
    <x v="1836"/>
    <s v="Female"/>
    <n v="35"/>
    <s v="No"/>
    <n v="1"/>
    <x v="2"/>
    <s v="Two year"/>
    <s v="Fiber optic"/>
    <s v="Electronic check"/>
    <s v="No"/>
    <s v="Yes"/>
    <n v="4"/>
    <n v="83.07"/>
    <n v="85.05"/>
    <x v="0"/>
  </r>
  <r>
    <x v="1837"/>
    <s v="Female"/>
    <n v="75"/>
    <s v="Yes"/>
    <n v="42"/>
    <x v="3"/>
    <s v="Month-to-month"/>
    <s v="Fiber optic"/>
    <s v="Mailed check"/>
    <s v="No"/>
    <s v="No"/>
    <n v="8"/>
    <n v="109.72"/>
    <n v="4951.34"/>
    <x v="0"/>
  </r>
  <r>
    <x v="1838"/>
    <s v="Female"/>
    <n v="60"/>
    <s v="Yes"/>
    <n v="48"/>
    <x v="3"/>
    <s v="Two year"/>
    <s v="DSL"/>
    <s v="Bank transfer"/>
    <s v="No"/>
    <s v="No"/>
    <n v="8"/>
    <n v="85.12"/>
    <n v="4217.29"/>
    <x v="0"/>
  </r>
  <r>
    <x v="1839"/>
    <s v="Male"/>
    <n v="74"/>
    <s v="Yes"/>
    <n v="40"/>
    <x v="3"/>
    <s v="Month-to-month"/>
    <s v="DSL"/>
    <s v="Credit card"/>
    <s v="No"/>
    <s v="No"/>
    <n v="4"/>
    <n v="60.49"/>
    <n v="2474.15"/>
    <x v="0"/>
  </r>
  <r>
    <x v="1840"/>
    <s v="Female"/>
    <n v="38"/>
    <s v="No"/>
    <n v="63"/>
    <x v="0"/>
    <s v="Month-to-month"/>
    <s v="DSL"/>
    <s v="Mailed check"/>
    <s v="No"/>
    <s v="No"/>
    <n v="3"/>
    <n v="57.17"/>
    <n v="3667.15"/>
    <x v="0"/>
  </r>
  <r>
    <x v="1841"/>
    <s v="Female"/>
    <n v="21"/>
    <s v="No"/>
    <n v="72"/>
    <x v="0"/>
    <s v="Two year"/>
    <s v="Fiber optic"/>
    <s v="Credit card"/>
    <s v="No"/>
    <s v="Yes"/>
    <n v="3"/>
    <n v="79.75"/>
    <n v="5648.95"/>
    <x v="0"/>
  </r>
  <r>
    <x v="1842"/>
    <s v="Female"/>
    <n v="67"/>
    <s v="Yes"/>
    <n v="4"/>
    <x v="2"/>
    <s v="Month-to-month"/>
    <s v="Fiber optic"/>
    <s v="Credit card"/>
    <s v="No"/>
    <s v="No"/>
    <n v="3"/>
    <n v="93.77"/>
    <n v="395.44"/>
    <x v="0"/>
  </r>
  <r>
    <x v="1843"/>
    <s v="Male"/>
    <n v="50"/>
    <s v="No"/>
    <n v="38"/>
    <x v="3"/>
    <s v="Two year"/>
    <s v="DSL"/>
    <s v="Credit card"/>
    <s v="Yes"/>
    <s v="No"/>
    <n v="6"/>
    <n v="67.47"/>
    <n v="2515.02"/>
    <x v="0"/>
  </r>
  <r>
    <x v="1844"/>
    <s v="Female"/>
    <n v="44"/>
    <s v="No"/>
    <n v="27"/>
    <x v="3"/>
    <s v="Month-to-month"/>
    <s v="Fiber optic"/>
    <s v="Mailed check"/>
    <s v="Yes"/>
    <s v="No"/>
    <n v="3"/>
    <n v="65.95"/>
    <n v="1837.7"/>
    <x v="0"/>
  </r>
  <r>
    <x v="1845"/>
    <s v="Male"/>
    <n v="24"/>
    <s v="No"/>
    <n v="9"/>
    <x v="1"/>
    <s v="One year"/>
    <s v="Fiber optic"/>
    <s v="Electronic check"/>
    <s v="Yes"/>
    <s v="No"/>
    <n v="7"/>
    <n v="92.71"/>
    <n v="806.77"/>
    <x v="1"/>
  </r>
  <r>
    <x v="1846"/>
    <s v="Female"/>
    <n v="23"/>
    <s v="No"/>
    <n v="16"/>
    <x v="4"/>
    <s v="Month-to-month"/>
    <s v="Fiber optic"/>
    <s v="Electronic check"/>
    <s v="Yes"/>
    <s v="Yes"/>
    <n v="3"/>
    <n v="70.52"/>
    <n v="1064.73"/>
    <x v="0"/>
  </r>
  <r>
    <x v="1847"/>
    <s v="Female"/>
    <n v="32"/>
    <s v="No"/>
    <n v="56"/>
    <x v="0"/>
    <s v="Month-to-month"/>
    <s v="Fiber optic"/>
    <s v="Bank transfer"/>
    <s v="No"/>
    <s v="No"/>
    <n v="4"/>
    <n v="80.48"/>
    <n v="4239.8999999999996"/>
    <x v="0"/>
  </r>
  <r>
    <x v="1848"/>
    <s v="Male"/>
    <n v="35"/>
    <s v="No"/>
    <n v="31"/>
    <x v="3"/>
    <s v="One year"/>
    <s v="Fiber optic"/>
    <s v="Mailed check"/>
    <s v="No"/>
    <s v="Yes"/>
    <n v="7"/>
    <n v="99.06"/>
    <n v="3136.97"/>
    <x v="1"/>
  </r>
  <r>
    <x v="1849"/>
    <s v="Female"/>
    <n v="49"/>
    <s v="No"/>
    <n v="14"/>
    <x v="4"/>
    <s v="Month-to-month"/>
    <s v="DSL"/>
    <s v="Electronic check"/>
    <s v="No"/>
    <s v="Yes"/>
    <n v="6"/>
    <n v="70.53"/>
    <n v="960.24"/>
    <x v="0"/>
  </r>
  <r>
    <x v="1850"/>
    <s v="Male"/>
    <n v="73"/>
    <s v="Yes"/>
    <n v="25"/>
    <x v="3"/>
    <s v="Month-to-month"/>
    <s v="Fiber optic"/>
    <s v="Mailed check"/>
    <s v="Yes"/>
    <s v="Yes"/>
    <n v="3"/>
    <n v="70.849999999999994"/>
    <n v="1707.5"/>
    <x v="0"/>
  </r>
  <r>
    <x v="1851"/>
    <s v="Male"/>
    <n v="28"/>
    <s v="No"/>
    <n v="34"/>
    <x v="3"/>
    <s v="Month-to-month"/>
    <s v="Fiber optic"/>
    <s v="Electronic check"/>
    <s v="No"/>
    <s v="Yes"/>
    <n v="3"/>
    <n v="73.58"/>
    <n v="2538.5700000000002"/>
    <x v="0"/>
  </r>
  <r>
    <x v="1852"/>
    <s v="Female"/>
    <n v="37"/>
    <s v="No"/>
    <n v="67"/>
    <x v="0"/>
    <s v="Month-to-month"/>
    <s v="DSL"/>
    <s v="Bank transfer"/>
    <s v="Yes"/>
    <s v="Yes"/>
    <n v="4"/>
    <n v="51.54"/>
    <n v="3191.11"/>
    <x v="0"/>
  </r>
  <r>
    <x v="1853"/>
    <s v="Male"/>
    <n v="41"/>
    <s v="No"/>
    <n v="24"/>
    <x v="4"/>
    <s v="Two year"/>
    <s v="Fiber optic"/>
    <s v="Electronic check"/>
    <s v="No"/>
    <s v="No"/>
    <n v="4"/>
    <n v="87.93"/>
    <n v="2024.63"/>
    <x v="0"/>
  </r>
  <r>
    <x v="1854"/>
    <s v="Female"/>
    <n v="32"/>
    <s v="No"/>
    <n v="26"/>
    <x v="3"/>
    <s v="Month-to-month"/>
    <s v="DSL"/>
    <s v="Bank transfer"/>
    <s v="No"/>
    <s v="No"/>
    <n v="4"/>
    <n v="64.739999999999995"/>
    <n v="1640.3"/>
    <x v="0"/>
  </r>
  <r>
    <x v="1855"/>
    <s v="Female"/>
    <n v="65"/>
    <s v="Yes"/>
    <n v="20"/>
    <x v="4"/>
    <s v="One year"/>
    <s v="Fiber optic"/>
    <s v="Credit card"/>
    <s v="Yes"/>
    <s v="Yes"/>
    <n v="3"/>
    <n v="67.38"/>
    <n v="1392.53"/>
    <x v="0"/>
  </r>
  <r>
    <x v="1856"/>
    <s v="Male"/>
    <n v="24"/>
    <s v="No"/>
    <n v="64"/>
    <x v="0"/>
    <s v="Month-to-month"/>
    <s v="Fiber optic"/>
    <s v="Electronic check"/>
    <s v="No"/>
    <s v="Yes"/>
    <n v="4"/>
    <n v="96.65"/>
    <n v="6230.14"/>
    <x v="1"/>
  </r>
  <r>
    <x v="1857"/>
    <s v="Male"/>
    <n v="38"/>
    <s v="No"/>
    <n v="10"/>
    <x v="1"/>
    <s v="Month-to-month"/>
    <s v="Fiber optic"/>
    <s v="Mailed check"/>
    <s v="No"/>
    <s v="No"/>
    <n v="4"/>
    <n v="77.48"/>
    <n v="818.93"/>
    <x v="1"/>
  </r>
  <r>
    <x v="1858"/>
    <s v="Male"/>
    <n v="59"/>
    <s v="No"/>
    <n v="67"/>
    <x v="0"/>
    <s v="Month-to-month"/>
    <s v="Fiber optic"/>
    <s v="Credit card"/>
    <s v="Yes"/>
    <s v="No"/>
    <n v="5"/>
    <n v="85.07"/>
    <n v="5548.77"/>
    <x v="1"/>
  </r>
  <r>
    <x v="1859"/>
    <s v="Male"/>
    <n v="43"/>
    <s v="No"/>
    <n v="24"/>
    <x v="4"/>
    <s v="Month-to-month"/>
    <s v="DSL"/>
    <s v="Electronic check"/>
    <s v="Yes"/>
    <s v="Yes"/>
    <n v="7"/>
    <n v="68.64"/>
    <n v="1593.71"/>
    <x v="0"/>
  </r>
  <r>
    <x v="1860"/>
    <s v="Female"/>
    <n v="61"/>
    <s v="Yes"/>
    <n v="5"/>
    <x v="2"/>
    <s v="Month-to-month"/>
    <s v="No"/>
    <s v="Electronic check"/>
    <s v="No"/>
    <s v="No"/>
    <n v="4"/>
    <n v="43.94"/>
    <n v="203.29"/>
    <x v="0"/>
  </r>
  <r>
    <x v="1861"/>
    <s v="Female"/>
    <n v="73"/>
    <s v="Yes"/>
    <n v="67"/>
    <x v="0"/>
    <s v="One year"/>
    <s v="Fiber optic"/>
    <s v="Electronic check"/>
    <s v="Yes"/>
    <s v="No"/>
    <n v="8"/>
    <n v="95.66"/>
    <n v="6872.44"/>
    <x v="0"/>
  </r>
  <r>
    <x v="1862"/>
    <s v="Male"/>
    <n v="31"/>
    <s v="No"/>
    <n v="58"/>
    <x v="0"/>
    <s v="Two year"/>
    <s v="Fiber optic"/>
    <s v="Bank transfer"/>
    <s v="No"/>
    <s v="Yes"/>
    <n v="7"/>
    <n v="81.22"/>
    <n v="4711.88"/>
    <x v="0"/>
  </r>
  <r>
    <x v="1863"/>
    <s v="Female"/>
    <n v="74"/>
    <s v="Yes"/>
    <n v="27"/>
    <x v="3"/>
    <s v="Month-to-month"/>
    <s v="DSL"/>
    <s v="Bank transfer"/>
    <s v="No"/>
    <s v="No"/>
    <n v="4"/>
    <n v="67.209999999999994"/>
    <n v="1815.4"/>
    <x v="1"/>
  </r>
  <r>
    <x v="1864"/>
    <s v="Female"/>
    <n v="54"/>
    <s v="No"/>
    <n v="15"/>
    <x v="4"/>
    <s v="Month-to-month"/>
    <s v="DSL"/>
    <s v="Electronic check"/>
    <s v="Yes"/>
    <s v="No"/>
    <n v="5"/>
    <n v="57.2"/>
    <n v="916.13"/>
    <x v="1"/>
  </r>
  <r>
    <x v="1865"/>
    <s v="Female"/>
    <n v="75"/>
    <s v="Yes"/>
    <n v="35"/>
    <x v="3"/>
    <s v="Month-to-month"/>
    <s v="No"/>
    <s v="Mailed check"/>
    <s v="Yes"/>
    <s v="Yes"/>
    <n v="1"/>
    <n v="35.42"/>
    <n v="1198.03"/>
    <x v="0"/>
  </r>
  <r>
    <x v="1866"/>
    <s v="Female"/>
    <n v="38"/>
    <s v="No"/>
    <n v="53"/>
    <x v="0"/>
    <s v="Month-to-month"/>
    <s v="Fiber optic"/>
    <s v="Electronic check"/>
    <s v="No"/>
    <s v="No"/>
    <n v="4"/>
    <n v="77.38"/>
    <n v="3990.97"/>
    <x v="1"/>
  </r>
  <r>
    <x v="1867"/>
    <s v="Male"/>
    <n v="35"/>
    <s v="No"/>
    <n v="44"/>
    <x v="3"/>
    <s v="Month-to-month"/>
    <s v="No"/>
    <s v="Credit card"/>
    <s v="No"/>
    <s v="No"/>
    <n v="3"/>
    <n v="37.44"/>
    <n v="1688.57"/>
    <x v="1"/>
  </r>
  <r>
    <x v="1868"/>
    <s v="Male"/>
    <n v="22"/>
    <s v="No"/>
    <n v="26"/>
    <x v="3"/>
    <s v="Month-to-month"/>
    <s v="Fiber optic"/>
    <s v="Electronic check"/>
    <s v="No"/>
    <s v="Yes"/>
    <n v="6"/>
    <n v="90.37"/>
    <n v="2456.83"/>
    <x v="1"/>
  </r>
  <r>
    <x v="1869"/>
    <s v="Female"/>
    <n v="20"/>
    <s v="No"/>
    <n v="47"/>
    <x v="3"/>
    <s v="Month-to-month"/>
    <s v="Fiber optic"/>
    <s v="Credit card"/>
    <s v="No"/>
    <s v="Yes"/>
    <n v="8"/>
    <n v="95.96"/>
    <n v="4653.95"/>
    <x v="0"/>
  </r>
  <r>
    <x v="1870"/>
    <s v="Male"/>
    <n v="40"/>
    <s v="No"/>
    <n v="34"/>
    <x v="3"/>
    <s v="Month-to-month"/>
    <s v="No"/>
    <s v="Mailed check"/>
    <s v="No"/>
    <s v="Yes"/>
    <n v="4"/>
    <n v="46.21"/>
    <n v="1643.72"/>
    <x v="0"/>
  </r>
  <r>
    <x v="1871"/>
    <s v="Male"/>
    <n v="43"/>
    <s v="No"/>
    <n v="50"/>
    <x v="0"/>
    <s v="Month-to-month"/>
    <s v="DSL"/>
    <s v="Bank transfer"/>
    <s v="Yes"/>
    <s v="No"/>
    <n v="5"/>
    <n v="58.04"/>
    <n v="2936.87"/>
    <x v="0"/>
  </r>
  <r>
    <x v="1872"/>
    <s v="Male"/>
    <n v="54"/>
    <s v="No"/>
    <n v="12"/>
    <x v="1"/>
    <s v="Month-to-month"/>
    <s v="DSL"/>
    <s v="Mailed check"/>
    <s v="No"/>
    <s v="Yes"/>
    <n v="5"/>
    <n v="70.260000000000005"/>
    <n v="892.06"/>
    <x v="0"/>
  </r>
  <r>
    <x v="1873"/>
    <s v="Female"/>
    <n v="41"/>
    <s v="No"/>
    <n v="4"/>
    <x v="2"/>
    <s v="Month-to-month"/>
    <s v="DSL"/>
    <s v="Bank transfer"/>
    <s v="No"/>
    <s v="No"/>
    <n v="6"/>
    <n v="59.79"/>
    <n v="241.08"/>
    <x v="1"/>
  </r>
  <r>
    <x v="1874"/>
    <s v="Female"/>
    <n v="66"/>
    <s v="Yes"/>
    <n v="48"/>
    <x v="3"/>
    <s v="Month-to-month"/>
    <s v="DSL"/>
    <s v="Mailed check"/>
    <s v="No"/>
    <s v="Yes"/>
    <n v="2"/>
    <n v="44.61"/>
    <n v="2048.5500000000002"/>
    <x v="0"/>
  </r>
  <r>
    <x v="1875"/>
    <s v="Female"/>
    <n v="36"/>
    <s v="No"/>
    <n v="55"/>
    <x v="0"/>
    <s v="Month-to-month"/>
    <s v="Fiber optic"/>
    <s v="Credit card"/>
    <s v="No"/>
    <s v="No"/>
    <n v="4"/>
    <n v="83.05"/>
    <n v="4598.2299999999996"/>
    <x v="0"/>
  </r>
  <r>
    <x v="1876"/>
    <s v="Male"/>
    <n v="68"/>
    <s v="Yes"/>
    <n v="1"/>
    <x v="2"/>
    <s v="Month-to-month"/>
    <s v="DSL"/>
    <s v="Mailed check"/>
    <s v="No"/>
    <s v="No"/>
    <n v="4"/>
    <n v="66.349999999999994"/>
    <n v="68.61"/>
    <x v="1"/>
  </r>
  <r>
    <x v="1877"/>
    <s v="Female"/>
    <n v="42"/>
    <s v="No"/>
    <n v="66"/>
    <x v="0"/>
    <s v="Month-to-month"/>
    <s v="Fiber optic"/>
    <s v="Mailed check"/>
    <s v="No"/>
    <s v="No"/>
    <n v="4"/>
    <n v="80.989999999999995"/>
    <n v="5476.69"/>
    <x v="0"/>
  </r>
  <r>
    <x v="1878"/>
    <s v="Female"/>
    <n v="38"/>
    <s v="No"/>
    <n v="30"/>
    <x v="3"/>
    <s v="Month-to-month"/>
    <s v="No"/>
    <s v="Mailed check"/>
    <s v="No"/>
    <s v="No"/>
    <n v="3"/>
    <n v="47.45"/>
    <n v="1364.97"/>
    <x v="0"/>
  </r>
  <r>
    <x v="1879"/>
    <s v="Male"/>
    <n v="29"/>
    <s v="No"/>
    <n v="3"/>
    <x v="2"/>
    <s v="Month-to-month"/>
    <s v="No"/>
    <s v="Credit card"/>
    <s v="No"/>
    <s v="No"/>
    <n v="6"/>
    <n v="43.16"/>
    <n v="119.97"/>
    <x v="0"/>
  </r>
  <r>
    <x v="1880"/>
    <s v="Female"/>
    <n v="74"/>
    <s v="Yes"/>
    <n v="21"/>
    <x v="4"/>
    <s v="Month-to-month"/>
    <s v="Fiber optic"/>
    <s v="Bank transfer"/>
    <s v="Yes"/>
    <s v="No"/>
    <n v="4"/>
    <n v="70.84"/>
    <n v="1428.72"/>
    <x v="0"/>
  </r>
  <r>
    <x v="1881"/>
    <s v="Female"/>
    <n v="58"/>
    <s v="No"/>
    <n v="49"/>
    <x v="0"/>
    <s v="Month-to-month"/>
    <s v="Fiber optic"/>
    <s v="Mailed check"/>
    <s v="Yes"/>
    <s v="No"/>
    <n v="4"/>
    <n v="84.87"/>
    <n v="4480.7"/>
    <x v="0"/>
  </r>
  <r>
    <x v="1882"/>
    <s v="Male"/>
    <n v="50"/>
    <s v="No"/>
    <n v="62"/>
    <x v="0"/>
    <s v="Month-to-month"/>
    <s v="Fiber optic"/>
    <s v="Bank transfer"/>
    <s v="No"/>
    <s v="No"/>
    <n v="4"/>
    <n v="79.86"/>
    <n v="4701.3500000000004"/>
    <x v="0"/>
  </r>
  <r>
    <x v="1883"/>
    <s v="Male"/>
    <n v="67"/>
    <s v="Yes"/>
    <n v="38"/>
    <x v="3"/>
    <s v="One year"/>
    <s v="Fiber optic"/>
    <s v="Bank transfer"/>
    <s v="Yes"/>
    <s v="No"/>
    <n v="6"/>
    <n v="92.64"/>
    <n v="3500.25"/>
    <x v="0"/>
  </r>
  <r>
    <x v="1884"/>
    <s v="Male"/>
    <n v="70"/>
    <s v="Yes"/>
    <n v="15"/>
    <x v="4"/>
    <s v="Month-to-month"/>
    <s v="No"/>
    <s v="Credit card"/>
    <s v="No"/>
    <s v="Yes"/>
    <n v="4"/>
    <n v="33.799999999999997"/>
    <n v="518.22"/>
    <x v="0"/>
  </r>
  <r>
    <x v="1885"/>
    <s v="Female"/>
    <n v="21"/>
    <s v="No"/>
    <n v="52"/>
    <x v="0"/>
    <s v="Month-to-month"/>
    <s v="Fiber optic"/>
    <s v="Credit card"/>
    <s v="No"/>
    <s v="Yes"/>
    <n v="4"/>
    <n v="75.900000000000006"/>
    <n v="4186.43"/>
    <x v="1"/>
  </r>
  <r>
    <x v="1886"/>
    <s v="Female"/>
    <n v="59"/>
    <s v="No"/>
    <n v="46"/>
    <x v="3"/>
    <s v="Two year"/>
    <s v="Fiber optic"/>
    <s v="Bank transfer"/>
    <s v="Yes"/>
    <s v="No"/>
    <n v="6"/>
    <n v="99.2"/>
    <n v="4753.22"/>
    <x v="0"/>
  </r>
  <r>
    <x v="1887"/>
    <s v="Female"/>
    <n v="74"/>
    <s v="Yes"/>
    <n v="25"/>
    <x v="3"/>
    <s v="Month-to-month"/>
    <s v="No"/>
    <s v="Mailed check"/>
    <s v="No"/>
    <s v="No"/>
    <n v="6"/>
    <n v="47.59"/>
    <n v="1267.5999999999999"/>
    <x v="1"/>
  </r>
  <r>
    <x v="1888"/>
    <s v="Male"/>
    <n v="24"/>
    <s v="No"/>
    <n v="21"/>
    <x v="4"/>
    <s v="Month-to-month"/>
    <s v="No"/>
    <s v="Credit card"/>
    <s v="No"/>
    <s v="No"/>
    <n v="1"/>
    <n v="38.99"/>
    <n v="832.46"/>
    <x v="0"/>
  </r>
  <r>
    <x v="1889"/>
    <s v="Male"/>
    <n v="39"/>
    <s v="No"/>
    <n v="5"/>
    <x v="2"/>
    <s v="Two year"/>
    <s v="DSL"/>
    <s v="Bank transfer"/>
    <s v="No"/>
    <s v="Yes"/>
    <n v="4"/>
    <n v="64.44"/>
    <n v="341.03"/>
    <x v="0"/>
  </r>
  <r>
    <x v="1890"/>
    <s v="Female"/>
    <n v="72"/>
    <s v="Yes"/>
    <n v="70"/>
    <x v="0"/>
    <s v="Two year"/>
    <s v="DSL"/>
    <s v="Credit card"/>
    <s v="No"/>
    <s v="Yes"/>
    <n v="5"/>
    <n v="61"/>
    <n v="4108.66"/>
    <x v="0"/>
  </r>
  <r>
    <x v="1891"/>
    <s v="Female"/>
    <n v="50"/>
    <s v="No"/>
    <n v="47"/>
    <x v="3"/>
    <s v="Month-to-month"/>
    <s v="DSL"/>
    <s v="Electronic check"/>
    <s v="No"/>
    <s v="No"/>
    <n v="4"/>
    <n v="68.88"/>
    <n v="3201.39"/>
    <x v="0"/>
  </r>
  <r>
    <x v="1892"/>
    <s v="Male"/>
    <n v="34"/>
    <s v="No"/>
    <n v="68"/>
    <x v="0"/>
    <s v="Month-to-month"/>
    <s v="No"/>
    <s v="Electronic check"/>
    <s v="No"/>
    <s v="Yes"/>
    <n v="4"/>
    <n v="43.28"/>
    <n v="3104.92"/>
    <x v="0"/>
  </r>
  <r>
    <x v="1893"/>
    <s v="Male"/>
    <n v="41"/>
    <s v="No"/>
    <n v="18"/>
    <x v="4"/>
    <s v="Month-to-month"/>
    <s v="DSL"/>
    <s v="Electronic check"/>
    <s v="Yes"/>
    <s v="Yes"/>
    <n v="4"/>
    <n v="59.09"/>
    <n v="1033.93"/>
    <x v="0"/>
  </r>
  <r>
    <x v="1894"/>
    <s v="Male"/>
    <n v="51"/>
    <s v="No"/>
    <n v="21"/>
    <x v="4"/>
    <s v="Month-to-month"/>
    <s v="DSL"/>
    <s v="Bank transfer"/>
    <s v="No"/>
    <s v="No"/>
    <n v="3"/>
    <n v="54.44"/>
    <n v="1211.1400000000001"/>
    <x v="0"/>
  </r>
  <r>
    <x v="1895"/>
    <s v="Male"/>
    <n v="45"/>
    <s v="No"/>
    <n v="23"/>
    <x v="4"/>
    <s v="One year"/>
    <s v="Fiber optic"/>
    <s v="Credit card"/>
    <s v="No"/>
    <s v="No"/>
    <n v="2"/>
    <n v="74.069999999999993"/>
    <n v="1666.3"/>
    <x v="1"/>
  </r>
  <r>
    <x v="1896"/>
    <s v="Female"/>
    <n v="75"/>
    <s v="Yes"/>
    <n v="64"/>
    <x v="0"/>
    <s v="Month-to-month"/>
    <s v="Fiber optic"/>
    <s v="Electronic check"/>
    <s v="Yes"/>
    <s v="No"/>
    <n v="5"/>
    <n v="75.099999999999994"/>
    <n v="4701.3500000000004"/>
    <x v="0"/>
  </r>
  <r>
    <x v="1897"/>
    <s v="Male"/>
    <n v="60"/>
    <s v="Yes"/>
    <n v="67"/>
    <x v="0"/>
    <s v="Month-to-month"/>
    <s v="DSL"/>
    <s v="Bank transfer"/>
    <s v="No"/>
    <s v="No"/>
    <n v="3"/>
    <n v="61.29"/>
    <n v="3980.96"/>
    <x v="0"/>
  </r>
  <r>
    <x v="1898"/>
    <s v="Female"/>
    <n v="58"/>
    <s v="No"/>
    <n v="40"/>
    <x v="3"/>
    <s v="Two year"/>
    <s v="No"/>
    <s v="Bank transfer"/>
    <s v="No"/>
    <s v="Yes"/>
    <n v="4"/>
    <n v="44.09"/>
    <n v="1776.85"/>
    <x v="0"/>
  </r>
  <r>
    <x v="1899"/>
    <s v="Female"/>
    <n v="56"/>
    <s v="No"/>
    <n v="10"/>
    <x v="1"/>
    <s v="Two year"/>
    <s v="No"/>
    <s v="Bank transfer"/>
    <s v="No"/>
    <s v="No"/>
    <n v="2"/>
    <n v="29"/>
    <n v="272.79000000000002"/>
    <x v="0"/>
  </r>
  <r>
    <x v="1900"/>
    <s v="Female"/>
    <n v="39"/>
    <s v="No"/>
    <n v="52"/>
    <x v="0"/>
    <s v="Month-to-month"/>
    <s v="No"/>
    <s v="Mailed check"/>
    <s v="No"/>
    <s v="Yes"/>
    <n v="5"/>
    <n v="36.119999999999997"/>
    <n v="1738.98"/>
    <x v="0"/>
  </r>
  <r>
    <x v="1901"/>
    <s v="Male"/>
    <n v="66"/>
    <s v="Yes"/>
    <n v="72"/>
    <x v="0"/>
    <s v="One year"/>
    <s v="DSL"/>
    <s v="Credit card"/>
    <s v="No"/>
    <s v="No"/>
    <n v="6"/>
    <n v="65.25"/>
    <n v="4996.7299999999996"/>
    <x v="0"/>
  </r>
  <r>
    <x v="1902"/>
    <s v="Male"/>
    <n v="34"/>
    <s v="No"/>
    <n v="61"/>
    <x v="0"/>
    <s v="Month-to-month"/>
    <s v="DSL"/>
    <s v="Electronic check"/>
    <s v="No"/>
    <s v="No"/>
    <n v="2"/>
    <n v="52.75"/>
    <n v="3438.58"/>
    <x v="0"/>
  </r>
  <r>
    <x v="1903"/>
    <s v="Male"/>
    <n v="51"/>
    <s v="No"/>
    <n v="64"/>
    <x v="0"/>
    <s v="Two year"/>
    <s v="No"/>
    <s v="Bank transfer"/>
    <s v="No"/>
    <s v="Yes"/>
    <n v="4"/>
    <n v="42.09"/>
    <n v="2511.09"/>
    <x v="0"/>
  </r>
  <r>
    <x v="1904"/>
    <s v="Male"/>
    <n v="23"/>
    <s v="No"/>
    <n v="5"/>
    <x v="2"/>
    <s v="Month-to-month"/>
    <s v="DSL"/>
    <s v="Electronic check"/>
    <s v="No"/>
    <s v="No"/>
    <n v="2"/>
    <n v="52.05"/>
    <n v="262.32"/>
    <x v="1"/>
  </r>
  <r>
    <x v="1905"/>
    <s v="Female"/>
    <n v="63"/>
    <s v="Yes"/>
    <n v="53"/>
    <x v="0"/>
    <s v="Month-to-month"/>
    <s v="Fiber optic"/>
    <s v="Mailed check"/>
    <s v="No"/>
    <s v="No"/>
    <n v="5"/>
    <n v="87.72"/>
    <n v="4678.68"/>
    <x v="1"/>
  </r>
  <r>
    <x v="1906"/>
    <s v="Male"/>
    <n v="23"/>
    <s v="No"/>
    <n v="55"/>
    <x v="0"/>
    <s v="Month-to-month"/>
    <s v="DSL"/>
    <s v="Credit card"/>
    <s v="No"/>
    <s v="No"/>
    <n v="6"/>
    <n v="58.95"/>
    <n v="3176.07"/>
    <x v="0"/>
  </r>
  <r>
    <x v="1907"/>
    <s v="Male"/>
    <n v="51"/>
    <s v="No"/>
    <n v="37"/>
    <x v="3"/>
    <s v="Month-to-month"/>
    <s v="No"/>
    <s v="Electronic check"/>
    <s v="No"/>
    <s v="No"/>
    <n v="2"/>
    <n v="32.54"/>
    <n v="1217.25"/>
    <x v="0"/>
  </r>
  <r>
    <x v="1908"/>
    <s v="Female"/>
    <n v="18"/>
    <s v="No"/>
    <n v="56"/>
    <x v="0"/>
    <s v="Month-to-month"/>
    <s v="Fiber optic"/>
    <s v="Electronic check"/>
    <s v="Yes"/>
    <s v="Yes"/>
    <n v="4"/>
    <n v="81.08"/>
    <n v="4510.05"/>
    <x v="0"/>
  </r>
  <r>
    <x v="1909"/>
    <s v="Male"/>
    <n v="27"/>
    <s v="No"/>
    <n v="59"/>
    <x v="0"/>
    <s v="One year"/>
    <s v="No"/>
    <s v="Bank transfer"/>
    <s v="Yes"/>
    <s v="Yes"/>
    <n v="3"/>
    <n v="40.22"/>
    <n v="2369.04"/>
    <x v="0"/>
  </r>
  <r>
    <x v="1910"/>
    <s v="Female"/>
    <n v="38"/>
    <s v="No"/>
    <n v="69"/>
    <x v="0"/>
    <s v="One year"/>
    <s v="Fiber optic"/>
    <s v="Bank transfer"/>
    <s v="No"/>
    <s v="Yes"/>
    <n v="5"/>
    <n v="89.29"/>
    <n v="6412.71"/>
    <x v="0"/>
  </r>
  <r>
    <x v="1911"/>
    <s v="Female"/>
    <n v="22"/>
    <s v="No"/>
    <n v="59"/>
    <x v="0"/>
    <s v="Month-to-month"/>
    <s v="DSL"/>
    <s v="Mailed check"/>
    <s v="Yes"/>
    <s v="Yes"/>
    <n v="5"/>
    <n v="61.58"/>
    <n v="3648.31"/>
    <x v="0"/>
  </r>
  <r>
    <x v="1912"/>
    <s v="Female"/>
    <n v="19"/>
    <s v="No"/>
    <n v="2"/>
    <x v="2"/>
    <s v="Month-to-month"/>
    <s v="DSL"/>
    <s v="Electronic check"/>
    <s v="Yes"/>
    <s v="Yes"/>
    <n v="2"/>
    <n v="51.37"/>
    <n v="99.84"/>
    <x v="0"/>
  </r>
  <r>
    <x v="1913"/>
    <s v="Female"/>
    <n v="39"/>
    <s v="No"/>
    <n v="65"/>
    <x v="0"/>
    <s v="Month-to-month"/>
    <s v="DSL"/>
    <s v="Electronic check"/>
    <s v="Yes"/>
    <s v="No"/>
    <n v="5"/>
    <n v="57.81"/>
    <n v="3806.62"/>
    <x v="0"/>
  </r>
  <r>
    <x v="1914"/>
    <s v="Female"/>
    <n v="65"/>
    <s v="Yes"/>
    <n v="60"/>
    <x v="0"/>
    <s v="Two year"/>
    <s v="Fiber optic"/>
    <s v="Mailed check"/>
    <s v="No"/>
    <s v="Yes"/>
    <n v="4"/>
    <n v="81.72"/>
    <n v="5013.62"/>
    <x v="0"/>
  </r>
  <r>
    <x v="1915"/>
    <s v="Female"/>
    <n v="74"/>
    <s v="Yes"/>
    <n v="51"/>
    <x v="0"/>
    <s v="Two year"/>
    <s v="No"/>
    <s v="Electronic check"/>
    <s v="Yes"/>
    <s v="No"/>
    <n v="4"/>
    <n v="34.909999999999997"/>
    <n v="1826.65"/>
    <x v="0"/>
  </r>
  <r>
    <x v="1916"/>
    <s v="Female"/>
    <n v="19"/>
    <s v="No"/>
    <n v="30"/>
    <x v="3"/>
    <s v="Two year"/>
    <s v="DSL"/>
    <s v="Credit card"/>
    <s v="No"/>
    <s v="Yes"/>
    <n v="4"/>
    <n v="63.02"/>
    <n v="1926.39"/>
    <x v="0"/>
  </r>
  <r>
    <x v="1917"/>
    <s v="Female"/>
    <n v="27"/>
    <s v="No"/>
    <n v="11"/>
    <x v="1"/>
    <s v="Two year"/>
    <s v="Fiber optic"/>
    <s v="Electronic check"/>
    <s v="No"/>
    <s v="Yes"/>
    <n v="3"/>
    <n v="83.27"/>
    <n v="940.09"/>
    <x v="0"/>
  </r>
  <r>
    <x v="1918"/>
    <s v="Male"/>
    <n v="51"/>
    <s v="No"/>
    <n v="39"/>
    <x v="3"/>
    <s v="Month-to-month"/>
    <s v="DSL"/>
    <s v="Mailed check"/>
    <s v="No"/>
    <s v="Yes"/>
    <n v="5"/>
    <n v="66.28"/>
    <n v="2506.38"/>
    <x v="0"/>
  </r>
  <r>
    <x v="1919"/>
    <s v="Male"/>
    <n v="33"/>
    <s v="No"/>
    <n v="72"/>
    <x v="0"/>
    <s v="Month-to-month"/>
    <s v="Fiber optic"/>
    <s v="Electronic check"/>
    <s v="No"/>
    <s v="No"/>
    <n v="7"/>
    <n v="99.98"/>
    <n v="7136.52"/>
    <x v="0"/>
  </r>
  <r>
    <x v="1920"/>
    <s v="Male"/>
    <n v="65"/>
    <s v="Yes"/>
    <n v="63"/>
    <x v="0"/>
    <s v="One year"/>
    <s v="Fiber optic"/>
    <s v="Electronic check"/>
    <s v="Yes"/>
    <s v="No"/>
    <n v="6"/>
    <n v="83.83"/>
    <n v="5423.85"/>
    <x v="0"/>
  </r>
  <r>
    <x v="1921"/>
    <s v="Male"/>
    <n v="68"/>
    <s v="Yes"/>
    <n v="64"/>
    <x v="0"/>
    <s v="Two year"/>
    <s v="Fiber optic"/>
    <s v="Bank transfer"/>
    <s v="No"/>
    <s v="No"/>
    <n v="5"/>
    <n v="74.61"/>
    <n v="4969.38"/>
    <x v="0"/>
  </r>
  <r>
    <x v="1922"/>
    <s v="Female"/>
    <n v="56"/>
    <s v="No"/>
    <n v="61"/>
    <x v="0"/>
    <s v="Month-to-month"/>
    <s v="No"/>
    <s v="Bank transfer"/>
    <s v="No"/>
    <s v="No"/>
    <n v="1"/>
    <n v="27.87"/>
    <n v="1682.16"/>
    <x v="0"/>
  </r>
  <r>
    <x v="1923"/>
    <s v="Male"/>
    <n v="39"/>
    <s v="No"/>
    <n v="54"/>
    <x v="0"/>
    <s v="Month-to-month"/>
    <s v="DSL"/>
    <s v="Electronic check"/>
    <s v="No"/>
    <s v="No"/>
    <n v="6"/>
    <n v="62.7"/>
    <n v="3312.85"/>
    <x v="0"/>
  </r>
  <r>
    <x v="1924"/>
    <s v="Female"/>
    <n v="29"/>
    <s v="No"/>
    <n v="58"/>
    <x v="0"/>
    <s v="Two year"/>
    <s v="DSL"/>
    <s v="Electronic check"/>
    <s v="Yes"/>
    <s v="No"/>
    <n v="6"/>
    <n v="63.55"/>
    <n v="3813.22"/>
    <x v="0"/>
  </r>
  <r>
    <x v="1925"/>
    <s v="Male"/>
    <n v="41"/>
    <s v="No"/>
    <n v="56"/>
    <x v="0"/>
    <s v="Month-to-month"/>
    <s v="Fiber optic"/>
    <s v="Electronic check"/>
    <s v="No"/>
    <s v="Yes"/>
    <n v="4"/>
    <n v="63.45"/>
    <n v="3395.25"/>
    <x v="1"/>
  </r>
  <r>
    <x v="1926"/>
    <s v="Male"/>
    <n v="64"/>
    <s v="Yes"/>
    <n v="34"/>
    <x v="3"/>
    <s v="Month-to-month"/>
    <s v="Fiber optic"/>
    <s v="Credit card"/>
    <s v="No"/>
    <s v="No"/>
    <n v="5"/>
    <n v="84.23"/>
    <n v="2639.06"/>
    <x v="0"/>
  </r>
  <r>
    <x v="1927"/>
    <s v="Male"/>
    <n v="57"/>
    <s v="No"/>
    <n v="31"/>
    <x v="3"/>
    <s v="One year"/>
    <s v="No"/>
    <s v="Bank transfer"/>
    <s v="No"/>
    <s v="No"/>
    <n v="4"/>
    <n v="41.15"/>
    <n v="1269.76"/>
    <x v="0"/>
  </r>
  <r>
    <x v="1928"/>
    <s v="Female"/>
    <n v="55"/>
    <s v="No"/>
    <n v="52"/>
    <x v="0"/>
    <s v="Month-to-month"/>
    <s v="DSL"/>
    <s v="Electronic check"/>
    <s v="No"/>
    <s v="No"/>
    <n v="4"/>
    <n v="64.900000000000006"/>
    <n v="3198.43"/>
    <x v="0"/>
  </r>
  <r>
    <x v="1929"/>
    <s v="Male"/>
    <n v="27"/>
    <s v="No"/>
    <n v="1"/>
    <x v="2"/>
    <s v="Month-to-month"/>
    <s v="No"/>
    <s v="Mailed check"/>
    <s v="No"/>
    <s v="Yes"/>
    <n v="1"/>
    <n v="32.869999999999997"/>
    <n v="32.229999999999997"/>
    <x v="0"/>
  </r>
  <r>
    <x v="1930"/>
    <s v="Female"/>
    <n v="52"/>
    <s v="No"/>
    <n v="55"/>
    <x v="0"/>
    <s v="One year"/>
    <s v="Fiber optic"/>
    <s v="Bank transfer"/>
    <s v="No"/>
    <s v="No"/>
    <n v="7"/>
    <n v="89.77"/>
    <n v="4772.43"/>
    <x v="0"/>
  </r>
  <r>
    <x v="1931"/>
    <s v="Female"/>
    <n v="68"/>
    <s v="Yes"/>
    <n v="22"/>
    <x v="4"/>
    <s v="One year"/>
    <s v="Fiber optic"/>
    <s v="Credit card"/>
    <s v="No"/>
    <s v="Yes"/>
    <n v="1"/>
    <n v="73.39"/>
    <n v="1686.21"/>
    <x v="0"/>
  </r>
  <r>
    <x v="1932"/>
    <s v="Male"/>
    <n v="66"/>
    <s v="Yes"/>
    <n v="40"/>
    <x v="3"/>
    <s v="Two year"/>
    <s v="No"/>
    <s v="Credit card"/>
    <s v="Yes"/>
    <s v="Yes"/>
    <n v="3"/>
    <n v="43.21"/>
    <n v="1681.78"/>
    <x v="0"/>
  </r>
  <r>
    <x v="1933"/>
    <s v="Male"/>
    <n v="49"/>
    <s v="No"/>
    <n v="1"/>
    <x v="2"/>
    <s v="Month-to-month"/>
    <s v="DSL"/>
    <s v="Electronic check"/>
    <s v="No"/>
    <s v="No"/>
    <n v="5"/>
    <n v="59.59"/>
    <n v="60.93"/>
    <x v="1"/>
  </r>
  <r>
    <x v="1934"/>
    <s v="Male"/>
    <n v="24"/>
    <s v="No"/>
    <n v="65"/>
    <x v="0"/>
    <s v="Month-to-month"/>
    <s v="Fiber optic"/>
    <s v="Electronic check"/>
    <s v="No"/>
    <s v="No"/>
    <n v="5"/>
    <n v="84.37"/>
    <n v="5636.65"/>
    <x v="1"/>
  </r>
  <r>
    <x v="1935"/>
    <s v="Female"/>
    <n v="38"/>
    <s v="No"/>
    <n v="63"/>
    <x v="0"/>
    <s v="One year"/>
    <s v="Fiber optic"/>
    <s v="Electronic check"/>
    <s v="No"/>
    <s v="No"/>
    <n v="8"/>
    <n v="105.57"/>
    <n v="6604.57"/>
    <x v="0"/>
  </r>
  <r>
    <x v="1936"/>
    <s v="Male"/>
    <n v="37"/>
    <s v="No"/>
    <n v="54"/>
    <x v="0"/>
    <s v="Month-to-month"/>
    <s v="No"/>
    <s v="Credit card"/>
    <s v="Yes"/>
    <s v="No"/>
    <n v="2"/>
    <n v="35.29"/>
    <n v="1777.93"/>
    <x v="0"/>
  </r>
  <r>
    <x v="1937"/>
    <s v="Female"/>
    <n v="43"/>
    <s v="No"/>
    <n v="42"/>
    <x v="3"/>
    <s v="Month-to-month"/>
    <s v="DSL"/>
    <s v="Credit card"/>
    <s v="Yes"/>
    <s v="Yes"/>
    <n v="4"/>
    <n v="53.24"/>
    <n v="2307.77"/>
    <x v="0"/>
  </r>
  <r>
    <x v="1938"/>
    <s v="Female"/>
    <n v="21"/>
    <s v="No"/>
    <n v="21"/>
    <x v="4"/>
    <s v="One year"/>
    <s v="DSL"/>
    <s v="Mailed check"/>
    <s v="No"/>
    <s v="Yes"/>
    <n v="2"/>
    <n v="43.14"/>
    <n v="844.36"/>
    <x v="0"/>
  </r>
  <r>
    <x v="1939"/>
    <s v="Male"/>
    <n v="63"/>
    <s v="Yes"/>
    <n v="22"/>
    <x v="4"/>
    <s v="Month-to-month"/>
    <s v="Fiber optic"/>
    <s v="Electronic check"/>
    <s v="No"/>
    <s v="No"/>
    <n v="5"/>
    <n v="72.7"/>
    <n v="1496.84"/>
    <x v="0"/>
  </r>
  <r>
    <x v="1940"/>
    <s v="Male"/>
    <n v="69"/>
    <s v="Yes"/>
    <n v="38"/>
    <x v="3"/>
    <s v="Month-to-month"/>
    <s v="Fiber optic"/>
    <s v="Mailed check"/>
    <s v="No"/>
    <s v="No"/>
    <n v="3"/>
    <n v="60.67"/>
    <n v="2193.3200000000002"/>
    <x v="0"/>
  </r>
  <r>
    <x v="1941"/>
    <s v="Female"/>
    <n v="39"/>
    <s v="No"/>
    <n v="8"/>
    <x v="1"/>
    <s v="Month-to-month"/>
    <s v="No"/>
    <s v="Electronic check"/>
    <s v="No"/>
    <s v="No"/>
    <n v="4"/>
    <n v="37.61"/>
    <n v="290.31"/>
    <x v="0"/>
  </r>
  <r>
    <x v="1942"/>
    <s v="Female"/>
    <n v="32"/>
    <s v="No"/>
    <n v="62"/>
    <x v="0"/>
    <s v="Month-to-month"/>
    <s v="Fiber optic"/>
    <s v="Electronic check"/>
    <s v="Yes"/>
    <s v="Yes"/>
    <n v="3"/>
    <n v="73.78"/>
    <n v="4827.93"/>
    <x v="0"/>
  </r>
  <r>
    <x v="1943"/>
    <s v="Female"/>
    <n v="73"/>
    <s v="Yes"/>
    <n v="47"/>
    <x v="3"/>
    <s v="Month-to-month"/>
    <s v="DSL"/>
    <s v="Bank transfer"/>
    <s v="No"/>
    <s v="No"/>
    <n v="5"/>
    <n v="56.17"/>
    <n v="2713.88"/>
    <x v="1"/>
  </r>
  <r>
    <x v="1944"/>
    <s v="Male"/>
    <n v="57"/>
    <s v="No"/>
    <n v="17"/>
    <x v="4"/>
    <s v="Month-to-month"/>
    <s v="No"/>
    <s v="Electronic check"/>
    <s v="No"/>
    <s v="No"/>
    <n v="2"/>
    <n v="28.21"/>
    <n v="470.92"/>
    <x v="1"/>
  </r>
  <r>
    <x v="1945"/>
    <s v="Female"/>
    <n v="38"/>
    <s v="No"/>
    <n v="17"/>
    <x v="4"/>
    <s v="One year"/>
    <s v="Fiber optic"/>
    <s v="Electronic check"/>
    <s v="No"/>
    <s v="Yes"/>
    <n v="4"/>
    <n v="72.319999999999993"/>
    <n v="1323.59"/>
    <x v="0"/>
  </r>
  <r>
    <x v="1946"/>
    <s v="Male"/>
    <n v="32"/>
    <s v="No"/>
    <n v="13"/>
    <x v="4"/>
    <s v="Two year"/>
    <s v="Fiber optic"/>
    <s v="Bank transfer"/>
    <s v="No"/>
    <s v="No"/>
    <n v="8"/>
    <n v="83.94"/>
    <n v="1046.45"/>
    <x v="0"/>
  </r>
  <r>
    <x v="1947"/>
    <s v="Female"/>
    <n v="39"/>
    <s v="No"/>
    <n v="17"/>
    <x v="4"/>
    <s v="Month-to-month"/>
    <s v="DSL"/>
    <s v="Electronic check"/>
    <s v="No"/>
    <s v="No"/>
    <n v="3"/>
    <n v="53.81"/>
    <n v="930.84"/>
    <x v="1"/>
  </r>
  <r>
    <x v="1948"/>
    <s v="Female"/>
    <n v="69"/>
    <s v="Yes"/>
    <n v="38"/>
    <x v="3"/>
    <s v="Month-to-month"/>
    <s v="DSL"/>
    <s v="Electronic check"/>
    <s v="No"/>
    <s v="No"/>
    <n v="4"/>
    <n v="63.68"/>
    <n v="2554.27"/>
    <x v="0"/>
  </r>
  <r>
    <x v="1949"/>
    <s v="Male"/>
    <n v="45"/>
    <s v="No"/>
    <n v="45"/>
    <x v="3"/>
    <s v="Month-to-month"/>
    <s v="DSL"/>
    <s v="Electronic check"/>
    <s v="No"/>
    <s v="No"/>
    <n v="4"/>
    <n v="55.43"/>
    <n v="2614.89"/>
    <x v="0"/>
  </r>
  <r>
    <x v="1950"/>
    <s v="Female"/>
    <n v="31"/>
    <s v="No"/>
    <n v="6"/>
    <x v="2"/>
    <s v="Month-to-month"/>
    <s v="Fiber optic"/>
    <s v="Credit card"/>
    <s v="No"/>
    <s v="Yes"/>
    <n v="4"/>
    <n v="86.95"/>
    <n v="487.5"/>
    <x v="0"/>
  </r>
  <r>
    <x v="1951"/>
    <s v="Male"/>
    <n v="44"/>
    <s v="No"/>
    <n v="35"/>
    <x v="3"/>
    <s v="One year"/>
    <s v="DSL"/>
    <s v="Credit card"/>
    <s v="Yes"/>
    <s v="No"/>
    <n v="4"/>
    <n v="60.07"/>
    <n v="2168.81"/>
    <x v="0"/>
  </r>
  <r>
    <x v="1952"/>
    <s v="Male"/>
    <n v="58"/>
    <s v="No"/>
    <n v="14"/>
    <x v="4"/>
    <s v="One year"/>
    <s v="DSL"/>
    <s v="Electronic check"/>
    <s v="No"/>
    <s v="Yes"/>
    <n v="4"/>
    <n v="65.25"/>
    <n v="878.11"/>
    <x v="1"/>
  </r>
  <r>
    <x v="1953"/>
    <s v="Female"/>
    <n v="57"/>
    <s v="No"/>
    <n v="72"/>
    <x v="0"/>
    <s v="One year"/>
    <s v="DSL"/>
    <s v="Mailed check"/>
    <s v="No"/>
    <s v="Yes"/>
    <n v="2"/>
    <n v="51.22"/>
    <n v="3602.71"/>
    <x v="0"/>
  </r>
  <r>
    <x v="1954"/>
    <s v="Male"/>
    <n v="75"/>
    <s v="Yes"/>
    <n v="61"/>
    <x v="0"/>
    <s v="Month-to-month"/>
    <s v="Fiber optic"/>
    <s v="Electronic check"/>
    <s v="No"/>
    <s v="No"/>
    <n v="6"/>
    <n v="91.7"/>
    <n v="5583.85"/>
    <x v="1"/>
  </r>
  <r>
    <x v="1955"/>
    <s v="Male"/>
    <n v="45"/>
    <s v="No"/>
    <n v="15"/>
    <x v="4"/>
    <s v="Month-to-month"/>
    <s v="DSL"/>
    <s v="Bank transfer"/>
    <s v="Yes"/>
    <s v="No"/>
    <n v="5"/>
    <n v="53.12"/>
    <n v="833.87"/>
    <x v="0"/>
  </r>
  <r>
    <x v="1956"/>
    <s v="Female"/>
    <n v="43"/>
    <s v="No"/>
    <n v="54"/>
    <x v="0"/>
    <s v="Month-to-month"/>
    <s v="No"/>
    <s v="Bank transfer"/>
    <s v="No"/>
    <s v="No"/>
    <n v="4"/>
    <n v="46.9"/>
    <n v="2397.34"/>
    <x v="0"/>
  </r>
  <r>
    <x v="1957"/>
    <s v="Male"/>
    <n v="66"/>
    <s v="Yes"/>
    <n v="27"/>
    <x v="3"/>
    <s v="Month-to-month"/>
    <s v="DSL"/>
    <s v="Credit card"/>
    <s v="No"/>
    <s v="No"/>
    <n v="2"/>
    <n v="51.05"/>
    <n v="1292.02"/>
    <x v="0"/>
  </r>
  <r>
    <x v="1958"/>
    <s v="Male"/>
    <n v="19"/>
    <s v="No"/>
    <n v="13"/>
    <x v="4"/>
    <s v="One year"/>
    <s v="DSL"/>
    <s v="Mailed check"/>
    <s v="No"/>
    <s v="No"/>
    <n v="3"/>
    <n v="62.69"/>
    <n v="769.78"/>
    <x v="0"/>
  </r>
  <r>
    <x v="1959"/>
    <s v="Male"/>
    <n v="42"/>
    <s v="No"/>
    <n v="31"/>
    <x v="3"/>
    <s v="Two year"/>
    <s v="DSL"/>
    <s v="Credit card"/>
    <s v="Yes"/>
    <s v="Yes"/>
    <n v="2"/>
    <n v="49.23"/>
    <n v="1457.33"/>
    <x v="0"/>
  </r>
  <r>
    <x v="1960"/>
    <s v="Female"/>
    <n v="73"/>
    <s v="Yes"/>
    <n v="35"/>
    <x v="3"/>
    <s v="Month-to-month"/>
    <s v="No"/>
    <s v="Credit card"/>
    <s v="No"/>
    <s v="Yes"/>
    <n v="3"/>
    <n v="49.19"/>
    <n v="1600.31"/>
    <x v="0"/>
  </r>
  <r>
    <x v="1961"/>
    <s v="Male"/>
    <n v="20"/>
    <s v="No"/>
    <n v="60"/>
    <x v="0"/>
    <s v="One year"/>
    <s v="No"/>
    <s v="Credit card"/>
    <s v="Yes"/>
    <s v="No"/>
    <n v="5"/>
    <n v="48.74"/>
    <n v="3123.89"/>
    <x v="0"/>
  </r>
  <r>
    <x v="1962"/>
    <s v="Female"/>
    <n v="25"/>
    <s v="No"/>
    <n v="6"/>
    <x v="2"/>
    <s v="Month-to-month"/>
    <s v="Fiber optic"/>
    <s v="Bank transfer"/>
    <s v="Yes"/>
    <s v="Yes"/>
    <n v="8"/>
    <n v="88.66"/>
    <n v="516.55999999999995"/>
    <x v="0"/>
  </r>
  <r>
    <x v="1963"/>
    <s v="Female"/>
    <n v="61"/>
    <s v="Yes"/>
    <n v="69"/>
    <x v="0"/>
    <s v="Month-to-month"/>
    <s v="Fiber optic"/>
    <s v="Mailed check"/>
    <s v="Yes"/>
    <s v="Yes"/>
    <n v="3"/>
    <n v="82.9"/>
    <n v="5424.46"/>
    <x v="0"/>
  </r>
  <r>
    <x v="1964"/>
    <s v="Male"/>
    <n v="50"/>
    <s v="No"/>
    <n v="58"/>
    <x v="0"/>
    <s v="One year"/>
    <s v="Fiber optic"/>
    <s v="Mailed check"/>
    <s v="No"/>
    <s v="No"/>
    <n v="6"/>
    <n v="79.599999999999994"/>
    <n v="4718.62"/>
    <x v="0"/>
  </r>
  <r>
    <x v="1965"/>
    <s v="Male"/>
    <n v="59"/>
    <s v="No"/>
    <n v="49"/>
    <x v="0"/>
    <s v="Month-to-month"/>
    <s v="Fiber optic"/>
    <s v="Electronic check"/>
    <s v="Yes"/>
    <s v="Yes"/>
    <n v="8"/>
    <n v="87.2"/>
    <n v="4469"/>
    <x v="0"/>
  </r>
  <r>
    <x v="1966"/>
    <s v="Male"/>
    <n v="69"/>
    <s v="Yes"/>
    <n v="23"/>
    <x v="4"/>
    <s v="Month-to-month"/>
    <s v="Fiber optic"/>
    <s v="Electronic check"/>
    <s v="No"/>
    <s v="No"/>
    <n v="2"/>
    <n v="80.02"/>
    <n v="1915.03"/>
    <x v="0"/>
  </r>
  <r>
    <x v="1967"/>
    <s v="Female"/>
    <n v="52"/>
    <s v="No"/>
    <n v="34"/>
    <x v="3"/>
    <s v="One year"/>
    <s v="No"/>
    <s v="Bank transfer"/>
    <s v="No"/>
    <s v="No"/>
    <n v="3"/>
    <n v="39.35"/>
    <n v="1384.72"/>
    <x v="0"/>
  </r>
  <r>
    <x v="1968"/>
    <s v="Male"/>
    <n v="23"/>
    <s v="No"/>
    <n v="26"/>
    <x v="3"/>
    <s v="Two year"/>
    <s v="Fiber optic"/>
    <s v="Bank transfer"/>
    <s v="No"/>
    <s v="No"/>
    <n v="7"/>
    <n v="91.51"/>
    <n v="2208.16"/>
    <x v="0"/>
  </r>
  <r>
    <x v="1969"/>
    <s v="Male"/>
    <n v="56"/>
    <s v="No"/>
    <n v="47"/>
    <x v="3"/>
    <s v="Month-to-month"/>
    <s v="DSL"/>
    <s v="Credit card"/>
    <s v="No"/>
    <s v="No"/>
    <n v="5"/>
    <n v="59.47"/>
    <n v="2921.28"/>
    <x v="0"/>
  </r>
  <r>
    <x v="1970"/>
    <s v="Male"/>
    <n v="69"/>
    <s v="Yes"/>
    <n v="5"/>
    <x v="2"/>
    <s v="Month-to-month"/>
    <s v="DSL"/>
    <s v="Electronic check"/>
    <s v="No"/>
    <s v="No"/>
    <n v="5"/>
    <n v="68.819999999999993"/>
    <n v="344.2"/>
    <x v="1"/>
  </r>
  <r>
    <x v="1971"/>
    <s v="Male"/>
    <n v="40"/>
    <s v="No"/>
    <n v="20"/>
    <x v="4"/>
    <s v="Two year"/>
    <s v="Fiber optic"/>
    <s v="Electronic check"/>
    <s v="No"/>
    <s v="Yes"/>
    <n v="7"/>
    <n v="89.1"/>
    <n v="1824.51"/>
    <x v="1"/>
  </r>
  <r>
    <x v="1972"/>
    <s v="Male"/>
    <n v="42"/>
    <s v="No"/>
    <n v="6"/>
    <x v="2"/>
    <s v="Two year"/>
    <s v="No"/>
    <s v="Credit card"/>
    <s v="No"/>
    <s v="Yes"/>
    <n v="6"/>
    <n v="50.41"/>
    <n v="324.55"/>
    <x v="1"/>
  </r>
  <r>
    <x v="1973"/>
    <s v="Female"/>
    <n v="67"/>
    <s v="Yes"/>
    <n v="70"/>
    <x v="0"/>
    <s v="One year"/>
    <s v="No"/>
    <s v="Mailed check"/>
    <s v="No"/>
    <s v="No"/>
    <n v="4"/>
    <n v="33.11"/>
    <n v="2432.91"/>
    <x v="0"/>
  </r>
  <r>
    <x v="1974"/>
    <s v="Female"/>
    <n v="60"/>
    <s v="Yes"/>
    <n v="59"/>
    <x v="0"/>
    <s v="Month-to-month"/>
    <s v="DSL"/>
    <s v="Electronic check"/>
    <s v="Yes"/>
    <s v="Yes"/>
    <n v="4"/>
    <n v="58.6"/>
    <n v="3637.39"/>
    <x v="0"/>
  </r>
  <r>
    <x v="1975"/>
    <s v="Male"/>
    <n v="36"/>
    <s v="No"/>
    <n v="64"/>
    <x v="0"/>
    <s v="Two year"/>
    <s v="Fiber optic"/>
    <s v="Credit card"/>
    <s v="Yes"/>
    <s v="Yes"/>
    <n v="4"/>
    <n v="80.23"/>
    <n v="4873.03"/>
    <x v="0"/>
  </r>
  <r>
    <x v="1976"/>
    <s v="Male"/>
    <n v="22"/>
    <s v="No"/>
    <n v="18"/>
    <x v="4"/>
    <s v="Month-to-month"/>
    <s v="Fiber optic"/>
    <s v="Credit card"/>
    <s v="No"/>
    <s v="No"/>
    <n v="3"/>
    <n v="78.739999999999995"/>
    <n v="1411.97"/>
    <x v="1"/>
  </r>
  <r>
    <x v="1977"/>
    <s v="Male"/>
    <n v="68"/>
    <s v="Yes"/>
    <n v="4"/>
    <x v="2"/>
    <s v="One year"/>
    <s v="DSL"/>
    <s v="Mailed check"/>
    <s v="No"/>
    <s v="No"/>
    <n v="5"/>
    <n v="65.36"/>
    <n v="280.24"/>
    <x v="0"/>
  </r>
  <r>
    <x v="1978"/>
    <s v="Male"/>
    <n v="28"/>
    <s v="No"/>
    <n v="17"/>
    <x v="4"/>
    <s v="Month-to-month"/>
    <s v="Fiber optic"/>
    <s v="Credit card"/>
    <s v="No"/>
    <s v="No"/>
    <n v="7"/>
    <n v="88.67"/>
    <n v="1527.33"/>
    <x v="1"/>
  </r>
  <r>
    <x v="1979"/>
    <s v="Female"/>
    <n v="73"/>
    <s v="Yes"/>
    <n v="14"/>
    <x v="4"/>
    <s v="One year"/>
    <s v="DSL"/>
    <s v="Bank transfer"/>
    <s v="No"/>
    <s v="Yes"/>
    <n v="2"/>
    <n v="52.99"/>
    <n v="694.69"/>
    <x v="0"/>
  </r>
  <r>
    <x v="1980"/>
    <s v="Male"/>
    <n v="29"/>
    <s v="No"/>
    <n v="13"/>
    <x v="4"/>
    <s v="Month-to-month"/>
    <s v="No"/>
    <s v="Credit card"/>
    <s v="No"/>
    <s v="No"/>
    <n v="3"/>
    <n v="43.86"/>
    <n v="591.33000000000004"/>
    <x v="1"/>
  </r>
  <r>
    <x v="1981"/>
    <s v="Female"/>
    <n v="27"/>
    <s v="No"/>
    <n v="7"/>
    <x v="1"/>
    <s v="Month-to-month"/>
    <s v="Fiber optic"/>
    <s v="Credit card"/>
    <s v="No"/>
    <s v="No"/>
    <n v="3"/>
    <n v="64.61"/>
    <n v="419.19"/>
    <x v="0"/>
  </r>
  <r>
    <x v="1982"/>
    <s v="Female"/>
    <n v="25"/>
    <s v="No"/>
    <n v="44"/>
    <x v="3"/>
    <s v="Month-to-month"/>
    <s v="No"/>
    <s v="Electronic check"/>
    <s v="Yes"/>
    <s v="Yes"/>
    <n v="3"/>
    <n v="35.840000000000003"/>
    <n v="1638.09"/>
    <x v="0"/>
  </r>
  <r>
    <x v="1983"/>
    <s v="Male"/>
    <n v="41"/>
    <s v="No"/>
    <n v="15"/>
    <x v="4"/>
    <s v="Month-to-month"/>
    <s v="Fiber optic"/>
    <s v="Bank transfer"/>
    <s v="No"/>
    <s v="Yes"/>
    <n v="6"/>
    <n v="88.46"/>
    <n v="1407.53"/>
    <x v="1"/>
  </r>
  <r>
    <x v="1984"/>
    <s v="Female"/>
    <n v="45"/>
    <s v="No"/>
    <n v="19"/>
    <x v="4"/>
    <s v="One year"/>
    <s v="No"/>
    <s v="Electronic check"/>
    <s v="No"/>
    <s v="No"/>
    <n v="6"/>
    <n v="42.54"/>
    <n v="798.59"/>
    <x v="0"/>
  </r>
  <r>
    <x v="1985"/>
    <s v="Female"/>
    <n v="58"/>
    <s v="No"/>
    <n v="63"/>
    <x v="0"/>
    <s v="Two year"/>
    <s v="Fiber optic"/>
    <s v="Electronic check"/>
    <s v="No"/>
    <s v="No"/>
    <n v="3"/>
    <n v="81.510000000000005"/>
    <n v="5064.1499999999996"/>
    <x v="0"/>
  </r>
  <r>
    <x v="1986"/>
    <s v="Female"/>
    <n v="53"/>
    <s v="No"/>
    <n v="35"/>
    <x v="3"/>
    <s v="Two year"/>
    <s v="DSL"/>
    <s v="Credit card"/>
    <s v="No"/>
    <s v="No"/>
    <n v="7"/>
    <n v="75.2"/>
    <n v="2549.5500000000002"/>
    <x v="0"/>
  </r>
  <r>
    <x v="1987"/>
    <s v="Female"/>
    <n v="54"/>
    <s v="No"/>
    <n v="35"/>
    <x v="3"/>
    <s v="Month-to-month"/>
    <s v="Fiber optic"/>
    <s v="Bank transfer"/>
    <s v="No"/>
    <s v="Yes"/>
    <n v="6"/>
    <n v="93.99"/>
    <n v="3488.05"/>
    <x v="0"/>
  </r>
  <r>
    <x v="1988"/>
    <s v="Male"/>
    <n v="38"/>
    <s v="No"/>
    <n v="19"/>
    <x v="4"/>
    <s v="One year"/>
    <s v="No"/>
    <s v="Bank transfer"/>
    <s v="No"/>
    <s v="No"/>
    <n v="4"/>
    <n v="56.12"/>
    <n v="1074.43"/>
    <x v="0"/>
  </r>
  <r>
    <x v="1989"/>
    <s v="Male"/>
    <n v="25"/>
    <s v="No"/>
    <n v="20"/>
    <x v="4"/>
    <s v="One year"/>
    <s v="DSL"/>
    <s v="Credit card"/>
    <s v="No"/>
    <s v="No"/>
    <n v="2"/>
    <n v="53.31"/>
    <n v="1079.72"/>
    <x v="0"/>
  </r>
  <r>
    <x v="1990"/>
    <s v="Female"/>
    <n v="72"/>
    <s v="Yes"/>
    <n v="35"/>
    <x v="3"/>
    <s v="Month-to-month"/>
    <s v="Fiber optic"/>
    <s v="Credit card"/>
    <s v="No"/>
    <s v="Yes"/>
    <n v="3"/>
    <n v="73.02"/>
    <n v="2621.82"/>
    <x v="0"/>
  </r>
  <r>
    <x v="1991"/>
    <s v="Male"/>
    <n v="26"/>
    <s v="No"/>
    <n v="32"/>
    <x v="3"/>
    <s v="Month-to-month"/>
    <s v="DSL"/>
    <s v="Credit card"/>
    <s v="No"/>
    <s v="Yes"/>
    <n v="4"/>
    <n v="65.569999999999993"/>
    <n v="2031.17"/>
    <x v="0"/>
  </r>
  <r>
    <x v="1992"/>
    <s v="Male"/>
    <n v="64"/>
    <s v="Yes"/>
    <n v="48"/>
    <x v="3"/>
    <s v="One year"/>
    <s v="Fiber optic"/>
    <s v="Mailed check"/>
    <s v="No"/>
    <s v="Yes"/>
    <n v="4"/>
    <n v="74.88"/>
    <n v="3555.59"/>
    <x v="0"/>
  </r>
  <r>
    <x v="1993"/>
    <s v="Male"/>
    <n v="32"/>
    <s v="No"/>
    <n v="44"/>
    <x v="3"/>
    <s v="Two year"/>
    <s v="DSL"/>
    <s v="Electronic check"/>
    <s v="No"/>
    <s v="No"/>
    <n v="4"/>
    <n v="62.25"/>
    <n v="2844.88"/>
    <x v="0"/>
  </r>
  <r>
    <x v="1994"/>
    <s v="Male"/>
    <n v="65"/>
    <s v="Yes"/>
    <n v="24"/>
    <x v="4"/>
    <s v="One year"/>
    <s v="No"/>
    <s v="Electronic check"/>
    <s v="Yes"/>
    <s v="No"/>
    <n v="3"/>
    <n v="44.26"/>
    <n v="1144.75"/>
    <x v="0"/>
  </r>
  <r>
    <x v="1995"/>
    <s v="Male"/>
    <n v="63"/>
    <s v="Yes"/>
    <n v="61"/>
    <x v="0"/>
    <s v="Month-to-month"/>
    <s v="Fiber optic"/>
    <s v="Mailed check"/>
    <s v="No"/>
    <s v="No"/>
    <n v="4"/>
    <n v="84.83"/>
    <n v="4789.0600000000004"/>
    <x v="0"/>
  </r>
  <r>
    <x v="1996"/>
    <s v="Female"/>
    <n v="57"/>
    <s v="No"/>
    <n v="17"/>
    <x v="4"/>
    <s v="Month-to-month"/>
    <s v="Fiber optic"/>
    <s v="Mailed check"/>
    <s v="No"/>
    <s v="No"/>
    <n v="6"/>
    <n v="96.85"/>
    <n v="1525.97"/>
    <x v="1"/>
  </r>
  <r>
    <x v="1997"/>
    <s v="Male"/>
    <n v="35"/>
    <s v="No"/>
    <n v="71"/>
    <x v="0"/>
    <s v="Month-to-month"/>
    <s v="Fiber optic"/>
    <s v="Bank transfer"/>
    <s v="No"/>
    <s v="No"/>
    <n v="4"/>
    <n v="77.09"/>
    <n v="5410.41"/>
    <x v="0"/>
  </r>
  <r>
    <x v="1998"/>
    <s v="Male"/>
    <n v="59"/>
    <s v="No"/>
    <n v="50"/>
    <x v="0"/>
    <s v="One year"/>
    <s v="DSL"/>
    <s v="Bank transfer"/>
    <s v="No"/>
    <s v="No"/>
    <n v="2"/>
    <n v="55.96"/>
    <n v="2869.46"/>
    <x v="0"/>
  </r>
  <r>
    <x v="1999"/>
    <s v="Male"/>
    <n v="37"/>
    <s v="No"/>
    <n v="65"/>
    <x v="0"/>
    <s v="One year"/>
    <s v="Fiber optic"/>
    <s v="Credit card"/>
    <s v="No"/>
    <s v="Yes"/>
    <n v="4"/>
    <n v="79.650000000000006"/>
    <n v="5083.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97006-3E41-4349-86FE-18F0183727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4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735BC-23B6-4298-AFB7-50D1EB3F49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4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52EC6-CF58-4A63-9DE9-A32D9B7747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4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ADA8D-C4BD-42BD-BE42-0AA0B530315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5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3792C-1578-476E-BAF6-97106A60F583}" name="Table1" displayName="Table1" ref="A1:O2001" totalsRowShown="0">
  <autoFilter ref="A1:O2001" xr:uid="{A853792C-1578-476E-BAF6-97106A60F583}"/>
  <tableColumns count="15">
    <tableColumn id="1" xr3:uid="{75882689-75F5-4AE0-AD3E-F9715B1F0CA5}" name="CustomerID"/>
    <tableColumn id="2" xr3:uid="{18CE1C4D-6B89-4A7B-8EE2-AF1CE7D3DD0F}" name="Gender"/>
    <tableColumn id="3" xr3:uid="{E88B1A5B-4492-4998-AF28-C992D5D27AB0}" name="Age"/>
    <tableColumn id="4" xr3:uid="{DD44DDDD-B3ED-4012-BC7B-DAFB13F076B3}" name="SeniorCitizen"/>
    <tableColumn id="5" xr3:uid="{7AFE69B5-E38B-4F66-9892-2FDBF2B47C76}" name="TenureMonths"/>
    <tableColumn id="15" xr3:uid="{DE3B2DE1-DD67-4F8F-A6BA-8DAEA3CE6076}" name="TenureGroups" dataDxfId="9">
      <calculatedColumnFormula>IF(E2&lt;=6,"0-6 Months",
 IF(E2&lt;=12,"7-12 Months",
 IF(E2&lt;=24,"13-24 Months",
 IF(E2&lt;=48,"25-48 Months","49+ Months"))))</calculatedColumnFormula>
    </tableColumn>
    <tableColumn id="6" xr3:uid="{00E91682-EBD9-4756-9863-5E4AF1EBDD86}" name="Contract"/>
    <tableColumn id="7" xr3:uid="{C5D44A88-858A-4191-9F08-47996298AD44}" name="InternetService"/>
    <tableColumn id="8" xr3:uid="{38015A88-A79F-44E2-B492-D7CE7C2EE554}" name="PaymentMethod"/>
    <tableColumn id="9" xr3:uid="{AE6618D4-E0E7-4C2E-803C-E2E3A29FBA3A}" name="TechSupport"/>
    <tableColumn id="10" xr3:uid="{DDE868FA-2F8F-4C2F-A1C9-0DC848A2C167}" name="OnlineSecurity"/>
    <tableColumn id="11" xr3:uid="{DDD3A2AE-B8E5-4945-943A-D8967BE7A06A}" name="NumServices"/>
    <tableColumn id="12" xr3:uid="{E77364FE-3C45-45FD-BDB9-52C2E5770551}" name="MonthlyCharges" dataDxfId="8"/>
    <tableColumn id="13" xr3:uid="{3B9A30BE-B416-464A-94F5-A80A9BF0CE55}" name="TotalCharges" dataDxfId="7"/>
    <tableColumn id="14" xr3:uid="{AA577BE8-3220-47BB-8531-A9173C5B0C02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49E90-5C97-4CE9-84CE-5C07716C34C8}" name="Table2" displayName="Table2" ref="A1:B8" totalsRowShown="0" headerRowDxfId="6" dataDxfId="5">
  <autoFilter ref="A1:B8" xr:uid="{39C49E90-5C97-4CE9-84CE-5C07716C34C8}"/>
  <tableColumns count="2">
    <tableColumn id="1" xr3:uid="{72A9F62A-DDC7-4ED5-AA5F-8433135DFBD0}" name="Check" dataDxfId="4"/>
    <tableColumn id="2" xr3:uid="{35FCFB8D-CC65-4A4F-B8B2-AD75194AD7CF}" name="Result" dataDxf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82D3-2CB2-47EE-B9F5-C9DF7D78ED7A}">
  <sheetPr codeName="Sheet1"/>
  <dimension ref="A1:Q2001"/>
  <sheetViews>
    <sheetView tabSelected="1" workbookViewId="0">
      <selection activeCell="F3" sqref="F3"/>
    </sheetView>
  </sheetViews>
  <sheetFormatPr defaultRowHeight="14.4" x14ac:dyDescent="0.3"/>
  <cols>
    <col min="1" max="1" width="13.109375" bestFit="1" customWidth="1"/>
    <col min="2" max="2" width="9" customWidth="1"/>
    <col min="3" max="3" width="6.109375" customWidth="1"/>
    <col min="4" max="4" width="13.77734375" customWidth="1"/>
    <col min="5" max="5" width="15.33203125" customWidth="1"/>
    <col min="6" max="6" width="15" bestFit="1" customWidth="1"/>
    <col min="7" max="7" width="15.6640625" customWidth="1"/>
    <col min="8" max="8" width="17.21875" customWidth="1"/>
    <col min="9" max="9" width="13.6640625" customWidth="1"/>
    <col min="10" max="10" width="15.109375" customWidth="1"/>
    <col min="11" max="11" width="13.77734375" customWidth="1"/>
    <col min="12" max="12" width="16.77734375" style="7" customWidth="1"/>
    <col min="13" max="13" width="13.77734375" style="7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2048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7" x14ac:dyDescent="0.3">
      <c r="A2" t="s">
        <v>14</v>
      </c>
      <c r="B2" t="s">
        <v>15</v>
      </c>
      <c r="C2">
        <v>64</v>
      </c>
      <c r="D2" t="s">
        <v>16</v>
      </c>
      <c r="E2">
        <v>70</v>
      </c>
      <c r="F2" t="str">
        <f t="shared" ref="F2:F65" si="0">IF(E2&lt;=6,"0-6 Months",
 IF(E2&lt;=12,"7-12 Months",
 IF(E2&lt;=24,"13-24 Months",
 IF(E2&lt;=48,"25-48 Months","49+ Months"))))</f>
        <v>49+ Months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>
        <v>3</v>
      </c>
      <c r="M2" s="7">
        <v>64.84</v>
      </c>
      <c r="N2" s="7">
        <v>4257.37</v>
      </c>
      <c r="O2" t="s">
        <v>20</v>
      </c>
    </row>
    <row r="3" spans="1:17" x14ac:dyDescent="0.3">
      <c r="A3" t="s">
        <v>21</v>
      </c>
      <c r="B3" t="s">
        <v>22</v>
      </c>
      <c r="C3">
        <v>29</v>
      </c>
      <c r="D3" t="s">
        <v>20</v>
      </c>
      <c r="E3">
        <v>12</v>
      </c>
      <c r="F3" t="str">
        <f t="shared" si="0"/>
        <v>7-12 Months</v>
      </c>
      <c r="G3" t="s">
        <v>23</v>
      </c>
      <c r="H3" t="s">
        <v>20</v>
      </c>
      <c r="I3" t="s">
        <v>24</v>
      </c>
      <c r="J3" t="s">
        <v>20</v>
      </c>
      <c r="K3" t="s">
        <v>20</v>
      </c>
      <c r="L3">
        <v>1</v>
      </c>
      <c r="M3" s="7">
        <v>22.14</v>
      </c>
      <c r="N3" s="7">
        <v>249.99</v>
      </c>
      <c r="O3" t="s">
        <v>20</v>
      </c>
    </row>
    <row r="4" spans="1:17" x14ac:dyDescent="0.3">
      <c r="A4" t="s">
        <v>25</v>
      </c>
      <c r="B4" t="s">
        <v>15</v>
      </c>
      <c r="C4">
        <v>33</v>
      </c>
      <c r="D4" t="s">
        <v>20</v>
      </c>
      <c r="E4">
        <v>2</v>
      </c>
      <c r="F4" t="str">
        <f t="shared" si="0"/>
        <v>0-6 Months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  <c r="L4">
        <v>5</v>
      </c>
      <c r="M4" s="7">
        <v>81.209999999999994</v>
      </c>
      <c r="N4" s="7">
        <v>171.32</v>
      </c>
      <c r="O4" t="s">
        <v>16</v>
      </c>
    </row>
    <row r="5" spans="1:17" x14ac:dyDescent="0.3">
      <c r="A5" t="s">
        <v>26</v>
      </c>
      <c r="B5" t="s">
        <v>15</v>
      </c>
      <c r="C5">
        <v>41</v>
      </c>
      <c r="D5" t="s">
        <v>20</v>
      </c>
      <c r="E5">
        <v>7</v>
      </c>
      <c r="F5" t="str">
        <f t="shared" si="0"/>
        <v>7-12 Months</v>
      </c>
      <c r="G5" t="s">
        <v>17</v>
      </c>
      <c r="H5" t="s">
        <v>20</v>
      </c>
      <c r="I5" t="s">
        <v>27</v>
      </c>
      <c r="J5" t="s">
        <v>16</v>
      </c>
      <c r="K5" t="s">
        <v>20</v>
      </c>
      <c r="L5">
        <v>3</v>
      </c>
      <c r="M5" s="7">
        <v>24.55</v>
      </c>
      <c r="N5" s="7">
        <v>181.26</v>
      </c>
      <c r="O5" t="s">
        <v>16</v>
      </c>
    </row>
    <row r="6" spans="1:17" x14ac:dyDescent="0.3">
      <c r="A6" t="s">
        <v>28</v>
      </c>
      <c r="B6" t="s">
        <v>15</v>
      </c>
      <c r="C6">
        <v>36</v>
      </c>
      <c r="D6" t="s">
        <v>20</v>
      </c>
      <c r="E6">
        <v>3</v>
      </c>
      <c r="F6" t="str">
        <f t="shared" si="0"/>
        <v>0-6 Months</v>
      </c>
      <c r="G6" t="s">
        <v>17</v>
      </c>
      <c r="H6" t="s">
        <v>18</v>
      </c>
      <c r="I6" t="s">
        <v>24</v>
      </c>
      <c r="J6" t="s">
        <v>16</v>
      </c>
      <c r="K6" t="s">
        <v>20</v>
      </c>
      <c r="L6">
        <v>3</v>
      </c>
      <c r="M6" s="7">
        <v>75.959999999999994</v>
      </c>
      <c r="N6" s="7">
        <v>226.83</v>
      </c>
      <c r="O6" t="s">
        <v>20</v>
      </c>
    </row>
    <row r="7" spans="1:17" x14ac:dyDescent="0.3">
      <c r="A7" t="s">
        <v>29</v>
      </c>
      <c r="B7" t="s">
        <v>22</v>
      </c>
      <c r="C7">
        <v>25</v>
      </c>
      <c r="D7" t="s">
        <v>20</v>
      </c>
      <c r="E7">
        <v>3</v>
      </c>
      <c r="F7" t="str">
        <f t="shared" si="0"/>
        <v>0-6 Months</v>
      </c>
      <c r="G7" t="s">
        <v>17</v>
      </c>
      <c r="H7" t="s">
        <v>18</v>
      </c>
      <c r="I7" t="s">
        <v>30</v>
      </c>
      <c r="J7" t="s">
        <v>20</v>
      </c>
      <c r="K7" t="s">
        <v>20</v>
      </c>
      <c r="L7">
        <v>5</v>
      </c>
      <c r="M7" s="7">
        <v>88.83</v>
      </c>
      <c r="N7" s="7">
        <v>286.27</v>
      </c>
      <c r="O7" t="s">
        <v>16</v>
      </c>
    </row>
    <row r="8" spans="1:17" x14ac:dyDescent="0.3">
      <c r="A8" t="s">
        <v>31</v>
      </c>
      <c r="B8" t="s">
        <v>15</v>
      </c>
      <c r="C8">
        <v>48</v>
      </c>
      <c r="D8" t="s">
        <v>20</v>
      </c>
      <c r="E8">
        <v>27</v>
      </c>
      <c r="F8" t="str">
        <f t="shared" si="0"/>
        <v>25-48 Months</v>
      </c>
      <c r="G8" t="s">
        <v>17</v>
      </c>
      <c r="H8" t="s">
        <v>18</v>
      </c>
      <c r="I8" t="s">
        <v>27</v>
      </c>
      <c r="J8" t="s">
        <v>16</v>
      </c>
      <c r="K8" t="s">
        <v>20</v>
      </c>
      <c r="L8">
        <v>2</v>
      </c>
      <c r="M8" s="7">
        <v>80.739999999999995</v>
      </c>
      <c r="N8" s="7">
        <v>2242.5500000000002</v>
      </c>
      <c r="O8" t="s">
        <v>20</v>
      </c>
    </row>
    <row r="9" spans="1:17" x14ac:dyDescent="0.3">
      <c r="A9" t="s">
        <v>32</v>
      </c>
      <c r="B9" t="s">
        <v>15</v>
      </c>
      <c r="C9">
        <v>38</v>
      </c>
      <c r="D9" t="s">
        <v>20</v>
      </c>
      <c r="E9">
        <v>40</v>
      </c>
      <c r="F9" t="str">
        <f t="shared" si="0"/>
        <v>25-48 Months</v>
      </c>
      <c r="G9" t="s">
        <v>23</v>
      </c>
      <c r="H9" t="s">
        <v>18</v>
      </c>
      <c r="I9" t="s">
        <v>30</v>
      </c>
      <c r="J9" t="s">
        <v>20</v>
      </c>
      <c r="K9" t="s">
        <v>20</v>
      </c>
      <c r="L9">
        <v>1</v>
      </c>
      <c r="M9" s="7">
        <v>67.67</v>
      </c>
      <c r="N9" s="7">
        <v>2915.92</v>
      </c>
      <c r="O9" t="s">
        <v>20</v>
      </c>
    </row>
    <row r="10" spans="1:17" x14ac:dyDescent="0.3">
      <c r="A10" t="s">
        <v>33</v>
      </c>
      <c r="B10" t="s">
        <v>15</v>
      </c>
      <c r="C10">
        <v>34</v>
      </c>
      <c r="D10" t="s">
        <v>20</v>
      </c>
      <c r="E10">
        <v>33</v>
      </c>
      <c r="F10" t="str">
        <f t="shared" si="0"/>
        <v>25-48 Months</v>
      </c>
      <c r="G10" t="s">
        <v>17</v>
      </c>
      <c r="H10" t="s">
        <v>18</v>
      </c>
      <c r="I10" t="s">
        <v>24</v>
      </c>
      <c r="J10" t="s">
        <v>20</v>
      </c>
      <c r="K10" t="s">
        <v>20</v>
      </c>
      <c r="L10">
        <v>6</v>
      </c>
      <c r="M10" s="7">
        <v>100.2</v>
      </c>
      <c r="N10" s="7">
        <v>3323.74</v>
      </c>
      <c r="O10" t="s">
        <v>20</v>
      </c>
    </row>
    <row r="11" spans="1:17" x14ac:dyDescent="0.3">
      <c r="A11" t="s">
        <v>34</v>
      </c>
      <c r="B11" t="s">
        <v>22</v>
      </c>
      <c r="C11">
        <v>40</v>
      </c>
      <c r="D11" t="s">
        <v>20</v>
      </c>
      <c r="E11">
        <v>1</v>
      </c>
      <c r="F11" t="str">
        <f t="shared" si="0"/>
        <v>0-6 Months</v>
      </c>
      <c r="G11" t="s">
        <v>35</v>
      </c>
      <c r="H11" t="s">
        <v>36</v>
      </c>
      <c r="I11" t="s">
        <v>30</v>
      </c>
      <c r="J11" t="s">
        <v>16</v>
      </c>
      <c r="K11" t="s">
        <v>16</v>
      </c>
      <c r="L11">
        <v>2</v>
      </c>
      <c r="M11" s="7">
        <v>50.75</v>
      </c>
      <c r="N11" s="7">
        <v>48.33</v>
      </c>
      <c r="O11" t="s">
        <v>16</v>
      </c>
    </row>
    <row r="12" spans="1:17" x14ac:dyDescent="0.3">
      <c r="A12" t="s">
        <v>37</v>
      </c>
      <c r="B12" t="s">
        <v>15</v>
      </c>
      <c r="C12">
        <v>54</v>
      </c>
      <c r="D12" t="s">
        <v>20</v>
      </c>
      <c r="E12">
        <v>8</v>
      </c>
      <c r="F12" t="str">
        <f t="shared" si="0"/>
        <v>7-12 Months</v>
      </c>
      <c r="G12" t="s">
        <v>17</v>
      </c>
      <c r="H12" t="s">
        <v>36</v>
      </c>
      <c r="I12" t="s">
        <v>27</v>
      </c>
      <c r="J12" t="s">
        <v>16</v>
      </c>
      <c r="K12" t="s">
        <v>16</v>
      </c>
      <c r="L12">
        <v>3</v>
      </c>
      <c r="M12" s="7">
        <v>46.2</v>
      </c>
      <c r="N12" s="7">
        <v>366.31</v>
      </c>
      <c r="O12" t="s">
        <v>20</v>
      </c>
    </row>
    <row r="13" spans="1:17" x14ac:dyDescent="0.3">
      <c r="A13" t="s">
        <v>38</v>
      </c>
      <c r="B13" t="s">
        <v>15</v>
      </c>
      <c r="C13">
        <v>71</v>
      </c>
      <c r="D13" t="s">
        <v>16</v>
      </c>
      <c r="E13">
        <v>32</v>
      </c>
      <c r="F13" t="str">
        <f t="shared" si="0"/>
        <v>25-48 Months</v>
      </c>
      <c r="G13" t="s">
        <v>17</v>
      </c>
      <c r="H13" t="s">
        <v>36</v>
      </c>
      <c r="I13" t="s">
        <v>24</v>
      </c>
      <c r="J13" t="s">
        <v>20</v>
      </c>
      <c r="K13" t="s">
        <v>16</v>
      </c>
      <c r="L13">
        <v>3</v>
      </c>
      <c r="M13" s="7">
        <v>54.61</v>
      </c>
      <c r="N13" s="7">
        <v>1881.87</v>
      </c>
      <c r="O13" t="s">
        <v>20</v>
      </c>
    </row>
    <row r="14" spans="1:17" x14ac:dyDescent="0.3">
      <c r="A14" t="s">
        <v>39</v>
      </c>
      <c r="B14" t="s">
        <v>15</v>
      </c>
      <c r="C14">
        <v>33</v>
      </c>
      <c r="D14" t="s">
        <v>20</v>
      </c>
      <c r="E14">
        <v>48</v>
      </c>
      <c r="F14" t="str">
        <f t="shared" si="0"/>
        <v>25-48 Months</v>
      </c>
      <c r="G14" t="s">
        <v>17</v>
      </c>
      <c r="H14" t="s">
        <v>18</v>
      </c>
      <c r="I14" t="s">
        <v>19</v>
      </c>
      <c r="J14" t="s">
        <v>20</v>
      </c>
      <c r="K14" t="s">
        <v>20</v>
      </c>
      <c r="L14">
        <v>6</v>
      </c>
      <c r="M14" s="7">
        <v>85.56</v>
      </c>
      <c r="N14" s="7">
        <v>4021.73</v>
      </c>
      <c r="O14" t="s">
        <v>20</v>
      </c>
      <c r="Q14" t="str">
        <f>TRIM(Q19)</f>
        <v/>
      </c>
    </row>
    <row r="15" spans="1:17" x14ac:dyDescent="0.3">
      <c r="A15" t="s">
        <v>40</v>
      </c>
      <c r="B15" t="s">
        <v>15</v>
      </c>
      <c r="C15">
        <v>23</v>
      </c>
      <c r="D15" t="s">
        <v>20</v>
      </c>
      <c r="E15">
        <v>4</v>
      </c>
      <c r="F15" t="str">
        <f t="shared" si="0"/>
        <v>0-6 Months</v>
      </c>
      <c r="G15" t="s">
        <v>23</v>
      </c>
      <c r="H15" t="s">
        <v>36</v>
      </c>
      <c r="I15" t="s">
        <v>24</v>
      </c>
      <c r="J15" t="s">
        <v>20</v>
      </c>
      <c r="K15" t="s">
        <v>16</v>
      </c>
      <c r="L15">
        <v>4</v>
      </c>
      <c r="M15" s="7">
        <v>62.61</v>
      </c>
      <c r="N15" s="7">
        <v>268.75</v>
      </c>
      <c r="O15" t="s">
        <v>20</v>
      </c>
    </row>
    <row r="16" spans="1:17" x14ac:dyDescent="0.3">
      <c r="A16" t="s">
        <v>41</v>
      </c>
      <c r="B16" t="s">
        <v>22</v>
      </c>
      <c r="C16">
        <v>25</v>
      </c>
      <c r="D16" t="s">
        <v>20</v>
      </c>
      <c r="E16">
        <v>70</v>
      </c>
      <c r="F16" t="str">
        <f t="shared" si="0"/>
        <v>49+ Months</v>
      </c>
      <c r="G16" t="s">
        <v>17</v>
      </c>
      <c r="H16" t="s">
        <v>18</v>
      </c>
      <c r="I16" t="s">
        <v>19</v>
      </c>
      <c r="J16" t="s">
        <v>20</v>
      </c>
      <c r="K16" t="s">
        <v>16</v>
      </c>
      <c r="L16">
        <v>4</v>
      </c>
      <c r="M16" s="7">
        <v>80.89</v>
      </c>
      <c r="N16" s="7">
        <v>5931.39</v>
      </c>
      <c r="O16" t="s">
        <v>20</v>
      </c>
    </row>
    <row r="17" spans="1:17" x14ac:dyDescent="0.3">
      <c r="A17" t="s">
        <v>42</v>
      </c>
      <c r="B17" t="s">
        <v>15</v>
      </c>
      <c r="C17">
        <v>42</v>
      </c>
      <c r="D17" t="s">
        <v>20</v>
      </c>
      <c r="E17">
        <v>19</v>
      </c>
      <c r="F17" t="str">
        <f t="shared" si="0"/>
        <v>13-24 Months</v>
      </c>
      <c r="G17" t="s">
        <v>17</v>
      </c>
      <c r="H17" t="s">
        <v>36</v>
      </c>
      <c r="I17" t="s">
        <v>19</v>
      </c>
      <c r="J17" t="s">
        <v>20</v>
      </c>
      <c r="K17" t="s">
        <v>16</v>
      </c>
      <c r="L17">
        <v>4</v>
      </c>
      <c r="M17" s="7">
        <v>60.39</v>
      </c>
      <c r="N17" s="7">
        <v>1136.78</v>
      </c>
      <c r="O17" t="s">
        <v>20</v>
      </c>
    </row>
    <row r="18" spans="1:17" x14ac:dyDescent="0.3">
      <c r="A18" t="s">
        <v>43</v>
      </c>
      <c r="B18" t="s">
        <v>22</v>
      </c>
      <c r="C18">
        <v>35</v>
      </c>
      <c r="D18" t="s">
        <v>20</v>
      </c>
      <c r="E18">
        <v>32</v>
      </c>
      <c r="F18" t="str">
        <f t="shared" si="0"/>
        <v>25-48 Months</v>
      </c>
      <c r="G18" t="s">
        <v>35</v>
      </c>
      <c r="H18" t="s">
        <v>18</v>
      </c>
      <c r="I18" t="s">
        <v>30</v>
      </c>
      <c r="J18" t="s">
        <v>20</v>
      </c>
      <c r="K18" t="s">
        <v>20</v>
      </c>
      <c r="L18">
        <v>7</v>
      </c>
      <c r="M18" s="7">
        <v>97.77</v>
      </c>
      <c r="N18" s="7">
        <v>3149.6</v>
      </c>
      <c r="O18" t="s">
        <v>16</v>
      </c>
    </row>
    <row r="19" spans="1:17" x14ac:dyDescent="0.3">
      <c r="A19" t="s">
        <v>44</v>
      </c>
      <c r="B19" t="s">
        <v>22</v>
      </c>
      <c r="C19">
        <v>42</v>
      </c>
      <c r="D19" t="s">
        <v>20</v>
      </c>
      <c r="E19">
        <v>9</v>
      </c>
      <c r="F19" t="str">
        <f t="shared" si="0"/>
        <v>7-12 Months</v>
      </c>
      <c r="G19" t="s">
        <v>17</v>
      </c>
      <c r="H19" t="s">
        <v>20</v>
      </c>
      <c r="I19" t="s">
        <v>24</v>
      </c>
      <c r="J19" t="s">
        <v>20</v>
      </c>
      <c r="K19" t="s">
        <v>16</v>
      </c>
      <c r="L19">
        <v>1</v>
      </c>
      <c r="M19" s="7">
        <v>25.99</v>
      </c>
      <c r="N19" s="7">
        <v>237.93</v>
      </c>
      <c r="O19" t="s">
        <v>20</v>
      </c>
    </row>
    <row r="20" spans="1:17" x14ac:dyDescent="0.3">
      <c r="A20" t="s">
        <v>45</v>
      </c>
      <c r="B20" t="s">
        <v>22</v>
      </c>
      <c r="C20">
        <v>29</v>
      </c>
      <c r="D20" t="s">
        <v>20</v>
      </c>
      <c r="E20">
        <v>12</v>
      </c>
      <c r="F20" t="str">
        <f t="shared" si="0"/>
        <v>7-12 Months</v>
      </c>
      <c r="G20" t="s">
        <v>17</v>
      </c>
      <c r="H20" t="s">
        <v>36</v>
      </c>
      <c r="I20" t="s">
        <v>19</v>
      </c>
      <c r="J20" t="s">
        <v>20</v>
      </c>
      <c r="K20" t="s">
        <v>20</v>
      </c>
      <c r="L20">
        <v>4</v>
      </c>
      <c r="M20" s="7">
        <v>62.77</v>
      </c>
      <c r="N20" s="7">
        <v>773.22</v>
      </c>
      <c r="O20" t="s">
        <v>20</v>
      </c>
    </row>
    <row r="21" spans="1:17" x14ac:dyDescent="0.3">
      <c r="A21" t="s">
        <v>46</v>
      </c>
      <c r="B21" t="s">
        <v>15</v>
      </c>
      <c r="C21">
        <v>32</v>
      </c>
      <c r="D21" t="s">
        <v>20</v>
      </c>
      <c r="E21">
        <v>11</v>
      </c>
      <c r="F21" t="str">
        <f t="shared" si="0"/>
        <v>7-12 Months</v>
      </c>
      <c r="G21" t="s">
        <v>35</v>
      </c>
      <c r="H21" t="s">
        <v>36</v>
      </c>
      <c r="I21" t="s">
        <v>30</v>
      </c>
      <c r="J21" t="s">
        <v>16</v>
      </c>
      <c r="K21" t="s">
        <v>16</v>
      </c>
      <c r="L21">
        <v>6</v>
      </c>
      <c r="M21" s="7">
        <v>68.97</v>
      </c>
      <c r="N21" s="7">
        <v>707.29</v>
      </c>
      <c r="O21" t="s">
        <v>20</v>
      </c>
    </row>
    <row r="22" spans="1:17" x14ac:dyDescent="0.3">
      <c r="A22" t="s">
        <v>47</v>
      </c>
      <c r="B22" t="s">
        <v>22</v>
      </c>
      <c r="C22">
        <v>43</v>
      </c>
      <c r="D22" t="s">
        <v>20</v>
      </c>
      <c r="E22">
        <v>46</v>
      </c>
      <c r="F22" t="str">
        <f t="shared" si="0"/>
        <v>25-48 Months</v>
      </c>
      <c r="G22" t="s">
        <v>17</v>
      </c>
      <c r="H22" t="s">
        <v>18</v>
      </c>
      <c r="I22" t="s">
        <v>19</v>
      </c>
      <c r="J22" t="s">
        <v>20</v>
      </c>
      <c r="K22" t="s">
        <v>20</v>
      </c>
      <c r="L22">
        <v>5</v>
      </c>
      <c r="M22" s="7">
        <v>83.8</v>
      </c>
      <c r="N22" s="7">
        <v>4122.22</v>
      </c>
      <c r="O22" t="s">
        <v>16</v>
      </c>
    </row>
    <row r="23" spans="1:17" x14ac:dyDescent="0.3">
      <c r="A23" t="s">
        <v>48</v>
      </c>
      <c r="B23" t="s">
        <v>15</v>
      </c>
      <c r="C23">
        <v>58</v>
      </c>
      <c r="D23" t="s">
        <v>20</v>
      </c>
      <c r="E23">
        <v>16</v>
      </c>
      <c r="F23" t="str">
        <f t="shared" si="0"/>
        <v>13-24 Months</v>
      </c>
      <c r="G23" t="s">
        <v>17</v>
      </c>
      <c r="H23" t="s">
        <v>18</v>
      </c>
      <c r="I23" t="s">
        <v>30</v>
      </c>
      <c r="J23" t="s">
        <v>20</v>
      </c>
      <c r="K23" t="s">
        <v>20</v>
      </c>
      <c r="L23">
        <v>1</v>
      </c>
      <c r="M23" s="7">
        <v>66.540000000000006</v>
      </c>
      <c r="N23" s="7">
        <v>1081.1600000000001</v>
      </c>
      <c r="O23" t="s">
        <v>20</v>
      </c>
    </row>
    <row r="24" spans="1:17" x14ac:dyDescent="0.3">
      <c r="A24" t="s">
        <v>49</v>
      </c>
      <c r="B24" t="s">
        <v>22</v>
      </c>
      <c r="C24">
        <v>62</v>
      </c>
      <c r="D24" t="s">
        <v>16</v>
      </c>
      <c r="E24">
        <v>1</v>
      </c>
      <c r="F24" t="str">
        <f t="shared" si="0"/>
        <v>0-6 Months</v>
      </c>
      <c r="G24" t="s">
        <v>17</v>
      </c>
      <c r="H24" t="s">
        <v>18</v>
      </c>
      <c r="I24" t="s">
        <v>19</v>
      </c>
      <c r="J24" t="s">
        <v>16</v>
      </c>
      <c r="K24" t="s">
        <v>20</v>
      </c>
      <c r="L24">
        <v>5</v>
      </c>
      <c r="M24" s="7">
        <v>74.099999999999994</v>
      </c>
      <c r="N24" s="7">
        <v>79.209999999999994</v>
      </c>
      <c r="O24" t="s">
        <v>16</v>
      </c>
    </row>
    <row r="25" spans="1:17" x14ac:dyDescent="0.3">
      <c r="A25" t="s">
        <v>50</v>
      </c>
      <c r="B25" t="s">
        <v>22</v>
      </c>
      <c r="C25">
        <v>43</v>
      </c>
      <c r="D25" t="s">
        <v>20</v>
      </c>
      <c r="E25">
        <v>63</v>
      </c>
      <c r="F25" t="str">
        <f t="shared" si="0"/>
        <v>49+ Months</v>
      </c>
      <c r="G25" t="s">
        <v>17</v>
      </c>
      <c r="H25" t="s">
        <v>20</v>
      </c>
      <c r="I25" t="s">
        <v>27</v>
      </c>
      <c r="J25" t="s">
        <v>16</v>
      </c>
      <c r="K25" t="s">
        <v>20</v>
      </c>
      <c r="L25">
        <v>1</v>
      </c>
      <c r="M25" s="7">
        <v>27.22</v>
      </c>
      <c r="N25" s="7">
        <v>1751.05</v>
      </c>
      <c r="O25" t="s">
        <v>20</v>
      </c>
    </row>
    <row r="26" spans="1:17" x14ac:dyDescent="0.3">
      <c r="A26" t="s">
        <v>51</v>
      </c>
      <c r="B26" t="s">
        <v>22</v>
      </c>
      <c r="C26">
        <v>64</v>
      </c>
      <c r="D26" t="s">
        <v>16</v>
      </c>
      <c r="E26">
        <v>21</v>
      </c>
      <c r="F26" t="str">
        <f t="shared" si="0"/>
        <v>13-24 Months</v>
      </c>
      <c r="G26" t="s">
        <v>17</v>
      </c>
      <c r="H26" t="s">
        <v>20</v>
      </c>
      <c r="I26" t="s">
        <v>19</v>
      </c>
      <c r="J26" t="s">
        <v>20</v>
      </c>
      <c r="K26" t="s">
        <v>20</v>
      </c>
      <c r="L26">
        <v>3</v>
      </c>
      <c r="M26" s="7">
        <v>35.67</v>
      </c>
      <c r="N26" s="7">
        <v>740.8</v>
      </c>
      <c r="O26" t="s">
        <v>16</v>
      </c>
    </row>
    <row r="27" spans="1:17" x14ac:dyDescent="0.3">
      <c r="A27" t="s">
        <v>52</v>
      </c>
      <c r="B27" t="s">
        <v>22</v>
      </c>
      <c r="C27">
        <v>49</v>
      </c>
      <c r="D27" t="s">
        <v>20</v>
      </c>
      <c r="E27">
        <v>30</v>
      </c>
      <c r="F27" t="str">
        <f t="shared" si="0"/>
        <v>25-48 Months</v>
      </c>
      <c r="G27" t="s">
        <v>17</v>
      </c>
      <c r="H27" t="s">
        <v>18</v>
      </c>
      <c r="I27" t="s">
        <v>30</v>
      </c>
      <c r="J27" t="s">
        <v>16</v>
      </c>
      <c r="K27" t="s">
        <v>20</v>
      </c>
      <c r="L27">
        <v>4</v>
      </c>
      <c r="M27" s="7">
        <v>73.94</v>
      </c>
      <c r="N27" s="7">
        <v>2241.9499999999998</v>
      </c>
      <c r="O27" t="s">
        <v>20</v>
      </c>
    </row>
    <row r="28" spans="1:17" x14ac:dyDescent="0.3">
      <c r="A28" t="s">
        <v>53</v>
      </c>
      <c r="B28" t="s">
        <v>22</v>
      </c>
      <c r="C28">
        <v>27</v>
      </c>
      <c r="D28" t="s">
        <v>20</v>
      </c>
      <c r="E28">
        <v>13</v>
      </c>
      <c r="F28" t="str">
        <f t="shared" si="0"/>
        <v>13-24 Months</v>
      </c>
      <c r="G28" t="s">
        <v>17</v>
      </c>
      <c r="H28" t="s">
        <v>36</v>
      </c>
      <c r="I28" t="s">
        <v>27</v>
      </c>
      <c r="J28" t="s">
        <v>16</v>
      </c>
      <c r="K28" t="s">
        <v>20</v>
      </c>
      <c r="L28">
        <v>6</v>
      </c>
      <c r="M28" s="7">
        <v>57.49</v>
      </c>
      <c r="N28" s="7">
        <v>786.77</v>
      </c>
      <c r="O28" t="s">
        <v>20</v>
      </c>
    </row>
    <row r="29" spans="1:17" x14ac:dyDescent="0.3">
      <c r="A29" t="s">
        <v>54</v>
      </c>
      <c r="B29" t="s">
        <v>22</v>
      </c>
      <c r="C29">
        <v>33</v>
      </c>
      <c r="D29" t="s">
        <v>20</v>
      </c>
      <c r="E29">
        <v>34</v>
      </c>
      <c r="F29" t="str">
        <f t="shared" si="0"/>
        <v>25-48 Months</v>
      </c>
      <c r="G29" t="s">
        <v>17</v>
      </c>
      <c r="H29" t="s">
        <v>36</v>
      </c>
      <c r="I29" t="s">
        <v>24</v>
      </c>
      <c r="J29" t="s">
        <v>20</v>
      </c>
      <c r="K29" t="s">
        <v>20</v>
      </c>
      <c r="L29">
        <v>3</v>
      </c>
      <c r="M29" s="7">
        <v>51.1</v>
      </c>
      <c r="N29" s="7">
        <v>1689.07</v>
      </c>
      <c r="O29" t="s">
        <v>20</v>
      </c>
    </row>
    <row r="30" spans="1:17" x14ac:dyDescent="0.3">
      <c r="A30" t="s">
        <v>55</v>
      </c>
      <c r="B30" t="s">
        <v>22</v>
      </c>
      <c r="C30">
        <v>24</v>
      </c>
      <c r="D30" t="s">
        <v>20</v>
      </c>
      <c r="E30">
        <v>4</v>
      </c>
      <c r="F30" t="str">
        <f t="shared" si="0"/>
        <v>0-6 Months</v>
      </c>
      <c r="G30" t="s">
        <v>23</v>
      </c>
      <c r="H30" t="s">
        <v>36</v>
      </c>
      <c r="I30" t="s">
        <v>24</v>
      </c>
      <c r="J30" t="s">
        <v>20</v>
      </c>
      <c r="K30" t="s">
        <v>16</v>
      </c>
      <c r="L30">
        <v>7</v>
      </c>
      <c r="M30" s="7">
        <v>67.69</v>
      </c>
      <c r="N30" s="7">
        <v>290.52999999999997</v>
      </c>
      <c r="O30" t="s">
        <v>20</v>
      </c>
      <c r="Q30" t="str">
        <f>IF(E2&lt;=6,"0-6 Months",
 IF(E2&lt;=12,"7-12 Months",
 IF(E2&lt;=24,"13-24 Months",
 IF(E2&lt;=48,"25-48 Months","49+ Months"))))</f>
        <v>49+ Months</v>
      </c>
    </row>
    <row r="31" spans="1:17" x14ac:dyDescent="0.3">
      <c r="A31" t="s">
        <v>56</v>
      </c>
      <c r="B31" t="s">
        <v>22</v>
      </c>
      <c r="C31">
        <v>34</v>
      </c>
      <c r="D31" t="s">
        <v>20</v>
      </c>
      <c r="E31">
        <v>28</v>
      </c>
      <c r="F31" t="str">
        <f t="shared" si="0"/>
        <v>25-48 Months</v>
      </c>
      <c r="G31" t="s">
        <v>17</v>
      </c>
      <c r="H31" t="s">
        <v>18</v>
      </c>
      <c r="I31" t="s">
        <v>30</v>
      </c>
      <c r="J31" t="s">
        <v>20</v>
      </c>
      <c r="K31" t="s">
        <v>20</v>
      </c>
      <c r="L31">
        <v>1</v>
      </c>
      <c r="M31" s="7">
        <v>57.62</v>
      </c>
      <c r="N31" s="7">
        <v>1604.57</v>
      </c>
      <c r="O31" t="s">
        <v>16</v>
      </c>
    </row>
    <row r="32" spans="1:17" x14ac:dyDescent="0.3">
      <c r="A32" t="s">
        <v>57</v>
      </c>
      <c r="B32" t="s">
        <v>15</v>
      </c>
      <c r="C32">
        <v>40</v>
      </c>
      <c r="D32" t="s">
        <v>20</v>
      </c>
      <c r="E32">
        <v>59</v>
      </c>
      <c r="F32" t="str">
        <f t="shared" si="0"/>
        <v>49+ Months</v>
      </c>
      <c r="G32" t="s">
        <v>17</v>
      </c>
      <c r="H32" t="s">
        <v>18</v>
      </c>
      <c r="I32" t="s">
        <v>19</v>
      </c>
      <c r="J32" t="s">
        <v>20</v>
      </c>
      <c r="K32" t="s">
        <v>16</v>
      </c>
      <c r="L32">
        <v>3</v>
      </c>
      <c r="M32" s="7">
        <v>65.61</v>
      </c>
      <c r="N32" s="7">
        <v>4153.5600000000004</v>
      </c>
      <c r="O32" t="s">
        <v>16</v>
      </c>
    </row>
    <row r="33" spans="1:15" x14ac:dyDescent="0.3">
      <c r="A33" t="s">
        <v>58</v>
      </c>
      <c r="B33" t="s">
        <v>15</v>
      </c>
      <c r="C33">
        <v>43</v>
      </c>
      <c r="D33" t="s">
        <v>20</v>
      </c>
      <c r="E33">
        <v>27</v>
      </c>
      <c r="F33" t="str">
        <f t="shared" si="0"/>
        <v>25-48 Months</v>
      </c>
      <c r="G33" t="s">
        <v>35</v>
      </c>
      <c r="H33" t="s">
        <v>18</v>
      </c>
      <c r="I33" t="s">
        <v>27</v>
      </c>
      <c r="J33" t="s">
        <v>20</v>
      </c>
      <c r="K33" t="s">
        <v>20</v>
      </c>
      <c r="L33">
        <v>4</v>
      </c>
      <c r="M33" s="7">
        <v>64.36</v>
      </c>
      <c r="N33" s="7">
        <v>1843.58</v>
      </c>
      <c r="O33" t="s">
        <v>20</v>
      </c>
    </row>
    <row r="34" spans="1:15" x14ac:dyDescent="0.3">
      <c r="A34" t="s">
        <v>59</v>
      </c>
      <c r="B34" t="s">
        <v>22</v>
      </c>
      <c r="C34">
        <v>38</v>
      </c>
      <c r="D34" t="s">
        <v>20</v>
      </c>
      <c r="E34">
        <v>69</v>
      </c>
      <c r="F34" t="str">
        <f t="shared" si="0"/>
        <v>49+ Months</v>
      </c>
      <c r="G34" t="s">
        <v>23</v>
      </c>
      <c r="H34" t="s">
        <v>20</v>
      </c>
      <c r="I34" t="s">
        <v>27</v>
      </c>
      <c r="J34" t="s">
        <v>20</v>
      </c>
      <c r="K34" t="s">
        <v>20</v>
      </c>
      <c r="L34">
        <v>4</v>
      </c>
      <c r="M34" s="7">
        <v>43.07</v>
      </c>
      <c r="N34" s="7">
        <v>3099.1</v>
      </c>
      <c r="O34" t="s">
        <v>20</v>
      </c>
    </row>
    <row r="35" spans="1:15" x14ac:dyDescent="0.3">
      <c r="A35" t="s">
        <v>60</v>
      </c>
      <c r="B35" t="s">
        <v>22</v>
      </c>
      <c r="C35">
        <v>39</v>
      </c>
      <c r="D35" t="s">
        <v>20</v>
      </c>
      <c r="E35">
        <v>25</v>
      </c>
      <c r="F35" t="str">
        <f t="shared" si="0"/>
        <v>25-48 Months</v>
      </c>
      <c r="G35" t="s">
        <v>17</v>
      </c>
      <c r="H35" t="s">
        <v>36</v>
      </c>
      <c r="I35" t="s">
        <v>19</v>
      </c>
      <c r="J35" t="s">
        <v>16</v>
      </c>
      <c r="K35" t="s">
        <v>20</v>
      </c>
      <c r="L35">
        <v>1</v>
      </c>
      <c r="M35" s="7">
        <v>53.85</v>
      </c>
      <c r="N35" s="7">
        <v>1339.24</v>
      </c>
      <c r="O35" t="s">
        <v>20</v>
      </c>
    </row>
    <row r="36" spans="1:15" x14ac:dyDescent="0.3">
      <c r="A36" t="s">
        <v>61</v>
      </c>
      <c r="B36" t="s">
        <v>22</v>
      </c>
      <c r="C36">
        <v>75</v>
      </c>
      <c r="D36" t="s">
        <v>16</v>
      </c>
      <c r="E36">
        <v>3</v>
      </c>
      <c r="F36" t="str">
        <f t="shared" si="0"/>
        <v>0-6 Months</v>
      </c>
      <c r="G36" t="s">
        <v>35</v>
      </c>
      <c r="H36" t="s">
        <v>36</v>
      </c>
      <c r="I36" t="s">
        <v>19</v>
      </c>
      <c r="J36" t="s">
        <v>20</v>
      </c>
      <c r="K36" t="s">
        <v>20</v>
      </c>
      <c r="L36">
        <v>3</v>
      </c>
      <c r="M36" s="7">
        <v>55.11</v>
      </c>
      <c r="N36" s="7">
        <v>167.63</v>
      </c>
      <c r="O36" t="s">
        <v>20</v>
      </c>
    </row>
    <row r="37" spans="1:15" x14ac:dyDescent="0.3">
      <c r="A37" t="s">
        <v>62</v>
      </c>
      <c r="B37" t="s">
        <v>15</v>
      </c>
      <c r="C37">
        <v>24</v>
      </c>
      <c r="D37" t="s">
        <v>20</v>
      </c>
      <c r="E37">
        <v>68</v>
      </c>
      <c r="F37" t="str">
        <f t="shared" si="0"/>
        <v>49+ Months</v>
      </c>
      <c r="G37" t="s">
        <v>17</v>
      </c>
      <c r="H37" t="s">
        <v>20</v>
      </c>
      <c r="I37" t="s">
        <v>19</v>
      </c>
      <c r="J37" t="s">
        <v>20</v>
      </c>
      <c r="K37" t="s">
        <v>20</v>
      </c>
      <c r="L37">
        <v>1</v>
      </c>
      <c r="M37" s="7">
        <v>26.17</v>
      </c>
      <c r="N37" s="7">
        <v>1875.81</v>
      </c>
      <c r="O37" t="s">
        <v>20</v>
      </c>
    </row>
    <row r="38" spans="1:15" x14ac:dyDescent="0.3">
      <c r="A38" t="s">
        <v>63</v>
      </c>
      <c r="B38" t="s">
        <v>22</v>
      </c>
      <c r="C38">
        <v>31</v>
      </c>
      <c r="D38" t="s">
        <v>20</v>
      </c>
      <c r="E38">
        <v>25</v>
      </c>
      <c r="F38" t="str">
        <f t="shared" si="0"/>
        <v>25-48 Months</v>
      </c>
      <c r="G38" t="s">
        <v>17</v>
      </c>
      <c r="H38" t="s">
        <v>36</v>
      </c>
      <c r="I38" t="s">
        <v>24</v>
      </c>
      <c r="J38" t="s">
        <v>20</v>
      </c>
      <c r="K38" t="s">
        <v>20</v>
      </c>
      <c r="L38">
        <v>3</v>
      </c>
      <c r="M38" s="7">
        <v>45.27</v>
      </c>
      <c r="N38" s="7">
        <v>1139.73</v>
      </c>
      <c r="O38" t="s">
        <v>20</v>
      </c>
    </row>
    <row r="39" spans="1:15" x14ac:dyDescent="0.3">
      <c r="A39" t="s">
        <v>64</v>
      </c>
      <c r="B39" t="s">
        <v>15</v>
      </c>
      <c r="C39">
        <v>32</v>
      </c>
      <c r="D39" t="s">
        <v>20</v>
      </c>
      <c r="E39">
        <v>20</v>
      </c>
      <c r="F39" t="str">
        <f t="shared" si="0"/>
        <v>13-24 Months</v>
      </c>
      <c r="G39" t="s">
        <v>23</v>
      </c>
      <c r="H39" t="s">
        <v>20</v>
      </c>
      <c r="I39" t="s">
        <v>27</v>
      </c>
      <c r="J39" t="s">
        <v>20</v>
      </c>
      <c r="K39" t="s">
        <v>20</v>
      </c>
      <c r="L39">
        <v>4</v>
      </c>
      <c r="M39" s="7">
        <v>25.57</v>
      </c>
      <c r="N39" s="7">
        <v>530.89</v>
      </c>
      <c r="O39" t="s">
        <v>20</v>
      </c>
    </row>
    <row r="40" spans="1:15" x14ac:dyDescent="0.3">
      <c r="A40" t="s">
        <v>65</v>
      </c>
      <c r="B40" t="s">
        <v>15</v>
      </c>
      <c r="C40">
        <v>70</v>
      </c>
      <c r="D40" t="s">
        <v>16</v>
      </c>
      <c r="E40">
        <v>34</v>
      </c>
      <c r="F40" t="str">
        <f t="shared" si="0"/>
        <v>25-48 Months</v>
      </c>
      <c r="G40" t="s">
        <v>17</v>
      </c>
      <c r="H40" t="s">
        <v>36</v>
      </c>
      <c r="I40" t="s">
        <v>30</v>
      </c>
      <c r="J40" t="s">
        <v>20</v>
      </c>
      <c r="K40" t="s">
        <v>16</v>
      </c>
      <c r="L40">
        <v>2</v>
      </c>
      <c r="M40" s="7">
        <v>50.77</v>
      </c>
      <c r="N40" s="7">
        <v>1806.46</v>
      </c>
      <c r="O40" t="s">
        <v>20</v>
      </c>
    </row>
    <row r="41" spans="1:15" x14ac:dyDescent="0.3">
      <c r="A41" t="s">
        <v>66</v>
      </c>
      <c r="B41" t="s">
        <v>15</v>
      </c>
      <c r="C41">
        <v>24</v>
      </c>
      <c r="D41" t="s">
        <v>20</v>
      </c>
      <c r="E41">
        <v>26</v>
      </c>
      <c r="F41" t="str">
        <f t="shared" si="0"/>
        <v>25-48 Months</v>
      </c>
      <c r="G41" t="s">
        <v>17</v>
      </c>
      <c r="H41" t="s">
        <v>18</v>
      </c>
      <c r="I41" t="s">
        <v>19</v>
      </c>
      <c r="J41" t="s">
        <v>20</v>
      </c>
      <c r="K41" t="s">
        <v>20</v>
      </c>
      <c r="L41">
        <v>8</v>
      </c>
      <c r="M41" s="7">
        <v>99.31</v>
      </c>
      <c r="N41" s="7">
        <v>2587.4699999999998</v>
      </c>
      <c r="O41" t="s">
        <v>20</v>
      </c>
    </row>
    <row r="42" spans="1:15" x14ac:dyDescent="0.3">
      <c r="A42" t="s">
        <v>67</v>
      </c>
      <c r="B42" t="s">
        <v>15</v>
      </c>
      <c r="C42">
        <v>26</v>
      </c>
      <c r="D42" t="s">
        <v>20</v>
      </c>
      <c r="E42">
        <v>5</v>
      </c>
      <c r="F42" t="str">
        <f t="shared" si="0"/>
        <v>0-6 Months</v>
      </c>
      <c r="G42" t="s">
        <v>17</v>
      </c>
      <c r="H42" t="s">
        <v>20</v>
      </c>
      <c r="I42" t="s">
        <v>24</v>
      </c>
      <c r="J42" t="s">
        <v>20</v>
      </c>
      <c r="K42" t="s">
        <v>20</v>
      </c>
      <c r="L42">
        <v>6</v>
      </c>
      <c r="M42" s="7">
        <v>43.17</v>
      </c>
      <c r="N42" s="7">
        <v>217.1</v>
      </c>
      <c r="O42" t="s">
        <v>20</v>
      </c>
    </row>
    <row r="43" spans="1:15" x14ac:dyDescent="0.3">
      <c r="A43" t="s">
        <v>68</v>
      </c>
      <c r="B43" t="s">
        <v>15</v>
      </c>
      <c r="C43">
        <v>68</v>
      </c>
      <c r="D43" t="s">
        <v>16</v>
      </c>
      <c r="E43">
        <v>61</v>
      </c>
      <c r="F43" t="str">
        <f t="shared" si="0"/>
        <v>49+ Months</v>
      </c>
      <c r="G43" t="s">
        <v>17</v>
      </c>
      <c r="H43" t="s">
        <v>36</v>
      </c>
      <c r="I43" t="s">
        <v>24</v>
      </c>
      <c r="J43" t="s">
        <v>20</v>
      </c>
      <c r="K43" t="s">
        <v>20</v>
      </c>
      <c r="L43">
        <v>5</v>
      </c>
      <c r="M43" s="7">
        <v>70.39</v>
      </c>
      <c r="N43" s="7">
        <v>4086.2</v>
      </c>
      <c r="O43" t="s">
        <v>20</v>
      </c>
    </row>
    <row r="44" spans="1:15" x14ac:dyDescent="0.3">
      <c r="A44" t="s">
        <v>69</v>
      </c>
      <c r="B44" t="s">
        <v>22</v>
      </c>
      <c r="C44">
        <v>65</v>
      </c>
      <c r="D44" t="s">
        <v>16</v>
      </c>
      <c r="E44">
        <v>9</v>
      </c>
      <c r="F44" t="str">
        <f t="shared" si="0"/>
        <v>7-12 Months</v>
      </c>
      <c r="G44" t="s">
        <v>17</v>
      </c>
      <c r="H44" t="s">
        <v>18</v>
      </c>
      <c r="I44" t="s">
        <v>24</v>
      </c>
      <c r="J44" t="s">
        <v>20</v>
      </c>
      <c r="K44" t="s">
        <v>20</v>
      </c>
      <c r="L44">
        <v>5</v>
      </c>
      <c r="M44" s="7">
        <v>78.180000000000007</v>
      </c>
      <c r="N44" s="7">
        <v>674.88</v>
      </c>
      <c r="O44" t="s">
        <v>16</v>
      </c>
    </row>
    <row r="45" spans="1:15" x14ac:dyDescent="0.3">
      <c r="A45" t="s">
        <v>70</v>
      </c>
      <c r="B45" t="s">
        <v>22</v>
      </c>
      <c r="C45">
        <v>25</v>
      </c>
      <c r="D45" t="s">
        <v>20</v>
      </c>
      <c r="E45">
        <v>50</v>
      </c>
      <c r="F45" t="str">
        <f t="shared" si="0"/>
        <v>49+ Months</v>
      </c>
      <c r="G45" t="s">
        <v>35</v>
      </c>
      <c r="H45" t="s">
        <v>18</v>
      </c>
      <c r="I45" t="s">
        <v>27</v>
      </c>
      <c r="J45" t="s">
        <v>20</v>
      </c>
      <c r="K45" t="s">
        <v>16</v>
      </c>
      <c r="L45">
        <v>3</v>
      </c>
      <c r="M45" s="7">
        <v>82.59</v>
      </c>
      <c r="N45" s="7">
        <v>4397.05</v>
      </c>
      <c r="O45" t="s">
        <v>20</v>
      </c>
    </row>
    <row r="46" spans="1:15" x14ac:dyDescent="0.3">
      <c r="A46" t="s">
        <v>71</v>
      </c>
      <c r="B46" t="s">
        <v>22</v>
      </c>
      <c r="C46">
        <v>67</v>
      </c>
      <c r="D46" t="s">
        <v>16</v>
      </c>
      <c r="E46">
        <v>6</v>
      </c>
      <c r="F46" t="str">
        <f t="shared" si="0"/>
        <v>0-6 Months</v>
      </c>
      <c r="G46" t="s">
        <v>17</v>
      </c>
      <c r="H46" t="s">
        <v>18</v>
      </c>
      <c r="I46" t="s">
        <v>24</v>
      </c>
      <c r="J46" t="s">
        <v>20</v>
      </c>
      <c r="K46" t="s">
        <v>16</v>
      </c>
      <c r="L46">
        <v>4</v>
      </c>
      <c r="M46" s="7">
        <v>73.53</v>
      </c>
      <c r="N46" s="7">
        <v>465.2</v>
      </c>
      <c r="O46" t="s">
        <v>16</v>
      </c>
    </row>
    <row r="47" spans="1:15" x14ac:dyDescent="0.3">
      <c r="A47" t="s">
        <v>72</v>
      </c>
      <c r="B47" t="s">
        <v>22</v>
      </c>
      <c r="C47">
        <v>40</v>
      </c>
      <c r="D47" t="s">
        <v>20</v>
      </c>
      <c r="E47">
        <v>60</v>
      </c>
      <c r="F47" t="str">
        <f t="shared" si="0"/>
        <v>49+ Months</v>
      </c>
      <c r="G47" t="s">
        <v>35</v>
      </c>
      <c r="H47" t="s">
        <v>36</v>
      </c>
      <c r="I47" t="s">
        <v>27</v>
      </c>
      <c r="J47" t="s">
        <v>20</v>
      </c>
      <c r="K47" t="s">
        <v>20</v>
      </c>
      <c r="L47">
        <v>6</v>
      </c>
      <c r="M47" s="7">
        <v>48.36</v>
      </c>
      <c r="N47" s="7">
        <v>2674.17</v>
      </c>
      <c r="O47" t="s">
        <v>20</v>
      </c>
    </row>
    <row r="48" spans="1:15" x14ac:dyDescent="0.3">
      <c r="A48" t="s">
        <v>73</v>
      </c>
      <c r="B48" t="s">
        <v>22</v>
      </c>
      <c r="C48">
        <v>46</v>
      </c>
      <c r="D48" t="s">
        <v>20</v>
      </c>
      <c r="E48">
        <v>44</v>
      </c>
      <c r="F48" t="str">
        <f t="shared" si="0"/>
        <v>25-48 Months</v>
      </c>
      <c r="G48" t="s">
        <v>23</v>
      </c>
      <c r="H48" t="s">
        <v>20</v>
      </c>
      <c r="I48" t="s">
        <v>30</v>
      </c>
      <c r="J48" t="s">
        <v>16</v>
      </c>
      <c r="K48" t="s">
        <v>20</v>
      </c>
      <c r="L48">
        <v>4</v>
      </c>
      <c r="M48" s="7">
        <v>45.38</v>
      </c>
      <c r="N48" s="7">
        <v>2114.73</v>
      </c>
      <c r="O48" t="s">
        <v>20</v>
      </c>
    </row>
    <row r="49" spans="1:15" x14ac:dyDescent="0.3">
      <c r="A49" t="s">
        <v>74</v>
      </c>
      <c r="B49" t="s">
        <v>15</v>
      </c>
      <c r="C49">
        <v>35</v>
      </c>
      <c r="D49" t="s">
        <v>20</v>
      </c>
      <c r="E49">
        <v>11</v>
      </c>
      <c r="F49" t="str">
        <f t="shared" si="0"/>
        <v>7-12 Months</v>
      </c>
      <c r="G49" t="s">
        <v>35</v>
      </c>
      <c r="H49" t="s">
        <v>20</v>
      </c>
      <c r="I49" t="s">
        <v>30</v>
      </c>
      <c r="J49" t="s">
        <v>16</v>
      </c>
      <c r="K49" t="s">
        <v>20</v>
      </c>
      <c r="L49">
        <v>3</v>
      </c>
      <c r="M49" s="7">
        <v>30.54</v>
      </c>
      <c r="N49" s="7">
        <v>310.42</v>
      </c>
      <c r="O49" t="s">
        <v>20</v>
      </c>
    </row>
    <row r="50" spans="1:15" x14ac:dyDescent="0.3">
      <c r="A50" t="s">
        <v>75</v>
      </c>
      <c r="B50" t="s">
        <v>22</v>
      </c>
      <c r="C50">
        <v>48</v>
      </c>
      <c r="D50" t="s">
        <v>20</v>
      </c>
      <c r="E50">
        <v>66</v>
      </c>
      <c r="F50" t="str">
        <f t="shared" si="0"/>
        <v>49+ Months</v>
      </c>
      <c r="G50" t="s">
        <v>23</v>
      </c>
      <c r="H50" t="s">
        <v>20</v>
      </c>
      <c r="I50" t="s">
        <v>19</v>
      </c>
      <c r="J50" t="s">
        <v>20</v>
      </c>
      <c r="K50" t="s">
        <v>20</v>
      </c>
      <c r="L50">
        <v>1</v>
      </c>
      <c r="M50" s="7">
        <v>20</v>
      </c>
      <c r="N50" s="7">
        <v>1311.19</v>
      </c>
      <c r="O50" t="s">
        <v>20</v>
      </c>
    </row>
    <row r="51" spans="1:15" x14ac:dyDescent="0.3">
      <c r="A51" t="s">
        <v>76</v>
      </c>
      <c r="B51" t="s">
        <v>22</v>
      </c>
      <c r="C51">
        <v>47</v>
      </c>
      <c r="D51" t="s">
        <v>20</v>
      </c>
      <c r="E51">
        <v>47</v>
      </c>
      <c r="F51" t="str">
        <f t="shared" si="0"/>
        <v>25-48 Months</v>
      </c>
      <c r="G51" t="s">
        <v>23</v>
      </c>
      <c r="H51" t="s">
        <v>18</v>
      </c>
      <c r="I51" t="s">
        <v>30</v>
      </c>
      <c r="J51" t="s">
        <v>20</v>
      </c>
      <c r="K51" t="s">
        <v>20</v>
      </c>
      <c r="L51">
        <v>4</v>
      </c>
      <c r="M51" s="7">
        <v>82.37</v>
      </c>
      <c r="N51" s="7">
        <v>3603.45</v>
      </c>
      <c r="O51" t="s">
        <v>20</v>
      </c>
    </row>
    <row r="52" spans="1:15" x14ac:dyDescent="0.3">
      <c r="A52" t="s">
        <v>77</v>
      </c>
      <c r="B52" t="s">
        <v>15</v>
      </c>
      <c r="C52">
        <v>69</v>
      </c>
      <c r="D52" t="s">
        <v>16</v>
      </c>
      <c r="E52">
        <v>3</v>
      </c>
      <c r="F52" t="str">
        <f t="shared" si="0"/>
        <v>0-6 Months</v>
      </c>
      <c r="G52" t="s">
        <v>17</v>
      </c>
      <c r="H52" t="s">
        <v>18</v>
      </c>
      <c r="I52" t="s">
        <v>30</v>
      </c>
      <c r="J52" t="s">
        <v>16</v>
      </c>
      <c r="K52" t="s">
        <v>16</v>
      </c>
      <c r="L52">
        <v>5</v>
      </c>
      <c r="M52" s="7">
        <v>76.77</v>
      </c>
      <c r="N52" s="7">
        <v>247.59</v>
      </c>
      <c r="O52" t="s">
        <v>20</v>
      </c>
    </row>
    <row r="53" spans="1:15" x14ac:dyDescent="0.3">
      <c r="A53" t="s">
        <v>78</v>
      </c>
      <c r="B53" t="s">
        <v>22</v>
      </c>
      <c r="C53">
        <v>56</v>
      </c>
      <c r="D53" t="s">
        <v>20</v>
      </c>
      <c r="E53">
        <v>30</v>
      </c>
      <c r="F53" t="str">
        <f t="shared" si="0"/>
        <v>25-48 Months</v>
      </c>
      <c r="G53" t="s">
        <v>17</v>
      </c>
      <c r="H53" t="s">
        <v>18</v>
      </c>
      <c r="I53" t="s">
        <v>27</v>
      </c>
      <c r="J53" t="s">
        <v>16</v>
      </c>
      <c r="K53" t="s">
        <v>16</v>
      </c>
      <c r="L53">
        <v>4</v>
      </c>
      <c r="M53" s="7">
        <v>69.11</v>
      </c>
      <c r="N53" s="7">
        <v>2229.98</v>
      </c>
      <c r="O53" t="s">
        <v>20</v>
      </c>
    </row>
    <row r="54" spans="1:15" x14ac:dyDescent="0.3">
      <c r="A54" t="s">
        <v>79</v>
      </c>
      <c r="B54" t="s">
        <v>15</v>
      </c>
      <c r="C54">
        <v>52</v>
      </c>
      <c r="D54" t="s">
        <v>20</v>
      </c>
      <c r="E54">
        <v>21</v>
      </c>
      <c r="F54" t="str">
        <f t="shared" si="0"/>
        <v>13-24 Months</v>
      </c>
      <c r="G54" t="s">
        <v>17</v>
      </c>
      <c r="H54" t="s">
        <v>20</v>
      </c>
      <c r="I54" t="s">
        <v>19</v>
      </c>
      <c r="J54" t="s">
        <v>20</v>
      </c>
      <c r="K54" t="s">
        <v>16</v>
      </c>
      <c r="L54">
        <v>2</v>
      </c>
      <c r="M54" s="7">
        <v>42.18</v>
      </c>
      <c r="N54" s="7">
        <v>901.49</v>
      </c>
      <c r="O54" t="s">
        <v>16</v>
      </c>
    </row>
    <row r="55" spans="1:15" x14ac:dyDescent="0.3">
      <c r="A55" t="s">
        <v>80</v>
      </c>
      <c r="B55" t="s">
        <v>22</v>
      </c>
      <c r="C55">
        <v>35</v>
      </c>
      <c r="D55" t="s">
        <v>20</v>
      </c>
      <c r="E55">
        <v>28</v>
      </c>
      <c r="F55" t="str">
        <f t="shared" si="0"/>
        <v>25-48 Months</v>
      </c>
      <c r="G55" t="s">
        <v>35</v>
      </c>
      <c r="H55" t="s">
        <v>18</v>
      </c>
      <c r="I55" t="s">
        <v>19</v>
      </c>
      <c r="J55" t="s">
        <v>20</v>
      </c>
      <c r="K55" t="s">
        <v>20</v>
      </c>
      <c r="L55">
        <v>3</v>
      </c>
      <c r="M55" s="7">
        <v>73.569999999999993</v>
      </c>
      <c r="N55" s="7">
        <v>2024.43</v>
      </c>
      <c r="O55" t="s">
        <v>20</v>
      </c>
    </row>
    <row r="56" spans="1:15" x14ac:dyDescent="0.3">
      <c r="A56" t="s">
        <v>81</v>
      </c>
      <c r="B56" t="s">
        <v>15</v>
      </c>
      <c r="C56">
        <v>59</v>
      </c>
      <c r="D56" t="s">
        <v>20</v>
      </c>
      <c r="E56">
        <v>62</v>
      </c>
      <c r="F56" t="str">
        <f t="shared" si="0"/>
        <v>49+ Months</v>
      </c>
      <c r="G56" t="s">
        <v>35</v>
      </c>
      <c r="H56" t="s">
        <v>36</v>
      </c>
      <c r="I56" t="s">
        <v>30</v>
      </c>
      <c r="J56" t="s">
        <v>20</v>
      </c>
      <c r="K56" t="s">
        <v>16</v>
      </c>
      <c r="L56">
        <v>4</v>
      </c>
      <c r="M56" s="7">
        <v>48.95</v>
      </c>
      <c r="N56" s="7">
        <v>3040.72</v>
      </c>
      <c r="O56" t="s">
        <v>20</v>
      </c>
    </row>
    <row r="57" spans="1:15" x14ac:dyDescent="0.3">
      <c r="A57" t="s">
        <v>82</v>
      </c>
      <c r="B57" t="s">
        <v>22</v>
      </c>
      <c r="C57">
        <v>56</v>
      </c>
      <c r="D57" t="s">
        <v>20</v>
      </c>
      <c r="E57">
        <v>33</v>
      </c>
      <c r="F57" t="str">
        <f t="shared" si="0"/>
        <v>25-48 Months</v>
      </c>
      <c r="G57" t="s">
        <v>17</v>
      </c>
      <c r="H57" t="s">
        <v>36</v>
      </c>
      <c r="I57" t="s">
        <v>24</v>
      </c>
      <c r="J57" t="s">
        <v>20</v>
      </c>
      <c r="K57" t="s">
        <v>20</v>
      </c>
      <c r="L57">
        <v>4</v>
      </c>
      <c r="M57" s="7">
        <v>55.76</v>
      </c>
      <c r="N57" s="7">
        <v>1917.3</v>
      </c>
      <c r="O57" t="s">
        <v>20</v>
      </c>
    </row>
    <row r="58" spans="1:15" x14ac:dyDescent="0.3">
      <c r="A58" t="s">
        <v>83</v>
      </c>
      <c r="B58" t="s">
        <v>22</v>
      </c>
      <c r="C58">
        <v>34</v>
      </c>
      <c r="D58" t="s">
        <v>20</v>
      </c>
      <c r="E58">
        <v>35</v>
      </c>
      <c r="F58" t="str">
        <f t="shared" si="0"/>
        <v>25-48 Months</v>
      </c>
      <c r="G58" t="s">
        <v>17</v>
      </c>
      <c r="H58" t="s">
        <v>18</v>
      </c>
      <c r="I58" t="s">
        <v>19</v>
      </c>
      <c r="J58" t="s">
        <v>20</v>
      </c>
      <c r="K58" t="s">
        <v>20</v>
      </c>
      <c r="L58">
        <v>6</v>
      </c>
      <c r="M58" s="7">
        <v>101.93</v>
      </c>
      <c r="N58" s="7">
        <v>3409.55</v>
      </c>
      <c r="O58" t="s">
        <v>20</v>
      </c>
    </row>
    <row r="59" spans="1:15" x14ac:dyDescent="0.3">
      <c r="A59" t="s">
        <v>84</v>
      </c>
      <c r="B59" t="s">
        <v>15</v>
      </c>
      <c r="C59">
        <v>31</v>
      </c>
      <c r="D59" t="s">
        <v>20</v>
      </c>
      <c r="E59">
        <v>52</v>
      </c>
      <c r="F59" t="str">
        <f t="shared" si="0"/>
        <v>49+ Months</v>
      </c>
      <c r="G59" t="s">
        <v>17</v>
      </c>
      <c r="H59" t="s">
        <v>18</v>
      </c>
      <c r="I59" t="s">
        <v>27</v>
      </c>
      <c r="J59" t="s">
        <v>16</v>
      </c>
      <c r="K59" t="s">
        <v>16</v>
      </c>
      <c r="L59">
        <v>2</v>
      </c>
      <c r="M59" s="7">
        <v>71.790000000000006</v>
      </c>
      <c r="N59" s="7">
        <v>3698.27</v>
      </c>
      <c r="O59" t="s">
        <v>20</v>
      </c>
    </row>
    <row r="60" spans="1:15" x14ac:dyDescent="0.3">
      <c r="A60" t="s">
        <v>85</v>
      </c>
      <c r="B60" t="s">
        <v>15</v>
      </c>
      <c r="C60">
        <v>48</v>
      </c>
      <c r="D60" t="s">
        <v>20</v>
      </c>
      <c r="E60">
        <v>34</v>
      </c>
      <c r="F60" t="str">
        <f t="shared" si="0"/>
        <v>25-48 Months</v>
      </c>
      <c r="G60" t="s">
        <v>23</v>
      </c>
      <c r="H60" t="s">
        <v>20</v>
      </c>
      <c r="I60" t="s">
        <v>24</v>
      </c>
      <c r="J60" t="s">
        <v>20</v>
      </c>
      <c r="K60" t="s">
        <v>16</v>
      </c>
      <c r="L60">
        <v>3</v>
      </c>
      <c r="M60" s="7">
        <v>32.51</v>
      </c>
      <c r="N60" s="7">
        <v>1147.3</v>
      </c>
      <c r="O60" t="s">
        <v>20</v>
      </c>
    </row>
    <row r="61" spans="1:15" x14ac:dyDescent="0.3">
      <c r="A61" t="s">
        <v>86</v>
      </c>
      <c r="B61" t="s">
        <v>15</v>
      </c>
      <c r="C61">
        <v>41</v>
      </c>
      <c r="D61" t="s">
        <v>20</v>
      </c>
      <c r="E61">
        <v>41</v>
      </c>
      <c r="F61" t="str">
        <f t="shared" si="0"/>
        <v>25-48 Months</v>
      </c>
      <c r="G61" t="s">
        <v>17</v>
      </c>
      <c r="H61" t="s">
        <v>20</v>
      </c>
      <c r="I61" t="s">
        <v>24</v>
      </c>
      <c r="J61" t="s">
        <v>20</v>
      </c>
      <c r="K61" t="s">
        <v>16</v>
      </c>
      <c r="L61">
        <v>5</v>
      </c>
      <c r="M61" s="7">
        <v>48.51</v>
      </c>
      <c r="N61" s="7">
        <v>1955.62</v>
      </c>
      <c r="O61" t="s">
        <v>16</v>
      </c>
    </row>
    <row r="62" spans="1:15" x14ac:dyDescent="0.3">
      <c r="A62" t="s">
        <v>87</v>
      </c>
      <c r="B62" t="s">
        <v>15</v>
      </c>
      <c r="C62">
        <v>52</v>
      </c>
      <c r="D62" t="s">
        <v>20</v>
      </c>
      <c r="E62">
        <v>51</v>
      </c>
      <c r="F62" t="str">
        <f t="shared" si="0"/>
        <v>49+ Months</v>
      </c>
      <c r="G62" t="s">
        <v>23</v>
      </c>
      <c r="H62" t="s">
        <v>18</v>
      </c>
      <c r="I62" t="s">
        <v>24</v>
      </c>
      <c r="J62" t="s">
        <v>16</v>
      </c>
      <c r="K62" t="s">
        <v>20</v>
      </c>
      <c r="L62">
        <v>4</v>
      </c>
      <c r="M62" s="7">
        <v>75.819999999999993</v>
      </c>
      <c r="N62" s="7">
        <v>3577.27</v>
      </c>
      <c r="O62" t="s">
        <v>20</v>
      </c>
    </row>
    <row r="63" spans="1:15" x14ac:dyDescent="0.3">
      <c r="A63" t="s">
        <v>88</v>
      </c>
      <c r="B63" t="s">
        <v>15</v>
      </c>
      <c r="C63">
        <v>61</v>
      </c>
      <c r="D63" t="s">
        <v>16</v>
      </c>
      <c r="E63">
        <v>47</v>
      </c>
      <c r="F63" t="str">
        <f t="shared" si="0"/>
        <v>25-48 Months</v>
      </c>
      <c r="G63" t="s">
        <v>35</v>
      </c>
      <c r="H63" t="s">
        <v>36</v>
      </c>
      <c r="I63" t="s">
        <v>30</v>
      </c>
      <c r="J63" t="s">
        <v>20</v>
      </c>
      <c r="K63" t="s">
        <v>20</v>
      </c>
      <c r="L63">
        <v>2</v>
      </c>
      <c r="M63" s="7">
        <v>47.43</v>
      </c>
      <c r="N63" s="7">
        <v>2231.85</v>
      </c>
      <c r="O63" t="s">
        <v>16</v>
      </c>
    </row>
    <row r="64" spans="1:15" x14ac:dyDescent="0.3">
      <c r="A64" t="s">
        <v>89</v>
      </c>
      <c r="B64" t="s">
        <v>15</v>
      </c>
      <c r="C64">
        <v>62</v>
      </c>
      <c r="D64" t="s">
        <v>16</v>
      </c>
      <c r="E64">
        <v>58</v>
      </c>
      <c r="F64" t="str">
        <f t="shared" si="0"/>
        <v>49+ Months</v>
      </c>
      <c r="G64" t="s">
        <v>17</v>
      </c>
      <c r="H64" t="s">
        <v>20</v>
      </c>
      <c r="I64" t="s">
        <v>24</v>
      </c>
      <c r="J64" t="s">
        <v>20</v>
      </c>
      <c r="K64" t="s">
        <v>16</v>
      </c>
      <c r="L64">
        <v>2</v>
      </c>
      <c r="M64" s="7">
        <v>28.41</v>
      </c>
      <c r="N64" s="7">
        <v>1710.37</v>
      </c>
      <c r="O64" t="s">
        <v>20</v>
      </c>
    </row>
    <row r="65" spans="1:15" x14ac:dyDescent="0.3">
      <c r="A65" t="s">
        <v>90</v>
      </c>
      <c r="B65" t="s">
        <v>15</v>
      </c>
      <c r="C65">
        <v>51</v>
      </c>
      <c r="D65" t="s">
        <v>20</v>
      </c>
      <c r="E65">
        <v>57</v>
      </c>
      <c r="F65" t="str">
        <f t="shared" si="0"/>
        <v>49+ Months</v>
      </c>
      <c r="G65" t="s">
        <v>17</v>
      </c>
      <c r="H65" t="s">
        <v>18</v>
      </c>
      <c r="I65" t="s">
        <v>30</v>
      </c>
      <c r="J65" t="s">
        <v>20</v>
      </c>
      <c r="K65" t="s">
        <v>20</v>
      </c>
      <c r="L65">
        <v>4</v>
      </c>
      <c r="M65" s="7">
        <v>84.98</v>
      </c>
      <c r="N65" s="7">
        <v>5213.3999999999996</v>
      </c>
      <c r="O65" t="s">
        <v>16</v>
      </c>
    </row>
    <row r="66" spans="1:15" x14ac:dyDescent="0.3">
      <c r="A66" t="s">
        <v>91</v>
      </c>
      <c r="B66" t="s">
        <v>15</v>
      </c>
      <c r="C66">
        <v>20</v>
      </c>
      <c r="D66" t="s">
        <v>20</v>
      </c>
      <c r="E66">
        <v>23</v>
      </c>
      <c r="F66" t="str">
        <f t="shared" ref="F66:F129" si="1">IF(E66&lt;=6,"0-6 Months",
 IF(E66&lt;=12,"7-12 Months",
 IF(E66&lt;=24,"13-24 Months",
 IF(E66&lt;=48,"25-48 Months","49+ Months"))))</f>
        <v>13-24 Months</v>
      </c>
      <c r="G66" t="s">
        <v>17</v>
      </c>
      <c r="H66" t="s">
        <v>18</v>
      </c>
      <c r="I66" t="s">
        <v>24</v>
      </c>
      <c r="J66" t="s">
        <v>20</v>
      </c>
      <c r="K66" t="s">
        <v>20</v>
      </c>
      <c r="L66">
        <v>3</v>
      </c>
      <c r="M66" s="7">
        <v>76.36</v>
      </c>
      <c r="N66" s="7">
        <v>1626.19</v>
      </c>
      <c r="O66" t="s">
        <v>20</v>
      </c>
    </row>
    <row r="67" spans="1:15" x14ac:dyDescent="0.3">
      <c r="A67" t="s">
        <v>92</v>
      </c>
      <c r="B67" t="s">
        <v>22</v>
      </c>
      <c r="C67">
        <v>54</v>
      </c>
      <c r="D67" t="s">
        <v>20</v>
      </c>
      <c r="E67">
        <v>48</v>
      </c>
      <c r="F67" t="str">
        <f t="shared" si="1"/>
        <v>25-48 Months</v>
      </c>
      <c r="G67" t="s">
        <v>17</v>
      </c>
      <c r="H67" t="s">
        <v>18</v>
      </c>
      <c r="I67" t="s">
        <v>24</v>
      </c>
      <c r="J67" t="s">
        <v>20</v>
      </c>
      <c r="K67" t="s">
        <v>20</v>
      </c>
      <c r="L67">
        <v>2</v>
      </c>
      <c r="M67" s="7">
        <v>80.959999999999994</v>
      </c>
      <c r="N67" s="7">
        <v>3910.9</v>
      </c>
      <c r="O67" t="s">
        <v>20</v>
      </c>
    </row>
    <row r="68" spans="1:15" x14ac:dyDescent="0.3">
      <c r="A68" t="s">
        <v>93</v>
      </c>
      <c r="B68" t="s">
        <v>22</v>
      </c>
      <c r="C68">
        <v>60</v>
      </c>
      <c r="D68" t="s">
        <v>16</v>
      </c>
      <c r="E68">
        <v>22</v>
      </c>
      <c r="F68" t="str">
        <f t="shared" si="1"/>
        <v>13-24 Months</v>
      </c>
      <c r="G68" t="s">
        <v>17</v>
      </c>
      <c r="H68" t="s">
        <v>36</v>
      </c>
      <c r="I68" t="s">
        <v>30</v>
      </c>
      <c r="J68" t="s">
        <v>20</v>
      </c>
      <c r="K68" t="s">
        <v>20</v>
      </c>
      <c r="L68">
        <v>2</v>
      </c>
      <c r="M68" s="7">
        <v>53.15</v>
      </c>
      <c r="N68" s="7">
        <v>1159.93</v>
      </c>
      <c r="O68" t="s">
        <v>20</v>
      </c>
    </row>
    <row r="69" spans="1:15" x14ac:dyDescent="0.3">
      <c r="A69" t="s">
        <v>94</v>
      </c>
      <c r="B69" t="s">
        <v>15</v>
      </c>
      <c r="C69">
        <v>57</v>
      </c>
      <c r="D69" t="s">
        <v>20</v>
      </c>
      <c r="E69">
        <v>17</v>
      </c>
      <c r="F69" t="str">
        <f t="shared" si="1"/>
        <v>13-24 Months</v>
      </c>
      <c r="G69" t="s">
        <v>17</v>
      </c>
      <c r="H69" t="s">
        <v>18</v>
      </c>
      <c r="I69" t="s">
        <v>24</v>
      </c>
      <c r="J69" t="s">
        <v>20</v>
      </c>
      <c r="K69" t="s">
        <v>20</v>
      </c>
      <c r="L69">
        <v>3</v>
      </c>
      <c r="M69" s="7">
        <v>85.69</v>
      </c>
      <c r="N69" s="7">
        <v>1396.7</v>
      </c>
      <c r="O69" t="s">
        <v>16</v>
      </c>
    </row>
    <row r="70" spans="1:15" x14ac:dyDescent="0.3">
      <c r="A70" t="s">
        <v>95</v>
      </c>
      <c r="B70" t="s">
        <v>22</v>
      </c>
      <c r="C70">
        <v>43</v>
      </c>
      <c r="D70" t="s">
        <v>20</v>
      </c>
      <c r="E70">
        <v>69</v>
      </c>
      <c r="F70" t="str">
        <f t="shared" si="1"/>
        <v>49+ Months</v>
      </c>
      <c r="G70" t="s">
        <v>35</v>
      </c>
      <c r="H70" t="s">
        <v>18</v>
      </c>
      <c r="I70" t="s">
        <v>27</v>
      </c>
      <c r="J70" t="s">
        <v>20</v>
      </c>
      <c r="K70" t="s">
        <v>20</v>
      </c>
      <c r="L70">
        <v>3</v>
      </c>
      <c r="M70" s="7">
        <v>79.55</v>
      </c>
      <c r="N70" s="7">
        <v>5609.94</v>
      </c>
      <c r="O70" t="s">
        <v>20</v>
      </c>
    </row>
    <row r="71" spans="1:15" x14ac:dyDescent="0.3">
      <c r="A71" t="s">
        <v>96</v>
      </c>
      <c r="B71" t="s">
        <v>22</v>
      </c>
      <c r="C71">
        <v>72</v>
      </c>
      <c r="D71" t="s">
        <v>16</v>
      </c>
      <c r="E71">
        <v>11</v>
      </c>
      <c r="F71" t="str">
        <f t="shared" si="1"/>
        <v>7-12 Months</v>
      </c>
      <c r="G71" t="s">
        <v>17</v>
      </c>
      <c r="H71" t="s">
        <v>18</v>
      </c>
      <c r="I71" t="s">
        <v>24</v>
      </c>
      <c r="J71" t="s">
        <v>20</v>
      </c>
      <c r="K71" t="s">
        <v>20</v>
      </c>
      <c r="L71">
        <v>4</v>
      </c>
      <c r="M71" s="7">
        <v>77.180000000000007</v>
      </c>
      <c r="N71" s="7">
        <v>803.29</v>
      </c>
      <c r="O71" t="s">
        <v>20</v>
      </c>
    </row>
    <row r="72" spans="1:15" x14ac:dyDescent="0.3">
      <c r="A72" t="s">
        <v>97</v>
      </c>
      <c r="B72" t="s">
        <v>22</v>
      </c>
      <c r="C72">
        <v>40</v>
      </c>
      <c r="D72" t="s">
        <v>20</v>
      </c>
      <c r="E72">
        <v>15</v>
      </c>
      <c r="F72" t="str">
        <f t="shared" si="1"/>
        <v>13-24 Months</v>
      </c>
      <c r="G72" t="s">
        <v>17</v>
      </c>
      <c r="H72" t="s">
        <v>36</v>
      </c>
      <c r="I72" t="s">
        <v>19</v>
      </c>
      <c r="J72" t="s">
        <v>20</v>
      </c>
      <c r="K72" t="s">
        <v>20</v>
      </c>
      <c r="L72">
        <v>3</v>
      </c>
      <c r="M72" s="7">
        <v>54.05</v>
      </c>
      <c r="N72" s="7">
        <v>782.71</v>
      </c>
      <c r="O72" t="s">
        <v>16</v>
      </c>
    </row>
    <row r="73" spans="1:15" x14ac:dyDescent="0.3">
      <c r="A73" t="s">
        <v>98</v>
      </c>
      <c r="B73" t="s">
        <v>22</v>
      </c>
      <c r="C73">
        <v>61</v>
      </c>
      <c r="D73" t="s">
        <v>16</v>
      </c>
      <c r="E73">
        <v>35</v>
      </c>
      <c r="F73" t="str">
        <f t="shared" si="1"/>
        <v>25-48 Months</v>
      </c>
      <c r="G73" t="s">
        <v>35</v>
      </c>
      <c r="H73" t="s">
        <v>20</v>
      </c>
      <c r="I73" t="s">
        <v>24</v>
      </c>
      <c r="J73" t="s">
        <v>20</v>
      </c>
      <c r="K73" t="s">
        <v>20</v>
      </c>
      <c r="L73">
        <v>2</v>
      </c>
      <c r="M73" s="7">
        <v>45.8</v>
      </c>
      <c r="N73" s="7">
        <v>1675.27</v>
      </c>
      <c r="O73" t="s">
        <v>20</v>
      </c>
    </row>
    <row r="74" spans="1:15" x14ac:dyDescent="0.3">
      <c r="A74" t="s">
        <v>99</v>
      </c>
      <c r="B74" t="s">
        <v>15</v>
      </c>
      <c r="C74">
        <v>56</v>
      </c>
      <c r="D74" t="s">
        <v>20</v>
      </c>
      <c r="E74">
        <v>33</v>
      </c>
      <c r="F74" t="str">
        <f t="shared" si="1"/>
        <v>25-48 Months</v>
      </c>
      <c r="G74" t="s">
        <v>23</v>
      </c>
      <c r="H74" t="s">
        <v>20</v>
      </c>
      <c r="I74" t="s">
        <v>19</v>
      </c>
      <c r="J74" t="s">
        <v>20</v>
      </c>
      <c r="K74" t="s">
        <v>20</v>
      </c>
      <c r="L74">
        <v>1</v>
      </c>
      <c r="M74" s="7">
        <v>38.130000000000003</v>
      </c>
      <c r="N74" s="7">
        <v>1250.32</v>
      </c>
      <c r="O74" t="s">
        <v>20</v>
      </c>
    </row>
    <row r="75" spans="1:15" x14ac:dyDescent="0.3">
      <c r="A75" t="s">
        <v>100</v>
      </c>
      <c r="B75" t="s">
        <v>22</v>
      </c>
      <c r="C75">
        <v>32</v>
      </c>
      <c r="D75" t="s">
        <v>20</v>
      </c>
      <c r="E75">
        <v>16</v>
      </c>
      <c r="F75" t="str">
        <f t="shared" si="1"/>
        <v>13-24 Months</v>
      </c>
      <c r="G75" t="s">
        <v>17</v>
      </c>
      <c r="H75" t="s">
        <v>20</v>
      </c>
      <c r="I75" t="s">
        <v>27</v>
      </c>
      <c r="J75" t="s">
        <v>16</v>
      </c>
      <c r="K75" t="s">
        <v>20</v>
      </c>
      <c r="L75">
        <v>4</v>
      </c>
      <c r="M75" s="7">
        <v>51.83</v>
      </c>
      <c r="N75" s="7">
        <v>894.78</v>
      </c>
      <c r="O75" t="s">
        <v>20</v>
      </c>
    </row>
    <row r="76" spans="1:15" x14ac:dyDescent="0.3">
      <c r="A76" t="s">
        <v>101</v>
      </c>
      <c r="B76" t="s">
        <v>15</v>
      </c>
      <c r="C76">
        <v>73</v>
      </c>
      <c r="D76" t="s">
        <v>16</v>
      </c>
      <c r="E76">
        <v>34</v>
      </c>
      <c r="F76" t="str">
        <f t="shared" si="1"/>
        <v>25-48 Months</v>
      </c>
      <c r="G76" t="s">
        <v>23</v>
      </c>
      <c r="H76" t="s">
        <v>36</v>
      </c>
      <c r="I76" t="s">
        <v>27</v>
      </c>
      <c r="J76" t="s">
        <v>20</v>
      </c>
      <c r="K76" t="s">
        <v>20</v>
      </c>
      <c r="L76">
        <v>4</v>
      </c>
      <c r="M76" s="7">
        <v>51.95</v>
      </c>
      <c r="N76" s="7">
        <v>1734.21</v>
      </c>
      <c r="O76" t="s">
        <v>20</v>
      </c>
    </row>
    <row r="77" spans="1:15" x14ac:dyDescent="0.3">
      <c r="A77" t="s">
        <v>102</v>
      </c>
      <c r="B77" t="s">
        <v>22</v>
      </c>
      <c r="C77">
        <v>66</v>
      </c>
      <c r="D77" t="s">
        <v>16</v>
      </c>
      <c r="E77">
        <v>66</v>
      </c>
      <c r="F77" t="str">
        <f t="shared" si="1"/>
        <v>49+ Months</v>
      </c>
      <c r="G77" t="s">
        <v>17</v>
      </c>
      <c r="H77" t="s">
        <v>18</v>
      </c>
      <c r="I77" t="s">
        <v>24</v>
      </c>
      <c r="J77" t="s">
        <v>20</v>
      </c>
      <c r="K77" t="s">
        <v>20</v>
      </c>
      <c r="L77">
        <v>4</v>
      </c>
      <c r="M77" s="7">
        <v>65.87</v>
      </c>
      <c r="N77" s="7">
        <v>4321.8599999999997</v>
      </c>
      <c r="O77" t="s">
        <v>20</v>
      </c>
    </row>
    <row r="78" spans="1:15" x14ac:dyDescent="0.3">
      <c r="A78" t="s">
        <v>103</v>
      </c>
      <c r="B78" t="s">
        <v>22</v>
      </c>
      <c r="C78">
        <v>21</v>
      </c>
      <c r="D78" t="s">
        <v>20</v>
      </c>
      <c r="E78">
        <v>40</v>
      </c>
      <c r="F78" t="str">
        <f t="shared" si="1"/>
        <v>25-48 Months</v>
      </c>
      <c r="G78" t="s">
        <v>23</v>
      </c>
      <c r="H78" t="s">
        <v>18</v>
      </c>
      <c r="I78" t="s">
        <v>30</v>
      </c>
      <c r="J78" t="s">
        <v>16</v>
      </c>
      <c r="K78" t="s">
        <v>16</v>
      </c>
      <c r="L78">
        <v>2</v>
      </c>
      <c r="M78" s="7">
        <v>65.099999999999994</v>
      </c>
      <c r="N78" s="7">
        <v>2520.7800000000002</v>
      </c>
      <c r="O78" t="s">
        <v>20</v>
      </c>
    </row>
    <row r="79" spans="1:15" x14ac:dyDescent="0.3">
      <c r="A79" t="s">
        <v>104</v>
      </c>
      <c r="B79" t="s">
        <v>22</v>
      </c>
      <c r="C79">
        <v>46</v>
      </c>
      <c r="D79" t="s">
        <v>20</v>
      </c>
      <c r="E79">
        <v>28</v>
      </c>
      <c r="F79" t="str">
        <f t="shared" si="1"/>
        <v>25-48 Months</v>
      </c>
      <c r="G79" t="s">
        <v>23</v>
      </c>
      <c r="H79" t="s">
        <v>20</v>
      </c>
      <c r="I79" t="s">
        <v>30</v>
      </c>
      <c r="J79" t="s">
        <v>16</v>
      </c>
      <c r="K79" t="s">
        <v>16</v>
      </c>
      <c r="L79">
        <v>7</v>
      </c>
      <c r="M79" s="7">
        <v>54.16</v>
      </c>
      <c r="N79" s="7">
        <v>1452.5</v>
      </c>
      <c r="O79" t="s">
        <v>20</v>
      </c>
    </row>
    <row r="80" spans="1:15" x14ac:dyDescent="0.3">
      <c r="A80" t="s">
        <v>105</v>
      </c>
      <c r="B80" t="s">
        <v>15</v>
      </c>
      <c r="C80">
        <v>39</v>
      </c>
      <c r="D80" t="s">
        <v>20</v>
      </c>
      <c r="E80">
        <v>47</v>
      </c>
      <c r="F80" t="str">
        <f t="shared" si="1"/>
        <v>25-48 Months</v>
      </c>
      <c r="G80" t="s">
        <v>23</v>
      </c>
      <c r="H80" t="s">
        <v>18</v>
      </c>
      <c r="I80" t="s">
        <v>24</v>
      </c>
      <c r="J80" t="s">
        <v>20</v>
      </c>
      <c r="K80" t="s">
        <v>16</v>
      </c>
      <c r="L80">
        <v>6</v>
      </c>
      <c r="M80" s="7">
        <v>82.48</v>
      </c>
      <c r="N80" s="7">
        <v>4138.4799999999996</v>
      </c>
      <c r="O80" t="s">
        <v>20</v>
      </c>
    </row>
    <row r="81" spans="1:15" x14ac:dyDescent="0.3">
      <c r="A81" t="s">
        <v>106</v>
      </c>
      <c r="B81" t="s">
        <v>22</v>
      </c>
      <c r="C81">
        <v>42</v>
      </c>
      <c r="D81" t="s">
        <v>20</v>
      </c>
      <c r="E81">
        <v>39</v>
      </c>
      <c r="F81" t="str">
        <f t="shared" si="1"/>
        <v>25-48 Months</v>
      </c>
      <c r="G81" t="s">
        <v>17</v>
      </c>
      <c r="H81" t="s">
        <v>18</v>
      </c>
      <c r="I81" t="s">
        <v>24</v>
      </c>
      <c r="J81" t="s">
        <v>16</v>
      </c>
      <c r="K81" t="s">
        <v>20</v>
      </c>
      <c r="L81">
        <v>3</v>
      </c>
      <c r="M81" s="7">
        <v>75.19</v>
      </c>
      <c r="N81" s="7">
        <v>3049.16</v>
      </c>
      <c r="O81" t="s">
        <v>20</v>
      </c>
    </row>
    <row r="82" spans="1:15" x14ac:dyDescent="0.3">
      <c r="A82" t="s">
        <v>107</v>
      </c>
      <c r="B82" t="s">
        <v>15</v>
      </c>
      <c r="C82">
        <v>30</v>
      </c>
      <c r="D82" t="s">
        <v>20</v>
      </c>
      <c r="E82">
        <v>70</v>
      </c>
      <c r="F82" t="str">
        <f t="shared" si="1"/>
        <v>49+ Months</v>
      </c>
      <c r="G82" t="s">
        <v>35</v>
      </c>
      <c r="H82" t="s">
        <v>36</v>
      </c>
      <c r="I82" t="s">
        <v>27</v>
      </c>
      <c r="J82" t="s">
        <v>16</v>
      </c>
      <c r="K82" t="s">
        <v>20</v>
      </c>
      <c r="L82">
        <v>6</v>
      </c>
      <c r="M82" s="7">
        <v>63.84</v>
      </c>
      <c r="N82" s="7">
        <v>4349.68</v>
      </c>
      <c r="O82" t="s">
        <v>20</v>
      </c>
    </row>
    <row r="83" spans="1:15" x14ac:dyDescent="0.3">
      <c r="A83" t="s">
        <v>108</v>
      </c>
      <c r="B83" t="s">
        <v>22</v>
      </c>
      <c r="C83">
        <v>35</v>
      </c>
      <c r="D83" t="s">
        <v>20</v>
      </c>
      <c r="E83">
        <v>20</v>
      </c>
      <c r="F83" t="str">
        <f t="shared" si="1"/>
        <v>13-24 Months</v>
      </c>
      <c r="G83" t="s">
        <v>17</v>
      </c>
      <c r="H83" t="s">
        <v>18</v>
      </c>
      <c r="I83" t="s">
        <v>27</v>
      </c>
      <c r="J83" t="s">
        <v>20</v>
      </c>
      <c r="K83" t="s">
        <v>16</v>
      </c>
      <c r="L83">
        <v>3</v>
      </c>
      <c r="M83" s="7">
        <v>62.65</v>
      </c>
      <c r="N83" s="7">
        <v>1293.1300000000001</v>
      </c>
      <c r="O83" t="s">
        <v>20</v>
      </c>
    </row>
    <row r="84" spans="1:15" x14ac:dyDescent="0.3">
      <c r="A84" t="s">
        <v>109</v>
      </c>
      <c r="B84" t="s">
        <v>15</v>
      </c>
      <c r="C84">
        <v>50</v>
      </c>
      <c r="D84" t="s">
        <v>20</v>
      </c>
      <c r="E84">
        <v>1</v>
      </c>
      <c r="F84" t="str">
        <f t="shared" si="1"/>
        <v>0-6 Months</v>
      </c>
      <c r="G84" t="s">
        <v>17</v>
      </c>
      <c r="H84" t="s">
        <v>18</v>
      </c>
      <c r="I84" t="s">
        <v>27</v>
      </c>
      <c r="J84" t="s">
        <v>16</v>
      </c>
      <c r="K84" t="s">
        <v>16</v>
      </c>
      <c r="L84">
        <v>8</v>
      </c>
      <c r="M84" s="7">
        <v>98</v>
      </c>
      <c r="N84" s="7">
        <v>105.3</v>
      </c>
      <c r="O84" t="s">
        <v>20</v>
      </c>
    </row>
    <row r="85" spans="1:15" x14ac:dyDescent="0.3">
      <c r="A85" t="s">
        <v>110</v>
      </c>
      <c r="B85" t="s">
        <v>22</v>
      </c>
      <c r="C85">
        <v>33</v>
      </c>
      <c r="D85" t="s">
        <v>20</v>
      </c>
      <c r="E85">
        <v>72</v>
      </c>
      <c r="F85" t="str">
        <f t="shared" si="1"/>
        <v>49+ Months</v>
      </c>
      <c r="G85" t="s">
        <v>17</v>
      </c>
      <c r="H85" t="s">
        <v>20</v>
      </c>
      <c r="I85" t="s">
        <v>27</v>
      </c>
      <c r="J85" t="s">
        <v>20</v>
      </c>
      <c r="K85" t="s">
        <v>16</v>
      </c>
      <c r="L85">
        <v>2</v>
      </c>
      <c r="M85" s="7">
        <v>33.22</v>
      </c>
      <c r="N85" s="7">
        <v>2228.83</v>
      </c>
      <c r="O85" t="s">
        <v>20</v>
      </c>
    </row>
    <row r="86" spans="1:15" x14ac:dyDescent="0.3">
      <c r="A86" t="s">
        <v>111</v>
      </c>
      <c r="B86" t="s">
        <v>15</v>
      </c>
      <c r="C86">
        <v>62</v>
      </c>
      <c r="D86" t="s">
        <v>16</v>
      </c>
      <c r="E86">
        <v>63</v>
      </c>
      <c r="F86" t="str">
        <f t="shared" si="1"/>
        <v>49+ Months</v>
      </c>
      <c r="G86" t="s">
        <v>17</v>
      </c>
      <c r="H86" t="s">
        <v>20</v>
      </c>
      <c r="I86" t="s">
        <v>30</v>
      </c>
      <c r="J86" t="s">
        <v>20</v>
      </c>
      <c r="K86" t="s">
        <v>16</v>
      </c>
      <c r="L86">
        <v>2</v>
      </c>
      <c r="M86" s="7">
        <v>42.31</v>
      </c>
      <c r="N86" s="7">
        <v>2565.09</v>
      </c>
      <c r="O86" t="s">
        <v>16</v>
      </c>
    </row>
    <row r="87" spans="1:15" x14ac:dyDescent="0.3">
      <c r="A87" t="s">
        <v>112</v>
      </c>
      <c r="B87" t="s">
        <v>15</v>
      </c>
      <c r="C87">
        <v>59</v>
      </c>
      <c r="D87" t="s">
        <v>20</v>
      </c>
      <c r="E87">
        <v>67</v>
      </c>
      <c r="F87" t="str">
        <f t="shared" si="1"/>
        <v>49+ Months</v>
      </c>
      <c r="G87" t="s">
        <v>17</v>
      </c>
      <c r="H87" t="s">
        <v>18</v>
      </c>
      <c r="I87" t="s">
        <v>19</v>
      </c>
      <c r="J87" t="s">
        <v>20</v>
      </c>
      <c r="K87" t="s">
        <v>16</v>
      </c>
      <c r="L87">
        <v>4</v>
      </c>
      <c r="M87" s="7">
        <v>80.12</v>
      </c>
      <c r="N87" s="7">
        <v>5110.87</v>
      </c>
      <c r="O87" t="s">
        <v>20</v>
      </c>
    </row>
    <row r="88" spans="1:15" x14ac:dyDescent="0.3">
      <c r="A88" t="s">
        <v>113</v>
      </c>
      <c r="B88" t="s">
        <v>22</v>
      </c>
      <c r="C88">
        <v>61</v>
      </c>
      <c r="D88" t="s">
        <v>16</v>
      </c>
      <c r="E88">
        <v>4</v>
      </c>
      <c r="F88" t="str">
        <f t="shared" si="1"/>
        <v>0-6 Months</v>
      </c>
      <c r="G88" t="s">
        <v>35</v>
      </c>
      <c r="H88" t="s">
        <v>20</v>
      </c>
      <c r="I88" t="s">
        <v>24</v>
      </c>
      <c r="J88" t="s">
        <v>20</v>
      </c>
      <c r="K88" t="s">
        <v>20</v>
      </c>
      <c r="L88">
        <v>2</v>
      </c>
      <c r="M88" s="7">
        <v>38.479999999999997</v>
      </c>
      <c r="N88" s="7">
        <v>163.03</v>
      </c>
      <c r="O88" t="s">
        <v>20</v>
      </c>
    </row>
    <row r="89" spans="1:15" x14ac:dyDescent="0.3">
      <c r="A89" t="s">
        <v>114</v>
      </c>
      <c r="B89" t="s">
        <v>15</v>
      </c>
      <c r="C89">
        <v>19</v>
      </c>
      <c r="D89" t="s">
        <v>20</v>
      </c>
      <c r="E89">
        <v>58</v>
      </c>
      <c r="F89" t="str">
        <f t="shared" si="1"/>
        <v>49+ Months</v>
      </c>
      <c r="G89" t="s">
        <v>35</v>
      </c>
      <c r="H89" t="s">
        <v>36</v>
      </c>
      <c r="I89" t="s">
        <v>24</v>
      </c>
      <c r="J89" t="s">
        <v>20</v>
      </c>
      <c r="K89" t="s">
        <v>16</v>
      </c>
      <c r="L89">
        <v>4</v>
      </c>
      <c r="M89" s="7">
        <v>53.27</v>
      </c>
      <c r="N89" s="7">
        <v>2931.07</v>
      </c>
      <c r="O89" t="s">
        <v>20</v>
      </c>
    </row>
    <row r="90" spans="1:15" x14ac:dyDescent="0.3">
      <c r="A90" t="s">
        <v>115</v>
      </c>
      <c r="B90" t="s">
        <v>22</v>
      </c>
      <c r="C90">
        <v>72</v>
      </c>
      <c r="D90" t="s">
        <v>16</v>
      </c>
      <c r="E90">
        <v>25</v>
      </c>
      <c r="F90" t="str">
        <f t="shared" si="1"/>
        <v>25-48 Months</v>
      </c>
      <c r="G90" t="s">
        <v>17</v>
      </c>
      <c r="H90" t="s">
        <v>36</v>
      </c>
      <c r="I90" t="s">
        <v>30</v>
      </c>
      <c r="J90" t="s">
        <v>20</v>
      </c>
      <c r="K90" t="s">
        <v>16</v>
      </c>
      <c r="L90">
        <v>3</v>
      </c>
      <c r="M90" s="7">
        <v>57.43</v>
      </c>
      <c r="N90" s="7">
        <v>1391.66</v>
      </c>
      <c r="O90" t="s">
        <v>20</v>
      </c>
    </row>
    <row r="91" spans="1:15" x14ac:dyDescent="0.3">
      <c r="A91" t="s">
        <v>116</v>
      </c>
      <c r="B91" t="s">
        <v>22</v>
      </c>
      <c r="C91">
        <v>52</v>
      </c>
      <c r="D91" t="s">
        <v>20</v>
      </c>
      <c r="E91">
        <v>47</v>
      </c>
      <c r="F91" t="str">
        <f t="shared" si="1"/>
        <v>25-48 Months</v>
      </c>
      <c r="G91" t="s">
        <v>17</v>
      </c>
      <c r="H91" t="s">
        <v>18</v>
      </c>
      <c r="I91" t="s">
        <v>27</v>
      </c>
      <c r="J91" t="s">
        <v>20</v>
      </c>
      <c r="K91" t="s">
        <v>20</v>
      </c>
      <c r="L91">
        <v>3</v>
      </c>
      <c r="M91" s="7">
        <v>80.66</v>
      </c>
      <c r="N91" s="7">
        <v>3817.62</v>
      </c>
      <c r="O91" t="s">
        <v>16</v>
      </c>
    </row>
    <row r="92" spans="1:15" x14ac:dyDescent="0.3">
      <c r="A92" t="s">
        <v>117</v>
      </c>
      <c r="B92" t="s">
        <v>22</v>
      </c>
      <c r="C92">
        <v>59</v>
      </c>
      <c r="D92" t="s">
        <v>20</v>
      </c>
      <c r="E92">
        <v>38</v>
      </c>
      <c r="F92" t="str">
        <f t="shared" si="1"/>
        <v>25-48 Months</v>
      </c>
      <c r="G92" t="s">
        <v>17</v>
      </c>
      <c r="H92" t="s">
        <v>18</v>
      </c>
      <c r="I92" t="s">
        <v>27</v>
      </c>
      <c r="J92" t="s">
        <v>20</v>
      </c>
      <c r="K92" t="s">
        <v>20</v>
      </c>
      <c r="L92">
        <v>3</v>
      </c>
      <c r="M92" s="7">
        <v>78.89</v>
      </c>
      <c r="N92" s="7">
        <v>3055.9</v>
      </c>
      <c r="O92" t="s">
        <v>16</v>
      </c>
    </row>
    <row r="93" spans="1:15" x14ac:dyDescent="0.3">
      <c r="A93" t="s">
        <v>118</v>
      </c>
      <c r="B93" t="s">
        <v>22</v>
      </c>
      <c r="C93">
        <v>51</v>
      </c>
      <c r="D93" t="s">
        <v>20</v>
      </c>
      <c r="E93">
        <v>15</v>
      </c>
      <c r="F93" t="str">
        <f t="shared" si="1"/>
        <v>13-24 Months</v>
      </c>
      <c r="G93" t="s">
        <v>17</v>
      </c>
      <c r="H93" t="s">
        <v>36</v>
      </c>
      <c r="I93" t="s">
        <v>27</v>
      </c>
      <c r="J93" t="s">
        <v>20</v>
      </c>
      <c r="K93" t="s">
        <v>16</v>
      </c>
      <c r="L93">
        <v>4</v>
      </c>
      <c r="M93" s="7">
        <v>57.41</v>
      </c>
      <c r="N93" s="7">
        <v>903.61</v>
      </c>
      <c r="O93" t="s">
        <v>20</v>
      </c>
    </row>
    <row r="94" spans="1:15" x14ac:dyDescent="0.3">
      <c r="A94" t="s">
        <v>119</v>
      </c>
      <c r="B94" t="s">
        <v>22</v>
      </c>
      <c r="C94">
        <v>47</v>
      </c>
      <c r="D94" t="s">
        <v>20</v>
      </c>
      <c r="E94">
        <v>63</v>
      </c>
      <c r="F94" t="str">
        <f t="shared" si="1"/>
        <v>49+ Months</v>
      </c>
      <c r="G94" t="s">
        <v>17</v>
      </c>
      <c r="H94" t="s">
        <v>20</v>
      </c>
      <c r="I94" t="s">
        <v>27</v>
      </c>
      <c r="J94" t="s">
        <v>20</v>
      </c>
      <c r="K94" t="s">
        <v>16</v>
      </c>
      <c r="L94">
        <v>8</v>
      </c>
      <c r="M94" s="7">
        <v>59.45</v>
      </c>
      <c r="N94" s="7">
        <v>3689.81</v>
      </c>
      <c r="O94" t="s">
        <v>20</v>
      </c>
    </row>
    <row r="95" spans="1:15" x14ac:dyDescent="0.3">
      <c r="A95" t="s">
        <v>120</v>
      </c>
      <c r="B95" t="s">
        <v>22</v>
      </c>
      <c r="C95">
        <v>72</v>
      </c>
      <c r="D95" t="s">
        <v>16</v>
      </c>
      <c r="E95">
        <v>21</v>
      </c>
      <c r="F95" t="str">
        <f t="shared" si="1"/>
        <v>13-24 Months</v>
      </c>
      <c r="G95" t="s">
        <v>35</v>
      </c>
      <c r="H95" t="s">
        <v>36</v>
      </c>
      <c r="I95" t="s">
        <v>27</v>
      </c>
      <c r="J95" t="s">
        <v>20</v>
      </c>
      <c r="K95" t="s">
        <v>20</v>
      </c>
      <c r="L95">
        <v>6</v>
      </c>
      <c r="M95" s="7">
        <v>71.36</v>
      </c>
      <c r="N95" s="7">
        <v>1506.77</v>
      </c>
      <c r="O95" t="s">
        <v>20</v>
      </c>
    </row>
    <row r="96" spans="1:15" x14ac:dyDescent="0.3">
      <c r="A96" t="s">
        <v>121</v>
      </c>
      <c r="B96" t="s">
        <v>22</v>
      </c>
      <c r="C96">
        <v>30</v>
      </c>
      <c r="D96" t="s">
        <v>20</v>
      </c>
      <c r="E96">
        <v>57</v>
      </c>
      <c r="F96" t="str">
        <f t="shared" si="1"/>
        <v>49+ Months</v>
      </c>
      <c r="G96" t="s">
        <v>17</v>
      </c>
      <c r="H96" t="s">
        <v>18</v>
      </c>
      <c r="I96" t="s">
        <v>24</v>
      </c>
      <c r="J96" t="s">
        <v>20</v>
      </c>
      <c r="K96" t="s">
        <v>20</v>
      </c>
      <c r="L96">
        <v>5</v>
      </c>
      <c r="M96" s="7">
        <v>91.41</v>
      </c>
      <c r="N96" s="7">
        <v>5598.41</v>
      </c>
      <c r="O96" t="s">
        <v>20</v>
      </c>
    </row>
    <row r="97" spans="1:15" x14ac:dyDescent="0.3">
      <c r="A97" t="s">
        <v>122</v>
      </c>
      <c r="B97" t="s">
        <v>22</v>
      </c>
      <c r="C97">
        <v>30</v>
      </c>
      <c r="D97" t="s">
        <v>20</v>
      </c>
      <c r="E97">
        <v>53</v>
      </c>
      <c r="F97" t="str">
        <f t="shared" si="1"/>
        <v>49+ Months</v>
      </c>
      <c r="G97" t="s">
        <v>17</v>
      </c>
      <c r="H97" t="s">
        <v>18</v>
      </c>
      <c r="I97" t="s">
        <v>27</v>
      </c>
      <c r="J97" t="s">
        <v>20</v>
      </c>
      <c r="K97" t="s">
        <v>16</v>
      </c>
      <c r="L97">
        <v>7</v>
      </c>
      <c r="M97" s="7">
        <v>87.07</v>
      </c>
      <c r="N97" s="7">
        <v>4465.09</v>
      </c>
      <c r="O97" t="s">
        <v>16</v>
      </c>
    </row>
    <row r="98" spans="1:15" x14ac:dyDescent="0.3">
      <c r="A98" t="s">
        <v>123</v>
      </c>
      <c r="B98" t="s">
        <v>22</v>
      </c>
      <c r="C98">
        <v>35</v>
      </c>
      <c r="D98" t="s">
        <v>20</v>
      </c>
      <c r="E98">
        <v>46</v>
      </c>
      <c r="F98" t="str">
        <f t="shared" si="1"/>
        <v>25-48 Months</v>
      </c>
      <c r="G98" t="s">
        <v>17</v>
      </c>
      <c r="H98" t="s">
        <v>20</v>
      </c>
      <c r="I98" t="s">
        <v>30</v>
      </c>
      <c r="J98" t="s">
        <v>20</v>
      </c>
      <c r="K98" t="s">
        <v>16</v>
      </c>
      <c r="L98">
        <v>2</v>
      </c>
      <c r="M98" s="7">
        <v>25.18</v>
      </c>
      <c r="N98" s="7">
        <v>1111.5999999999999</v>
      </c>
      <c r="O98" t="s">
        <v>16</v>
      </c>
    </row>
    <row r="99" spans="1:15" x14ac:dyDescent="0.3">
      <c r="A99" t="s">
        <v>124</v>
      </c>
      <c r="B99" t="s">
        <v>22</v>
      </c>
      <c r="C99">
        <v>49</v>
      </c>
      <c r="D99" t="s">
        <v>20</v>
      </c>
      <c r="E99">
        <v>14</v>
      </c>
      <c r="F99" t="str">
        <f t="shared" si="1"/>
        <v>13-24 Months</v>
      </c>
      <c r="G99" t="s">
        <v>35</v>
      </c>
      <c r="H99" t="s">
        <v>18</v>
      </c>
      <c r="I99" t="s">
        <v>24</v>
      </c>
      <c r="J99" t="s">
        <v>20</v>
      </c>
      <c r="K99" t="s">
        <v>16</v>
      </c>
      <c r="L99">
        <v>3</v>
      </c>
      <c r="M99" s="7">
        <v>69.180000000000007</v>
      </c>
      <c r="N99" s="7">
        <v>1001.16</v>
      </c>
      <c r="O99" t="s">
        <v>20</v>
      </c>
    </row>
    <row r="100" spans="1:15" x14ac:dyDescent="0.3">
      <c r="A100" t="s">
        <v>125</v>
      </c>
      <c r="B100" t="s">
        <v>22</v>
      </c>
      <c r="C100">
        <v>49</v>
      </c>
      <c r="D100" t="s">
        <v>20</v>
      </c>
      <c r="E100">
        <v>17</v>
      </c>
      <c r="F100" t="str">
        <f t="shared" si="1"/>
        <v>13-24 Months</v>
      </c>
      <c r="G100" t="s">
        <v>23</v>
      </c>
      <c r="H100" t="s">
        <v>36</v>
      </c>
      <c r="I100" t="s">
        <v>27</v>
      </c>
      <c r="J100" t="s">
        <v>20</v>
      </c>
      <c r="K100" t="s">
        <v>20</v>
      </c>
      <c r="L100">
        <v>6</v>
      </c>
      <c r="M100" s="7">
        <v>68.02</v>
      </c>
      <c r="N100" s="7">
        <v>1206.5</v>
      </c>
      <c r="O100" t="s">
        <v>20</v>
      </c>
    </row>
    <row r="101" spans="1:15" x14ac:dyDescent="0.3">
      <c r="A101" t="s">
        <v>126</v>
      </c>
      <c r="B101" t="s">
        <v>15</v>
      </c>
      <c r="C101">
        <v>52</v>
      </c>
      <c r="D101" t="s">
        <v>20</v>
      </c>
      <c r="E101">
        <v>39</v>
      </c>
      <c r="F101" t="str">
        <f t="shared" si="1"/>
        <v>25-48 Months</v>
      </c>
      <c r="G101" t="s">
        <v>35</v>
      </c>
      <c r="H101" t="s">
        <v>18</v>
      </c>
      <c r="I101" t="s">
        <v>27</v>
      </c>
      <c r="J101" t="s">
        <v>16</v>
      </c>
      <c r="K101" t="s">
        <v>20</v>
      </c>
      <c r="L101">
        <v>4</v>
      </c>
      <c r="M101" s="7">
        <v>79.03</v>
      </c>
      <c r="N101" s="7">
        <v>3040.14</v>
      </c>
      <c r="O101" t="s">
        <v>20</v>
      </c>
    </row>
    <row r="102" spans="1:15" x14ac:dyDescent="0.3">
      <c r="A102" t="s">
        <v>127</v>
      </c>
      <c r="B102" t="s">
        <v>15</v>
      </c>
      <c r="C102">
        <v>56</v>
      </c>
      <c r="D102" t="s">
        <v>20</v>
      </c>
      <c r="E102">
        <v>9</v>
      </c>
      <c r="F102" t="str">
        <f t="shared" si="1"/>
        <v>7-12 Months</v>
      </c>
      <c r="G102" t="s">
        <v>23</v>
      </c>
      <c r="H102" t="s">
        <v>18</v>
      </c>
      <c r="I102" t="s">
        <v>24</v>
      </c>
      <c r="J102" t="s">
        <v>20</v>
      </c>
      <c r="K102" t="s">
        <v>20</v>
      </c>
      <c r="L102">
        <v>4</v>
      </c>
      <c r="M102" s="7">
        <v>83.39</v>
      </c>
      <c r="N102" s="7">
        <v>716.04</v>
      </c>
      <c r="O102" t="s">
        <v>16</v>
      </c>
    </row>
    <row r="103" spans="1:15" x14ac:dyDescent="0.3">
      <c r="A103" t="s">
        <v>128</v>
      </c>
      <c r="B103" t="s">
        <v>22</v>
      </c>
      <c r="C103">
        <v>63</v>
      </c>
      <c r="D103" t="s">
        <v>16</v>
      </c>
      <c r="E103">
        <v>6</v>
      </c>
      <c r="F103" t="str">
        <f t="shared" si="1"/>
        <v>0-6 Months</v>
      </c>
      <c r="G103" t="s">
        <v>17</v>
      </c>
      <c r="H103" t="s">
        <v>36</v>
      </c>
      <c r="I103" t="s">
        <v>24</v>
      </c>
      <c r="J103" t="s">
        <v>20</v>
      </c>
      <c r="K103" t="s">
        <v>20</v>
      </c>
      <c r="L103">
        <v>2</v>
      </c>
      <c r="M103" s="7">
        <v>56.82</v>
      </c>
      <c r="N103" s="7">
        <v>356.13</v>
      </c>
      <c r="O103" t="s">
        <v>16</v>
      </c>
    </row>
    <row r="104" spans="1:15" x14ac:dyDescent="0.3">
      <c r="A104" t="s">
        <v>129</v>
      </c>
      <c r="B104" t="s">
        <v>22</v>
      </c>
      <c r="C104">
        <v>69</v>
      </c>
      <c r="D104" t="s">
        <v>16</v>
      </c>
      <c r="E104">
        <v>23</v>
      </c>
      <c r="F104" t="str">
        <f t="shared" si="1"/>
        <v>13-24 Months</v>
      </c>
      <c r="G104" t="s">
        <v>17</v>
      </c>
      <c r="H104" t="s">
        <v>36</v>
      </c>
      <c r="I104" t="s">
        <v>30</v>
      </c>
      <c r="J104" t="s">
        <v>20</v>
      </c>
      <c r="K104" t="s">
        <v>20</v>
      </c>
      <c r="L104">
        <v>4</v>
      </c>
      <c r="M104" s="7">
        <v>45.8</v>
      </c>
      <c r="N104" s="7">
        <v>1082.1400000000001</v>
      </c>
      <c r="O104" t="s">
        <v>20</v>
      </c>
    </row>
    <row r="105" spans="1:15" x14ac:dyDescent="0.3">
      <c r="A105" t="s">
        <v>130</v>
      </c>
      <c r="B105" t="s">
        <v>22</v>
      </c>
      <c r="C105">
        <v>46</v>
      </c>
      <c r="D105" t="s">
        <v>20</v>
      </c>
      <c r="E105">
        <v>59</v>
      </c>
      <c r="F105" t="str">
        <f t="shared" si="1"/>
        <v>49+ Months</v>
      </c>
      <c r="G105" t="s">
        <v>23</v>
      </c>
      <c r="H105" t="s">
        <v>18</v>
      </c>
      <c r="I105" t="s">
        <v>30</v>
      </c>
      <c r="J105" t="s">
        <v>16</v>
      </c>
      <c r="K105" t="s">
        <v>20</v>
      </c>
      <c r="L105">
        <v>7</v>
      </c>
      <c r="M105" s="7">
        <v>87.63</v>
      </c>
      <c r="N105" s="7">
        <v>5481.4</v>
      </c>
      <c r="O105" t="s">
        <v>20</v>
      </c>
    </row>
    <row r="106" spans="1:15" x14ac:dyDescent="0.3">
      <c r="A106" t="s">
        <v>131</v>
      </c>
      <c r="B106" t="s">
        <v>22</v>
      </c>
      <c r="C106">
        <v>66</v>
      </c>
      <c r="D106" t="s">
        <v>16</v>
      </c>
      <c r="E106">
        <v>46</v>
      </c>
      <c r="F106" t="str">
        <f t="shared" si="1"/>
        <v>25-48 Months</v>
      </c>
      <c r="G106" t="s">
        <v>17</v>
      </c>
      <c r="H106" t="s">
        <v>18</v>
      </c>
      <c r="I106" t="s">
        <v>27</v>
      </c>
      <c r="J106" t="s">
        <v>20</v>
      </c>
      <c r="K106" t="s">
        <v>20</v>
      </c>
      <c r="L106">
        <v>4</v>
      </c>
      <c r="M106" s="7">
        <v>80.489999999999995</v>
      </c>
      <c r="N106" s="7">
        <v>3906.52</v>
      </c>
      <c r="O106" t="s">
        <v>20</v>
      </c>
    </row>
    <row r="107" spans="1:15" x14ac:dyDescent="0.3">
      <c r="A107" t="s">
        <v>132</v>
      </c>
      <c r="B107" t="s">
        <v>22</v>
      </c>
      <c r="C107">
        <v>46</v>
      </c>
      <c r="D107" t="s">
        <v>20</v>
      </c>
      <c r="E107">
        <v>38</v>
      </c>
      <c r="F107" t="str">
        <f t="shared" si="1"/>
        <v>25-48 Months</v>
      </c>
      <c r="G107" t="s">
        <v>23</v>
      </c>
      <c r="H107" t="s">
        <v>20</v>
      </c>
      <c r="I107" t="s">
        <v>24</v>
      </c>
      <c r="J107" t="s">
        <v>20</v>
      </c>
      <c r="K107" t="s">
        <v>16</v>
      </c>
      <c r="L107">
        <v>1</v>
      </c>
      <c r="M107" s="7">
        <v>36.81</v>
      </c>
      <c r="N107" s="7">
        <v>1332.8</v>
      </c>
      <c r="O107" t="s">
        <v>20</v>
      </c>
    </row>
    <row r="108" spans="1:15" x14ac:dyDescent="0.3">
      <c r="A108" t="s">
        <v>133</v>
      </c>
      <c r="B108" t="s">
        <v>22</v>
      </c>
      <c r="C108">
        <v>70</v>
      </c>
      <c r="D108" t="s">
        <v>16</v>
      </c>
      <c r="E108">
        <v>14</v>
      </c>
      <c r="F108" t="str">
        <f t="shared" si="1"/>
        <v>13-24 Months</v>
      </c>
      <c r="G108" t="s">
        <v>17</v>
      </c>
      <c r="H108" t="s">
        <v>18</v>
      </c>
      <c r="I108" t="s">
        <v>24</v>
      </c>
      <c r="J108" t="s">
        <v>20</v>
      </c>
      <c r="K108" t="s">
        <v>20</v>
      </c>
      <c r="L108">
        <v>4</v>
      </c>
      <c r="M108" s="7">
        <v>78.63</v>
      </c>
      <c r="N108" s="7">
        <v>1159.3599999999999</v>
      </c>
      <c r="O108" t="s">
        <v>20</v>
      </c>
    </row>
    <row r="109" spans="1:15" x14ac:dyDescent="0.3">
      <c r="A109" t="s">
        <v>134</v>
      </c>
      <c r="B109" t="s">
        <v>22</v>
      </c>
      <c r="C109">
        <v>61</v>
      </c>
      <c r="D109" t="s">
        <v>16</v>
      </c>
      <c r="E109">
        <v>72</v>
      </c>
      <c r="F109" t="str">
        <f t="shared" si="1"/>
        <v>49+ Months</v>
      </c>
      <c r="G109" t="s">
        <v>17</v>
      </c>
      <c r="H109" t="s">
        <v>36</v>
      </c>
      <c r="I109" t="s">
        <v>24</v>
      </c>
      <c r="J109" t="s">
        <v>20</v>
      </c>
      <c r="K109" t="s">
        <v>20</v>
      </c>
      <c r="L109">
        <v>5</v>
      </c>
      <c r="M109" s="7">
        <v>72.56</v>
      </c>
      <c r="N109" s="7">
        <v>4952.8</v>
      </c>
      <c r="O109" t="s">
        <v>20</v>
      </c>
    </row>
    <row r="110" spans="1:15" x14ac:dyDescent="0.3">
      <c r="A110" t="s">
        <v>135</v>
      </c>
      <c r="B110" t="s">
        <v>22</v>
      </c>
      <c r="C110">
        <v>74</v>
      </c>
      <c r="D110" t="s">
        <v>16</v>
      </c>
      <c r="E110">
        <v>62</v>
      </c>
      <c r="F110" t="str">
        <f t="shared" si="1"/>
        <v>49+ Months</v>
      </c>
      <c r="G110" t="s">
        <v>17</v>
      </c>
      <c r="H110" t="s">
        <v>20</v>
      </c>
      <c r="I110" t="s">
        <v>24</v>
      </c>
      <c r="J110" t="s">
        <v>20</v>
      </c>
      <c r="K110" t="s">
        <v>20</v>
      </c>
      <c r="L110">
        <v>2</v>
      </c>
      <c r="M110" s="7">
        <v>36.86</v>
      </c>
      <c r="N110" s="7">
        <v>2418.31</v>
      </c>
      <c r="O110" t="s">
        <v>20</v>
      </c>
    </row>
    <row r="111" spans="1:15" x14ac:dyDescent="0.3">
      <c r="A111" t="s">
        <v>136</v>
      </c>
      <c r="B111" t="s">
        <v>15</v>
      </c>
      <c r="C111">
        <v>33</v>
      </c>
      <c r="D111" t="s">
        <v>20</v>
      </c>
      <c r="E111">
        <v>35</v>
      </c>
      <c r="F111" t="str">
        <f t="shared" si="1"/>
        <v>25-48 Months</v>
      </c>
      <c r="G111" t="s">
        <v>23</v>
      </c>
      <c r="H111" t="s">
        <v>18</v>
      </c>
      <c r="I111" t="s">
        <v>24</v>
      </c>
      <c r="J111" t="s">
        <v>20</v>
      </c>
      <c r="K111" t="s">
        <v>20</v>
      </c>
      <c r="L111">
        <v>2</v>
      </c>
      <c r="M111" s="7">
        <v>73.67</v>
      </c>
      <c r="N111" s="7">
        <v>2689.97</v>
      </c>
      <c r="O111" t="s">
        <v>20</v>
      </c>
    </row>
    <row r="112" spans="1:15" x14ac:dyDescent="0.3">
      <c r="A112" t="s">
        <v>137</v>
      </c>
      <c r="B112" t="s">
        <v>22</v>
      </c>
      <c r="C112">
        <v>73</v>
      </c>
      <c r="D112" t="s">
        <v>16</v>
      </c>
      <c r="E112">
        <v>19</v>
      </c>
      <c r="F112" t="str">
        <f t="shared" si="1"/>
        <v>13-24 Months</v>
      </c>
      <c r="G112" t="s">
        <v>23</v>
      </c>
      <c r="H112" t="s">
        <v>20</v>
      </c>
      <c r="I112" t="s">
        <v>27</v>
      </c>
      <c r="J112" t="s">
        <v>20</v>
      </c>
      <c r="K112" t="s">
        <v>20</v>
      </c>
      <c r="L112">
        <v>3</v>
      </c>
      <c r="M112" s="7">
        <v>36.229999999999997</v>
      </c>
      <c r="N112" s="7">
        <v>696.06</v>
      </c>
      <c r="O112" t="s">
        <v>20</v>
      </c>
    </row>
    <row r="113" spans="1:15" x14ac:dyDescent="0.3">
      <c r="A113" t="s">
        <v>138</v>
      </c>
      <c r="B113" t="s">
        <v>15</v>
      </c>
      <c r="C113">
        <v>61</v>
      </c>
      <c r="D113" t="s">
        <v>16</v>
      </c>
      <c r="E113">
        <v>30</v>
      </c>
      <c r="F113" t="str">
        <f t="shared" si="1"/>
        <v>25-48 Months</v>
      </c>
      <c r="G113" t="s">
        <v>17</v>
      </c>
      <c r="H113" t="s">
        <v>18</v>
      </c>
      <c r="I113" t="s">
        <v>19</v>
      </c>
      <c r="J113" t="s">
        <v>20</v>
      </c>
      <c r="K113" t="s">
        <v>20</v>
      </c>
      <c r="L113">
        <v>3</v>
      </c>
      <c r="M113" s="7">
        <v>74.83</v>
      </c>
      <c r="N113" s="7">
        <v>2295.98</v>
      </c>
      <c r="O113" t="s">
        <v>20</v>
      </c>
    </row>
    <row r="114" spans="1:15" x14ac:dyDescent="0.3">
      <c r="A114" t="s">
        <v>139</v>
      </c>
      <c r="B114" t="s">
        <v>22</v>
      </c>
      <c r="C114">
        <v>64</v>
      </c>
      <c r="D114" t="s">
        <v>16</v>
      </c>
      <c r="E114">
        <v>25</v>
      </c>
      <c r="F114" t="str">
        <f t="shared" si="1"/>
        <v>25-48 Months</v>
      </c>
      <c r="G114" t="s">
        <v>17</v>
      </c>
      <c r="H114" t="s">
        <v>36</v>
      </c>
      <c r="I114" t="s">
        <v>19</v>
      </c>
      <c r="J114" t="s">
        <v>20</v>
      </c>
      <c r="K114" t="s">
        <v>16</v>
      </c>
      <c r="L114">
        <v>8</v>
      </c>
      <c r="M114" s="7">
        <v>77.319999999999993</v>
      </c>
      <c r="N114" s="7">
        <v>1810.55</v>
      </c>
      <c r="O114" t="s">
        <v>20</v>
      </c>
    </row>
    <row r="115" spans="1:15" x14ac:dyDescent="0.3">
      <c r="A115" t="s">
        <v>140</v>
      </c>
      <c r="B115" t="s">
        <v>22</v>
      </c>
      <c r="C115">
        <v>74</v>
      </c>
      <c r="D115" t="s">
        <v>16</v>
      </c>
      <c r="E115">
        <v>40</v>
      </c>
      <c r="F115" t="str">
        <f t="shared" si="1"/>
        <v>25-48 Months</v>
      </c>
      <c r="G115" t="s">
        <v>17</v>
      </c>
      <c r="H115" t="s">
        <v>18</v>
      </c>
      <c r="I115" t="s">
        <v>24</v>
      </c>
      <c r="J115" t="s">
        <v>20</v>
      </c>
      <c r="K115" t="s">
        <v>20</v>
      </c>
      <c r="L115">
        <v>3</v>
      </c>
      <c r="M115" s="7">
        <v>73.63</v>
      </c>
      <c r="N115" s="7">
        <v>2728.38</v>
      </c>
      <c r="O115" t="s">
        <v>20</v>
      </c>
    </row>
    <row r="116" spans="1:15" x14ac:dyDescent="0.3">
      <c r="A116" t="s">
        <v>141</v>
      </c>
      <c r="B116" t="s">
        <v>15</v>
      </c>
      <c r="C116">
        <v>27</v>
      </c>
      <c r="D116" t="s">
        <v>20</v>
      </c>
      <c r="E116">
        <v>14</v>
      </c>
      <c r="F116" t="str">
        <f t="shared" si="1"/>
        <v>13-24 Months</v>
      </c>
      <c r="G116" t="s">
        <v>17</v>
      </c>
      <c r="H116" t="s">
        <v>20</v>
      </c>
      <c r="I116" t="s">
        <v>24</v>
      </c>
      <c r="J116" t="s">
        <v>20</v>
      </c>
      <c r="K116" t="s">
        <v>20</v>
      </c>
      <c r="L116">
        <v>3</v>
      </c>
      <c r="M116" s="7">
        <v>44.79</v>
      </c>
      <c r="N116" s="7">
        <v>610.07000000000005</v>
      </c>
      <c r="O116" t="s">
        <v>16</v>
      </c>
    </row>
    <row r="117" spans="1:15" x14ac:dyDescent="0.3">
      <c r="A117" t="s">
        <v>142</v>
      </c>
      <c r="B117" t="s">
        <v>22</v>
      </c>
      <c r="C117">
        <v>47</v>
      </c>
      <c r="D117" t="s">
        <v>20</v>
      </c>
      <c r="E117">
        <v>26</v>
      </c>
      <c r="F117" t="str">
        <f t="shared" si="1"/>
        <v>25-48 Months</v>
      </c>
      <c r="G117" t="s">
        <v>17</v>
      </c>
      <c r="H117" t="s">
        <v>18</v>
      </c>
      <c r="I117" t="s">
        <v>27</v>
      </c>
      <c r="J117" t="s">
        <v>16</v>
      </c>
      <c r="K117" t="s">
        <v>20</v>
      </c>
      <c r="L117">
        <v>7</v>
      </c>
      <c r="M117" s="7">
        <v>97.16</v>
      </c>
      <c r="N117" s="7">
        <v>2656.07</v>
      </c>
      <c r="O117" t="s">
        <v>20</v>
      </c>
    </row>
    <row r="118" spans="1:15" x14ac:dyDescent="0.3">
      <c r="A118" t="s">
        <v>143</v>
      </c>
      <c r="B118" t="s">
        <v>15</v>
      </c>
      <c r="C118">
        <v>42</v>
      </c>
      <c r="D118" t="s">
        <v>20</v>
      </c>
      <c r="E118">
        <v>22</v>
      </c>
      <c r="F118" t="str">
        <f t="shared" si="1"/>
        <v>13-24 Months</v>
      </c>
      <c r="G118" t="s">
        <v>17</v>
      </c>
      <c r="H118" t="s">
        <v>18</v>
      </c>
      <c r="I118" t="s">
        <v>30</v>
      </c>
      <c r="J118" t="s">
        <v>20</v>
      </c>
      <c r="K118" t="s">
        <v>16</v>
      </c>
      <c r="L118">
        <v>7</v>
      </c>
      <c r="M118" s="7">
        <v>99.39</v>
      </c>
      <c r="N118" s="7">
        <v>2174.61</v>
      </c>
      <c r="O118" t="s">
        <v>16</v>
      </c>
    </row>
    <row r="119" spans="1:15" x14ac:dyDescent="0.3">
      <c r="A119" t="s">
        <v>144</v>
      </c>
      <c r="B119" t="s">
        <v>22</v>
      </c>
      <c r="C119">
        <v>56</v>
      </c>
      <c r="D119" t="s">
        <v>20</v>
      </c>
      <c r="E119">
        <v>48</v>
      </c>
      <c r="F119" t="str">
        <f t="shared" si="1"/>
        <v>25-48 Months</v>
      </c>
      <c r="G119" t="s">
        <v>17</v>
      </c>
      <c r="H119" t="s">
        <v>20</v>
      </c>
      <c r="I119" t="s">
        <v>30</v>
      </c>
      <c r="J119" t="s">
        <v>20</v>
      </c>
      <c r="K119" t="s">
        <v>16</v>
      </c>
      <c r="L119">
        <v>4</v>
      </c>
      <c r="M119" s="7">
        <v>33.72</v>
      </c>
      <c r="N119" s="7">
        <v>1546.93</v>
      </c>
      <c r="O119" t="s">
        <v>20</v>
      </c>
    </row>
    <row r="120" spans="1:15" x14ac:dyDescent="0.3">
      <c r="A120" t="s">
        <v>145</v>
      </c>
      <c r="B120" t="s">
        <v>22</v>
      </c>
      <c r="C120">
        <v>37</v>
      </c>
      <c r="D120" t="s">
        <v>20</v>
      </c>
      <c r="E120">
        <v>51</v>
      </c>
      <c r="F120" t="str">
        <f t="shared" si="1"/>
        <v>49+ Months</v>
      </c>
      <c r="G120" t="s">
        <v>17</v>
      </c>
      <c r="H120" t="s">
        <v>36</v>
      </c>
      <c r="I120" t="s">
        <v>19</v>
      </c>
      <c r="J120" t="s">
        <v>20</v>
      </c>
      <c r="K120" t="s">
        <v>20</v>
      </c>
      <c r="L120">
        <v>7</v>
      </c>
      <c r="M120" s="7">
        <v>63.49</v>
      </c>
      <c r="N120" s="7">
        <v>3411.31</v>
      </c>
      <c r="O120" t="s">
        <v>20</v>
      </c>
    </row>
    <row r="121" spans="1:15" x14ac:dyDescent="0.3">
      <c r="A121" t="s">
        <v>146</v>
      </c>
      <c r="B121" t="s">
        <v>15</v>
      </c>
      <c r="C121">
        <v>22</v>
      </c>
      <c r="D121" t="s">
        <v>20</v>
      </c>
      <c r="E121">
        <v>3</v>
      </c>
      <c r="F121" t="str">
        <f t="shared" si="1"/>
        <v>0-6 Months</v>
      </c>
      <c r="G121" t="s">
        <v>17</v>
      </c>
      <c r="H121" t="s">
        <v>36</v>
      </c>
      <c r="I121" t="s">
        <v>24</v>
      </c>
      <c r="J121" t="s">
        <v>20</v>
      </c>
      <c r="K121" t="s">
        <v>20</v>
      </c>
      <c r="L121">
        <v>8</v>
      </c>
      <c r="M121" s="7">
        <v>78.42</v>
      </c>
      <c r="N121" s="7">
        <v>225.05</v>
      </c>
      <c r="O121" t="s">
        <v>20</v>
      </c>
    </row>
    <row r="122" spans="1:15" x14ac:dyDescent="0.3">
      <c r="A122" t="s">
        <v>147</v>
      </c>
      <c r="B122" t="s">
        <v>22</v>
      </c>
      <c r="C122">
        <v>18</v>
      </c>
      <c r="D122" t="s">
        <v>20</v>
      </c>
      <c r="E122">
        <v>42</v>
      </c>
      <c r="F122" t="str">
        <f t="shared" si="1"/>
        <v>25-48 Months</v>
      </c>
      <c r="G122" t="s">
        <v>17</v>
      </c>
      <c r="H122" t="s">
        <v>18</v>
      </c>
      <c r="I122" t="s">
        <v>19</v>
      </c>
      <c r="J122" t="s">
        <v>20</v>
      </c>
      <c r="K122" t="s">
        <v>20</v>
      </c>
      <c r="L122">
        <v>3</v>
      </c>
      <c r="M122" s="7">
        <v>74.44</v>
      </c>
      <c r="N122" s="7">
        <v>3284.3</v>
      </c>
      <c r="O122" t="s">
        <v>16</v>
      </c>
    </row>
    <row r="123" spans="1:15" x14ac:dyDescent="0.3">
      <c r="A123" t="s">
        <v>148</v>
      </c>
      <c r="B123" t="s">
        <v>15</v>
      </c>
      <c r="C123">
        <v>47</v>
      </c>
      <c r="D123" t="s">
        <v>20</v>
      </c>
      <c r="E123">
        <v>19</v>
      </c>
      <c r="F123" t="str">
        <f t="shared" si="1"/>
        <v>13-24 Months</v>
      </c>
      <c r="G123" t="s">
        <v>17</v>
      </c>
      <c r="H123" t="s">
        <v>36</v>
      </c>
      <c r="I123" t="s">
        <v>24</v>
      </c>
      <c r="J123" t="s">
        <v>16</v>
      </c>
      <c r="K123" t="s">
        <v>20</v>
      </c>
      <c r="L123">
        <v>3</v>
      </c>
      <c r="M123" s="7">
        <v>56.81</v>
      </c>
      <c r="N123" s="7">
        <v>1071.27</v>
      </c>
      <c r="O123" t="s">
        <v>20</v>
      </c>
    </row>
    <row r="124" spans="1:15" x14ac:dyDescent="0.3">
      <c r="A124" t="s">
        <v>149</v>
      </c>
      <c r="B124" t="s">
        <v>22</v>
      </c>
      <c r="C124">
        <v>66</v>
      </c>
      <c r="D124" t="s">
        <v>16</v>
      </c>
      <c r="E124">
        <v>28</v>
      </c>
      <c r="F124" t="str">
        <f t="shared" si="1"/>
        <v>25-48 Months</v>
      </c>
      <c r="G124" t="s">
        <v>17</v>
      </c>
      <c r="H124" t="s">
        <v>18</v>
      </c>
      <c r="I124" t="s">
        <v>27</v>
      </c>
      <c r="J124" t="s">
        <v>20</v>
      </c>
      <c r="K124" t="s">
        <v>20</v>
      </c>
      <c r="L124">
        <v>1</v>
      </c>
      <c r="M124" s="7">
        <v>59.18</v>
      </c>
      <c r="N124" s="7">
        <v>1647.36</v>
      </c>
      <c r="O124" t="s">
        <v>20</v>
      </c>
    </row>
    <row r="125" spans="1:15" x14ac:dyDescent="0.3">
      <c r="A125" t="s">
        <v>150</v>
      </c>
      <c r="B125" t="s">
        <v>15</v>
      </c>
      <c r="C125">
        <v>20</v>
      </c>
      <c r="D125" t="s">
        <v>20</v>
      </c>
      <c r="E125">
        <v>45</v>
      </c>
      <c r="F125" t="str">
        <f t="shared" si="1"/>
        <v>25-48 Months</v>
      </c>
      <c r="G125" t="s">
        <v>17</v>
      </c>
      <c r="H125" t="s">
        <v>18</v>
      </c>
      <c r="I125" t="s">
        <v>24</v>
      </c>
      <c r="J125" t="s">
        <v>20</v>
      </c>
      <c r="K125" t="s">
        <v>20</v>
      </c>
      <c r="L125">
        <v>6</v>
      </c>
      <c r="M125" s="7">
        <v>76.790000000000006</v>
      </c>
      <c r="N125" s="7">
        <v>3329.89</v>
      </c>
      <c r="O125" t="s">
        <v>20</v>
      </c>
    </row>
    <row r="126" spans="1:15" x14ac:dyDescent="0.3">
      <c r="A126" t="s">
        <v>151</v>
      </c>
      <c r="B126" t="s">
        <v>15</v>
      </c>
      <c r="C126">
        <v>62</v>
      </c>
      <c r="D126" t="s">
        <v>16</v>
      </c>
      <c r="E126">
        <v>71</v>
      </c>
      <c r="F126" t="str">
        <f t="shared" si="1"/>
        <v>49+ Months</v>
      </c>
      <c r="G126" t="s">
        <v>23</v>
      </c>
      <c r="H126" t="s">
        <v>36</v>
      </c>
      <c r="I126" t="s">
        <v>30</v>
      </c>
      <c r="J126" t="s">
        <v>20</v>
      </c>
      <c r="K126" t="s">
        <v>16</v>
      </c>
      <c r="L126">
        <v>6</v>
      </c>
      <c r="M126" s="7">
        <v>68.63</v>
      </c>
      <c r="N126" s="7">
        <v>5184.72</v>
      </c>
      <c r="O126" t="s">
        <v>20</v>
      </c>
    </row>
    <row r="127" spans="1:15" x14ac:dyDescent="0.3">
      <c r="A127" t="s">
        <v>152</v>
      </c>
      <c r="B127" t="s">
        <v>22</v>
      </c>
      <c r="C127">
        <v>31</v>
      </c>
      <c r="D127" t="s">
        <v>20</v>
      </c>
      <c r="E127">
        <v>63</v>
      </c>
      <c r="F127" t="str">
        <f t="shared" si="1"/>
        <v>49+ Months</v>
      </c>
      <c r="G127" t="s">
        <v>17</v>
      </c>
      <c r="H127" t="s">
        <v>18</v>
      </c>
      <c r="I127" t="s">
        <v>24</v>
      </c>
      <c r="J127" t="s">
        <v>16</v>
      </c>
      <c r="K127" t="s">
        <v>16</v>
      </c>
      <c r="L127">
        <v>4</v>
      </c>
      <c r="M127" s="7">
        <v>73.680000000000007</v>
      </c>
      <c r="N127" s="7">
        <v>4336.43</v>
      </c>
      <c r="O127" t="s">
        <v>20</v>
      </c>
    </row>
    <row r="128" spans="1:15" x14ac:dyDescent="0.3">
      <c r="A128" t="s">
        <v>153</v>
      </c>
      <c r="B128" t="s">
        <v>22</v>
      </c>
      <c r="C128">
        <v>73</v>
      </c>
      <c r="D128" t="s">
        <v>16</v>
      </c>
      <c r="E128">
        <v>19</v>
      </c>
      <c r="F128" t="str">
        <f t="shared" si="1"/>
        <v>13-24 Months</v>
      </c>
      <c r="G128" t="s">
        <v>17</v>
      </c>
      <c r="H128" t="s">
        <v>20</v>
      </c>
      <c r="I128" t="s">
        <v>30</v>
      </c>
      <c r="J128" t="s">
        <v>20</v>
      </c>
      <c r="K128" t="s">
        <v>20</v>
      </c>
      <c r="L128">
        <v>3</v>
      </c>
      <c r="M128" s="7">
        <v>42</v>
      </c>
      <c r="N128" s="7">
        <v>752.6</v>
      </c>
      <c r="O128" t="s">
        <v>16</v>
      </c>
    </row>
    <row r="129" spans="1:15" x14ac:dyDescent="0.3">
      <c r="A129" t="s">
        <v>154</v>
      </c>
      <c r="B129" t="s">
        <v>15</v>
      </c>
      <c r="C129">
        <v>47</v>
      </c>
      <c r="D129" t="s">
        <v>20</v>
      </c>
      <c r="E129">
        <v>47</v>
      </c>
      <c r="F129" t="str">
        <f t="shared" si="1"/>
        <v>25-48 Months</v>
      </c>
      <c r="G129" t="s">
        <v>17</v>
      </c>
      <c r="H129" t="s">
        <v>20</v>
      </c>
      <c r="I129" t="s">
        <v>27</v>
      </c>
      <c r="J129" t="s">
        <v>20</v>
      </c>
      <c r="K129" t="s">
        <v>20</v>
      </c>
      <c r="L129">
        <v>3</v>
      </c>
      <c r="M129" s="7">
        <v>32.69</v>
      </c>
      <c r="N129" s="7">
        <v>1569.83</v>
      </c>
      <c r="O129" t="s">
        <v>20</v>
      </c>
    </row>
    <row r="130" spans="1:15" x14ac:dyDescent="0.3">
      <c r="A130" t="s">
        <v>155</v>
      </c>
      <c r="B130" t="s">
        <v>22</v>
      </c>
      <c r="C130">
        <v>67</v>
      </c>
      <c r="D130" t="s">
        <v>16</v>
      </c>
      <c r="E130">
        <v>14</v>
      </c>
      <c r="F130" t="str">
        <f t="shared" ref="F130:F193" si="2">IF(E130&lt;=6,"0-6 Months",
 IF(E130&lt;=12,"7-12 Months",
 IF(E130&lt;=24,"13-24 Months",
 IF(E130&lt;=48,"25-48 Months","49+ Months"))))</f>
        <v>13-24 Months</v>
      </c>
      <c r="G130" t="s">
        <v>23</v>
      </c>
      <c r="H130" t="s">
        <v>36</v>
      </c>
      <c r="I130" t="s">
        <v>30</v>
      </c>
      <c r="J130" t="s">
        <v>20</v>
      </c>
      <c r="K130" t="s">
        <v>20</v>
      </c>
      <c r="L130">
        <v>8</v>
      </c>
      <c r="M130" s="7">
        <v>68.790000000000006</v>
      </c>
      <c r="N130" s="7">
        <v>1017.01</v>
      </c>
      <c r="O130" t="s">
        <v>20</v>
      </c>
    </row>
    <row r="131" spans="1:15" x14ac:dyDescent="0.3">
      <c r="A131" t="s">
        <v>156</v>
      </c>
      <c r="B131" t="s">
        <v>22</v>
      </c>
      <c r="C131">
        <v>21</v>
      </c>
      <c r="D131" t="s">
        <v>20</v>
      </c>
      <c r="E131">
        <v>38</v>
      </c>
      <c r="F131" t="str">
        <f t="shared" si="2"/>
        <v>25-48 Months</v>
      </c>
      <c r="G131" t="s">
        <v>35</v>
      </c>
      <c r="H131" t="s">
        <v>20</v>
      </c>
      <c r="I131" t="s">
        <v>30</v>
      </c>
      <c r="J131" t="s">
        <v>20</v>
      </c>
      <c r="K131" t="s">
        <v>20</v>
      </c>
      <c r="L131">
        <v>1</v>
      </c>
      <c r="M131" s="7">
        <v>20</v>
      </c>
      <c r="N131" s="7">
        <v>710.81</v>
      </c>
      <c r="O131" t="s">
        <v>20</v>
      </c>
    </row>
    <row r="132" spans="1:15" x14ac:dyDescent="0.3">
      <c r="A132" t="s">
        <v>157</v>
      </c>
      <c r="B132" t="s">
        <v>22</v>
      </c>
      <c r="C132">
        <v>35</v>
      </c>
      <c r="D132" t="s">
        <v>20</v>
      </c>
      <c r="E132">
        <v>53</v>
      </c>
      <c r="F132" t="str">
        <f t="shared" si="2"/>
        <v>49+ Months</v>
      </c>
      <c r="G132" t="s">
        <v>23</v>
      </c>
      <c r="H132" t="s">
        <v>36</v>
      </c>
      <c r="I132" t="s">
        <v>27</v>
      </c>
      <c r="J132" t="s">
        <v>20</v>
      </c>
      <c r="K132" t="s">
        <v>16</v>
      </c>
      <c r="L132">
        <v>3</v>
      </c>
      <c r="M132" s="7">
        <v>63.73</v>
      </c>
      <c r="N132" s="7">
        <v>3504.02</v>
      </c>
      <c r="O132" t="s">
        <v>20</v>
      </c>
    </row>
    <row r="133" spans="1:15" x14ac:dyDescent="0.3">
      <c r="A133" t="s">
        <v>158</v>
      </c>
      <c r="B133" t="s">
        <v>15</v>
      </c>
      <c r="C133">
        <v>54</v>
      </c>
      <c r="D133" t="s">
        <v>20</v>
      </c>
      <c r="E133">
        <v>61</v>
      </c>
      <c r="F133" t="str">
        <f t="shared" si="2"/>
        <v>49+ Months</v>
      </c>
      <c r="G133" t="s">
        <v>23</v>
      </c>
      <c r="H133" t="s">
        <v>18</v>
      </c>
      <c r="I133" t="s">
        <v>30</v>
      </c>
      <c r="J133" t="s">
        <v>16</v>
      </c>
      <c r="K133" t="s">
        <v>20</v>
      </c>
      <c r="L133">
        <v>5</v>
      </c>
      <c r="M133" s="7">
        <v>87.88</v>
      </c>
      <c r="N133" s="7">
        <v>5568.68</v>
      </c>
      <c r="O133" t="s">
        <v>20</v>
      </c>
    </row>
    <row r="134" spans="1:15" x14ac:dyDescent="0.3">
      <c r="A134" t="s">
        <v>159</v>
      </c>
      <c r="B134" t="s">
        <v>15</v>
      </c>
      <c r="C134">
        <v>42</v>
      </c>
      <c r="D134" t="s">
        <v>20</v>
      </c>
      <c r="E134">
        <v>36</v>
      </c>
      <c r="F134" t="str">
        <f t="shared" si="2"/>
        <v>25-48 Months</v>
      </c>
      <c r="G134" t="s">
        <v>17</v>
      </c>
      <c r="H134" t="s">
        <v>36</v>
      </c>
      <c r="I134" t="s">
        <v>24</v>
      </c>
      <c r="J134" t="s">
        <v>20</v>
      </c>
      <c r="K134" t="s">
        <v>20</v>
      </c>
      <c r="L134">
        <v>4</v>
      </c>
      <c r="M134" s="7">
        <v>48.53</v>
      </c>
      <c r="N134" s="7">
        <v>1769.87</v>
      </c>
      <c r="O134" t="s">
        <v>16</v>
      </c>
    </row>
    <row r="135" spans="1:15" x14ac:dyDescent="0.3">
      <c r="A135" t="s">
        <v>160</v>
      </c>
      <c r="B135" t="s">
        <v>15</v>
      </c>
      <c r="C135">
        <v>65</v>
      </c>
      <c r="D135" t="s">
        <v>16</v>
      </c>
      <c r="E135">
        <v>40</v>
      </c>
      <c r="F135" t="str">
        <f t="shared" si="2"/>
        <v>25-48 Months</v>
      </c>
      <c r="G135" t="s">
        <v>23</v>
      </c>
      <c r="H135" t="s">
        <v>18</v>
      </c>
      <c r="I135" t="s">
        <v>24</v>
      </c>
      <c r="J135" t="s">
        <v>20</v>
      </c>
      <c r="K135" t="s">
        <v>20</v>
      </c>
      <c r="L135">
        <v>3</v>
      </c>
      <c r="M135" s="7">
        <v>61.02</v>
      </c>
      <c r="N135" s="7">
        <v>2435.62</v>
      </c>
      <c r="O135" t="s">
        <v>20</v>
      </c>
    </row>
    <row r="136" spans="1:15" x14ac:dyDescent="0.3">
      <c r="A136" t="s">
        <v>161</v>
      </c>
      <c r="B136" t="s">
        <v>15</v>
      </c>
      <c r="C136">
        <v>18</v>
      </c>
      <c r="D136" t="s">
        <v>20</v>
      </c>
      <c r="E136">
        <v>30</v>
      </c>
      <c r="F136" t="str">
        <f t="shared" si="2"/>
        <v>25-48 Months</v>
      </c>
      <c r="G136" t="s">
        <v>23</v>
      </c>
      <c r="H136" t="s">
        <v>18</v>
      </c>
      <c r="I136" t="s">
        <v>30</v>
      </c>
      <c r="J136" t="s">
        <v>16</v>
      </c>
      <c r="K136" t="s">
        <v>16</v>
      </c>
      <c r="L136">
        <v>4</v>
      </c>
      <c r="M136" s="7">
        <v>74.819999999999993</v>
      </c>
      <c r="N136" s="7">
        <v>2180.35</v>
      </c>
      <c r="O136" t="s">
        <v>20</v>
      </c>
    </row>
    <row r="137" spans="1:15" x14ac:dyDescent="0.3">
      <c r="A137" t="s">
        <v>162</v>
      </c>
      <c r="B137" t="s">
        <v>15</v>
      </c>
      <c r="C137">
        <v>70</v>
      </c>
      <c r="D137" t="s">
        <v>16</v>
      </c>
      <c r="E137">
        <v>9</v>
      </c>
      <c r="F137" t="str">
        <f t="shared" si="2"/>
        <v>7-12 Months</v>
      </c>
      <c r="G137" t="s">
        <v>17</v>
      </c>
      <c r="H137" t="s">
        <v>20</v>
      </c>
      <c r="I137" t="s">
        <v>30</v>
      </c>
      <c r="J137" t="s">
        <v>20</v>
      </c>
      <c r="K137" t="s">
        <v>20</v>
      </c>
      <c r="L137">
        <v>2</v>
      </c>
      <c r="M137" s="7">
        <v>39.630000000000003</v>
      </c>
      <c r="N137" s="7">
        <v>348.19</v>
      </c>
      <c r="O137" t="s">
        <v>16</v>
      </c>
    </row>
    <row r="138" spans="1:15" x14ac:dyDescent="0.3">
      <c r="A138" t="s">
        <v>163</v>
      </c>
      <c r="B138" t="s">
        <v>15</v>
      </c>
      <c r="C138">
        <v>63</v>
      </c>
      <c r="D138" t="s">
        <v>16</v>
      </c>
      <c r="E138">
        <v>64</v>
      </c>
      <c r="F138" t="str">
        <f t="shared" si="2"/>
        <v>49+ Months</v>
      </c>
      <c r="G138" t="s">
        <v>17</v>
      </c>
      <c r="H138" t="s">
        <v>36</v>
      </c>
      <c r="I138" t="s">
        <v>24</v>
      </c>
      <c r="J138" t="s">
        <v>20</v>
      </c>
      <c r="K138" t="s">
        <v>20</v>
      </c>
      <c r="L138">
        <v>3</v>
      </c>
      <c r="M138" s="7">
        <v>51.31</v>
      </c>
      <c r="N138" s="7">
        <v>3375.49</v>
      </c>
      <c r="O138" t="s">
        <v>20</v>
      </c>
    </row>
    <row r="139" spans="1:15" x14ac:dyDescent="0.3">
      <c r="A139" t="s">
        <v>164</v>
      </c>
      <c r="B139" t="s">
        <v>15</v>
      </c>
      <c r="C139">
        <v>32</v>
      </c>
      <c r="D139" t="s">
        <v>20</v>
      </c>
      <c r="E139">
        <v>33</v>
      </c>
      <c r="F139" t="str">
        <f t="shared" si="2"/>
        <v>25-48 Months</v>
      </c>
      <c r="G139" t="s">
        <v>17</v>
      </c>
      <c r="H139" t="s">
        <v>20</v>
      </c>
      <c r="I139" t="s">
        <v>19</v>
      </c>
      <c r="J139" t="s">
        <v>16</v>
      </c>
      <c r="K139" t="s">
        <v>20</v>
      </c>
      <c r="L139">
        <v>3</v>
      </c>
      <c r="M139" s="7">
        <v>35.549999999999997</v>
      </c>
      <c r="N139" s="7">
        <v>1091.55</v>
      </c>
      <c r="O139" t="s">
        <v>20</v>
      </c>
    </row>
    <row r="140" spans="1:15" x14ac:dyDescent="0.3">
      <c r="A140" t="s">
        <v>165</v>
      </c>
      <c r="B140" t="s">
        <v>15</v>
      </c>
      <c r="C140">
        <v>26</v>
      </c>
      <c r="D140" t="s">
        <v>20</v>
      </c>
      <c r="E140">
        <v>52</v>
      </c>
      <c r="F140" t="str">
        <f t="shared" si="2"/>
        <v>49+ Months</v>
      </c>
      <c r="G140" t="s">
        <v>35</v>
      </c>
      <c r="H140" t="s">
        <v>18</v>
      </c>
      <c r="I140" t="s">
        <v>27</v>
      </c>
      <c r="J140" t="s">
        <v>20</v>
      </c>
      <c r="K140" t="s">
        <v>20</v>
      </c>
      <c r="L140">
        <v>4</v>
      </c>
      <c r="M140" s="7">
        <v>85.93</v>
      </c>
      <c r="N140" s="7">
        <v>4529.08</v>
      </c>
      <c r="O140" t="s">
        <v>20</v>
      </c>
    </row>
    <row r="141" spans="1:15" x14ac:dyDescent="0.3">
      <c r="A141" t="s">
        <v>166</v>
      </c>
      <c r="B141" t="s">
        <v>15</v>
      </c>
      <c r="C141">
        <v>32</v>
      </c>
      <c r="D141" t="s">
        <v>20</v>
      </c>
      <c r="E141">
        <v>14</v>
      </c>
      <c r="F141" t="str">
        <f t="shared" si="2"/>
        <v>13-24 Months</v>
      </c>
      <c r="G141" t="s">
        <v>17</v>
      </c>
      <c r="H141" t="s">
        <v>36</v>
      </c>
      <c r="I141" t="s">
        <v>24</v>
      </c>
      <c r="J141" t="s">
        <v>20</v>
      </c>
      <c r="K141" t="s">
        <v>16</v>
      </c>
      <c r="L141">
        <v>3</v>
      </c>
      <c r="M141" s="7">
        <v>48.08</v>
      </c>
      <c r="N141" s="7">
        <v>649.29</v>
      </c>
      <c r="O141" t="s">
        <v>20</v>
      </c>
    </row>
    <row r="142" spans="1:15" x14ac:dyDescent="0.3">
      <c r="A142" t="s">
        <v>167</v>
      </c>
      <c r="B142" t="s">
        <v>22</v>
      </c>
      <c r="C142">
        <v>66</v>
      </c>
      <c r="D142" t="s">
        <v>16</v>
      </c>
      <c r="E142">
        <v>53</v>
      </c>
      <c r="F142" t="str">
        <f t="shared" si="2"/>
        <v>49+ Months</v>
      </c>
      <c r="G142" t="s">
        <v>23</v>
      </c>
      <c r="H142" t="s">
        <v>18</v>
      </c>
      <c r="I142" t="s">
        <v>19</v>
      </c>
      <c r="J142" t="s">
        <v>20</v>
      </c>
      <c r="K142" t="s">
        <v>16</v>
      </c>
      <c r="L142">
        <v>4</v>
      </c>
      <c r="M142" s="7">
        <v>74.23</v>
      </c>
      <c r="N142" s="7">
        <v>3913.17</v>
      </c>
      <c r="O142" t="s">
        <v>20</v>
      </c>
    </row>
    <row r="143" spans="1:15" x14ac:dyDescent="0.3">
      <c r="A143" t="s">
        <v>168</v>
      </c>
      <c r="B143" t="s">
        <v>15</v>
      </c>
      <c r="C143">
        <v>74</v>
      </c>
      <c r="D143" t="s">
        <v>16</v>
      </c>
      <c r="E143">
        <v>59</v>
      </c>
      <c r="F143" t="str">
        <f t="shared" si="2"/>
        <v>49+ Months</v>
      </c>
      <c r="G143" t="s">
        <v>17</v>
      </c>
      <c r="H143" t="s">
        <v>36</v>
      </c>
      <c r="I143" t="s">
        <v>24</v>
      </c>
      <c r="J143" t="s">
        <v>20</v>
      </c>
      <c r="K143" t="s">
        <v>16</v>
      </c>
      <c r="L143">
        <v>2</v>
      </c>
      <c r="M143" s="7">
        <v>52.54</v>
      </c>
      <c r="N143" s="7">
        <v>3129.11</v>
      </c>
      <c r="O143" t="s">
        <v>20</v>
      </c>
    </row>
    <row r="144" spans="1:15" x14ac:dyDescent="0.3">
      <c r="A144" t="s">
        <v>169</v>
      </c>
      <c r="B144" t="s">
        <v>22</v>
      </c>
      <c r="C144">
        <v>41</v>
      </c>
      <c r="D144" t="s">
        <v>20</v>
      </c>
      <c r="E144">
        <v>41</v>
      </c>
      <c r="F144" t="str">
        <f t="shared" si="2"/>
        <v>25-48 Months</v>
      </c>
      <c r="G144" t="s">
        <v>17</v>
      </c>
      <c r="H144" t="s">
        <v>36</v>
      </c>
      <c r="I144" t="s">
        <v>27</v>
      </c>
      <c r="J144" t="s">
        <v>20</v>
      </c>
      <c r="K144" t="s">
        <v>20</v>
      </c>
      <c r="L144">
        <v>3</v>
      </c>
      <c r="M144" s="7">
        <v>53.04</v>
      </c>
      <c r="N144" s="7">
        <v>2308.83</v>
      </c>
      <c r="O144" t="s">
        <v>20</v>
      </c>
    </row>
    <row r="145" spans="1:15" x14ac:dyDescent="0.3">
      <c r="A145" t="s">
        <v>170</v>
      </c>
      <c r="B145" t="s">
        <v>22</v>
      </c>
      <c r="C145">
        <v>21</v>
      </c>
      <c r="D145" t="s">
        <v>20</v>
      </c>
      <c r="E145">
        <v>68</v>
      </c>
      <c r="F145" t="str">
        <f t="shared" si="2"/>
        <v>49+ Months</v>
      </c>
      <c r="G145" t="s">
        <v>17</v>
      </c>
      <c r="H145" t="s">
        <v>36</v>
      </c>
      <c r="I145" t="s">
        <v>24</v>
      </c>
      <c r="J145" t="s">
        <v>20</v>
      </c>
      <c r="K145" t="s">
        <v>20</v>
      </c>
      <c r="L145">
        <v>6</v>
      </c>
      <c r="M145" s="7">
        <v>60.86</v>
      </c>
      <c r="N145" s="7">
        <v>4190.84</v>
      </c>
      <c r="O145" t="s">
        <v>20</v>
      </c>
    </row>
    <row r="146" spans="1:15" x14ac:dyDescent="0.3">
      <c r="A146" t="s">
        <v>171</v>
      </c>
      <c r="B146" t="s">
        <v>22</v>
      </c>
      <c r="C146">
        <v>29</v>
      </c>
      <c r="D146" t="s">
        <v>20</v>
      </c>
      <c r="E146">
        <v>68</v>
      </c>
      <c r="F146" t="str">
        <f t="shared" si="2"/>
        <v>49+ Months</v>
      </c>
      <c r="G146" t="s">
        <v>17</v>
      </c>
      <c r="H146" t="s">
        <v>18</v>
      </c>
      <c r="I146" t="s">
        <v>30</v>
      </c>
      <c r="J146" t="s">
        <v>16</v>
      </c>
      <c r="K146" t="s">
        <v>20</v>
      </c>
      <c r="L146">
        <v>5</v>
      </c>
      <c r="M146" s="7">
        <v>87.95</v>
      </c>
      <c r="N146" s="7">
        <v>5719.52</v>
      </c>
      <c r="O146" t="s">
        <v>20</v>
      </c>
    </row>
    <row r="147" spans="1:15" x14ac:dyDescent="0.3">
      <c r="A147" t="s">
        <v>172</v>
      </c>
      <c r="B147" t="s">
        <v>15</v>
      </c>
      <c r="C147">
        <v>75</v>
      </c>
      <c r="D147" t="s">
        <v>16</v>
      </c>
      <c r="E147">
        <v>8</v>
      </c>
      <c r="F147" t="str">
        <f t="shared" si="2"/>
        <v>7-12 Months</v>
      </c>
      <c r="G147" t="s">
        <v>35</v>
      </c>
      <c r="H147" t="s">
        <v>18</v>
      </c>
      <c r="I147" t="s">
        <v>24</v>
      </c>
      <c r="J147" t="s">
        <v>20</v>
      </c>
      <c r="K147" t="s">
        <v>16</v>
      </c>
      <c r="L147">
        <v>4</v>
      </c>
      <c r="M147" s="7">
        <v>82.62</v>
      </c>
      <c r="N147" s="7">
        <v>616.49</v>
      </c>
      <c r="O147" t="s">
        <v>20</v>
      </c>
    </row>
    <row r="148" spans="1:15" x14ac:dyDescent="0.3">
      <c r="A148" t="s">
        <v>173</v>
      </c>
      <c r="B148" t="s">
        <v>15</v>
      </c>
      <c r="C148">
        <v>54</v>
      </c>
      <c r="D148" t="s">
        <v>20</v>
      </c>
      <c r="E148">
        <v>2</v>
      </c>
      <c r="F148" t="str">
        <f t="shared" si="2"/>
        <v>0-6 Months</v>
      </c>
      <c r="G148" t="s">
        <v>23</v>
      </c>
      <c r="H148" t="s">
        <v>18</v>
      </c>
      <c r="I148" t="s">
        <v>30</v>
      </c>
      <c r="J148" t="s">
        <v>20</v>
      </c>
      <c r="K148" t="s">
        <v>20</v>
      </c>
      <c r="L148">
        <v>6</v>
      </c>
      <c r="M148" s="7">
        <v>92.83</v>
      </c>
      <c r="N148" s="7">
        <v>189.43</v>
      </c>
      <c r="O148" t="s">
        <v>16</v>
      </c>
    </row>
    <row r="149" spans="1:15" x14ac:dyDescent="0.3">
      <c r="A149" t="s">
        <v>174</v>
      </c>
      <c r="B149" t="s">
        <v>15</v>
      </c>
      <c r="C149">
        <v>54</v>
      </c>
      <c r="D149" t="s">
        <v>20</v>
      </c>
      <c r="E149">
        <v>41</v>
      </c>
      <c r="F149" t="str">
        <f t="shared" si="2"/>
        <v>25-48 Months</v>
      </c>
      <c r="G149" t="s">
        <v>17</v>
      </c>
      <c r="H149" t="s">
        <v>36</v>
      </c>
      <c r="I149" t="s">
        <v>27</v>
      </c>
      <c r="J149" t="s">
        <v>20</v>
      </c>
      <c r="K149" t="s">
        <v>20</v>
      </c>
      <c r="L149">
        <v>3</v>
      </c>
      <c r="M149" s="7">
        <v>53.93</v>
      </c>
      <c r="N149" s="7">
        <v>2227.0700000000002</v>
      </c>
      <c r="O149" t="s">
        <v>20</v>
      </c>
    </row>
    <row r="150" spans="1:15" x14ac:dyDescent="0.3">
      <c r="A150" t="s">
        <v>175</v>
      </c>
      <c r="B150" t="s">
        <v>15</v>
      </c>
      <c r="C150">
        <v>60</v>
      </c>
      <c r="D150" t="s">
        <v>16</v>
      </c>
      <c r="E150">
        <v>55</v>
      </c>
      <c r="F150" t="str">
        <f t="shared" si="2"/>
        <v>49+ Months</v>
      </c>
      <c r="G150" t="s">
        <v>35</v>
      </c>
      <c r="H150" t="s">
        <v>20</v>
      </c>
      <c r="I150" t="s">
        <v>19</v>
      </c>
      <c r="J150" t="s">
        <v>20</v>
      </c>
      <c r="K150" t="s">
        <v>16</v>
      </c>
      <c r="L150">
        <v>6</v>
      </c>
      <c r="M150" s="7">
        <v>36.67</v>
      </c>
      <c r="N150" s="7">
        <v>2072.29</v>
      </c>
      <c r="O150" t="s">
        <v>20</v>
      </c>
    </row>
    <row r="151" spans="1:15" x14ac:dyDescent="0.3">
      <c r="A151" t="s">
        <v>176</v>
      </c>
      <c r="B151" t="s">
        <v>22</v>
      </c>
      <c r="C151">
        <v>23</v>
      </c>
      <c r="D151" t="s">
        <v>20</v>
      </c>
      <c r="E151">
        <v>16</v>
      </c>
      <c r="F151" t="str">
        <f t="shared" si="2"/>
        <v>13-24 Months</v>
      </c>
      <c r="G151" t="s">
        <v>17</v>
      </c>
      <c r="H151" t="s">
        <v>18</v>
      </c>
      <c r="I151" t="s">
        <v>30</v>
      </c>
      <c r="J151" t="s">
        <v>16</v>
      </c>
      <c r="K151" t="s">
        <v>20</v>
      </c>
      <c r="L151">
        <v>3</v>
      </c>
      <c r="M151" s="7">
        <v>75.08</v>
      </c>
      <c r="N151" s="7">
        <v>1193.48</v>
      </c>
      <c r="O151" t="s">
        <v>16</v>
      </c>
    </row>
    <row r="152" spans="1:15" x14ac:dyDescent="0.3">
      <c r="A152" t="s">
        <v>177</v>
      </c>
      <c r="B152" t="s">
        <v>15</v>
      </c>
      <c r="C152">
        <v>56</v>
      </c>
      <c r="D152" t="s">
        <v>20</v>
      </c>
      <c r="E152">
        <v>62</v>
      </c>
      <c r="F152" t="str">
        <f t="shared" si="2"/>
        <v>49+ Months</v>
      </c>
      <c r="G152" t="s">
        <v>35</v>
      </c>
      <c r="H152" t="s">
        <v>36</v>
      </c>
      <c r="I152" t="s">
        <v>19</v>
      </c>
      <c r="J152" t="s">
        <v>20</v>
      </c>
      <c r="K152" t="s">
        <v>16</v>
      </c>
      <c r="L152">
        <v>4</v>
      </c>
      <c r="M152" s="7">
        <v>50.8</v>
      </c>
      <c r="N152" s="7">
        <v>3313.44</v>
      </c>
      <c r="O152" t="s">
        <v>20</v>
      </c>
    </row>
    <row r="153" spans="1:15" x14ac:dyDescent="0.3">
      <c r="A153" t="s">
        <v>178</v>
      </c>
      <c r="B153" t="s">
        <v>15</v>
      </c>
      <c r="C153">
        <v>73</v>
      </c>
      <c r="D153" t="s">
        <v>16</v>
      </c>
      <c r="E153">
        <v>48</v>
      </c>
      <c r="F153" t="str">
        <f t="shared" si="2"/>
        <v>25-48 Months</v>
      </c>
      <c r="G153" t="s">
        <v>17</v>
      </c>
      <c r="H153" t="s">
        <v>20</v>
      </c>
      <c r="I153" t="s">
        <v>24</v>
      </c>
      <c r="J153" t="s">
        <v>20</v>
      </c>
      <c r="K153" t="s">
        <v>16</v>
      </c>
      <c r="L153">
        <v>4</v>
      </c>
      <c r="M153" s="7">
        <v>26.81</v>
      </c>
      <c r="N153" s="7">
        <v>1373.4</v>
      </c>
      <c r="O153" t="s">
        <v>20</v>
      </c>
    </row>
    <row r="154" spans="1:15" x14ac:dyDescent="0.3">
      <c r="A154" t="s">
        <v>179</v>
      </c>
      <c r="B154" t="s">
        <v>15</v>
      </c>
      <c r="C154">
        <v>63</v>
      </c>
      <c r="D154" t="s">
        <v>16</v>
      </c>
      <c r="E154">
        <v>30</v>
      </c>
      <c r="F154" t="str">
        <f t="shared" si="2"/>
        <v>25-48 Months</v>
      </c>
      <c r="G154" t="s">
        <v>17</v>
      </c>
      <c r="H154" t="s">
        <v>36</v>
      </c>
      <c r="I154" t="s">
        <v>27</v>
      </c>
      <c r="J154" t="s">
        <v>20</v>
      </c>
      <c r="K154" t="s">
        <v>16</v>
      </c>
      <c r="L154">
        <v>2</v>
      </c>
      <c r="M154" s="7">
        <v>49.08</v>
      </c>
      <c r="N154" s="7">
        <v>1364.03</v>
      </c>
      <c r="O154" t="s">
        <v>20</v>
      </c>
    </row>
    <row r="155" spans="1:15" x14ac:dyDescent="0.3">
      <c r="A155" t="s">
        <v>180</v>
      </c>
      <c r="B155" t="s">
        <v>15</v>
      </c>
      <c r="C155">
        <v>41</v>
      </c>
      <c r="D155" t="s">
        <v>20</v>
      </c>
      <c r="E155">
        <v>12</v>
      </c>
      <c r="F155" t="str">
        <f t="shared" si="2"/>
        <v>7-12 Months</v>
      </c>
      <c r="G155" t="s">
        <v>17</v>
      </c>
      <c r="H155" t="s">
        <v>36</v>
      </c>
      <c r="I155" t="s">
        <v>24</v>
      </c>
      <c r="J155" t="s">
        <v>20</v>
      </c>
      <c r="K155" t="s">
        <v>20</v>
      </c>
      <c r="L155">
        <v>6</v>
      </c>
      <c r="M155" s="7">
        <v>67.709999999999994</v>
      </c>
      <c r="N155" s="7">
        <v>844.25</v>
      </c>
      <c r="O155" t="s">
        <v>16</v>
      </c>
    </row>
    <row r="156" spans="1:15" x14ac:dyDescent="0.3">
      <c r="A156" t="s">
        <v>181</v>
      </c>
      <c r="B156" t="s">
        <v>15</v>
      </c>
      <c r="C156">
        <v>28</v>
      </c>
      <c r="D156" t="s">
        <v>20</v>
      </c>
      <c r="E156">
        <v>35</v>
      </c>
      <c r="F156" t="str">
        <f t="shared" si="2"/>
        <v>25-48 Months</v>
      </c>
      <c r="G156" t="s">
        <v>17</v>
      </c>
      <c r="H156" t="s">
        <v>20</v>
      </c>
      <c r="I156" t="s">
        <v>30</v>
      </c>
      <c r="J156" t="s">
        <v>20</v>
      </c>
      <c r="K156" t="s">
        <v>20</v>
      </c>
      <c r="L156">
        <v>2</v>
      </c>
      <c r="M156" s="7">
        <v>44.19</v>
      </c>
      <c r="N156" s="7">
        <v>1431.62</v>
      </c>
      <c r="O156" t="s">
        <v>20</v>
      </c>
    </row>
    <row r="157" spans="1:15" x14ac:dyDescent="0.3">
      <c r="A157" t="s">
        <v>182</v>
      </c>
      <c r="B157" t="s">
        <v>22</v>
      </c>
      <c r="C157">
        <v>30</v>
      </c>
      <c r="D157" t="s">
        <v>20</v>
      </c>
      <c r="E157">
        <v>11</v>
      </c>
      <c r="F157" t="str">
        <f t="shared" si="2"/>
        <v>7-12 Months</v>
      </c>
      <c r="G157" t="s">
        <v>17</v>
      </c>
      <c r="H157" t="s">
        <v>18</v>
      </c>
      <c r="I157" t="s">
        <v>24</v>
      </c>
      <c r="J157" t="s">
        <v>20</v>
      </c>
      <c r="K157" t="s">
        <v>16</v>
      </c>
      <c r="L157">
        <v>4</v>
      </c>
      <c r="M157" s="7">
        <v>70.56</v>
      </c>
      <c r="N157" s="7">
        <v>769.34</v>
      </c>
      <c r="O157" t="s">
        <v>20</v>
      </c>
    </row>
    <row r="158" spans="1:15" x14ac:dyDescent="0.3">
      <c r="A158" t="s">
        <v>183</v>
      </c>
      <c r="B158" t="s">
        <v>15</v>
      </c>
      <c r="C158">
        <v>51</v>
      </c>
      <c r="D158" t="s">
        <v>20</v>
      </c>
      <c r="E158">
        <v>64</v>
      </c>
      <c r="F158" t="str">
        <f t="shared" si="2"/>
        <v>49+ Months</v>
      </c>
      <c r="G158" t="s">
        <v>23</v>
      </c>
      <c r="H158" t="s">
        <v>18</v>
      </c>
      <c r="I158" t="s">
        <v>24</v>
      </c>
      <c r="J158" t="s">
        <v>20</v>
      </c>
      <c r="K158" t="s">
        <v>20</v>
      </c>
      <c r="L158">
        <v>6</v>
      </c>
      <c r="M158" s="7">
        <v>91.74</v>
      </c>
      <c r="N158" s="7">
        <v>5835.29</v>
      </c>
      <c r="O158" t="s">
        <v>16</v>
      </c>
    </row>
    <row r="159" spans="1:15" x14ac:dyDescent="0.3">
      <c r="A159" t="s">
        <v>184</v>
      </c>
      <c r="B159" t="s">
        <v>22</v>
      </c>
      <c r="C159">
        <v>42</v>
      </c>
      <c r="D159" t="s">
        <v>20</v>
      </c>
      <c r="E159">
        <v>50</v>
      </c>
      <c r="F159" t="str">
        <f t="shared" si="2"/>
        <v>49+ Months</v>
      </c>
      <c r="G159" t="s">
        <v>35</v>
      </c>
      <c r="H159" t="s">
        <v>18</v>
      </c>
      <c r="I159" t="s">
        <v>24</v>
      </c>
      <c r="J159" t="s">
        <v>20</v>
      </c>
      <c r="K159" t="s">
        <v>20</v>
      </c>
      <c r="L159">
        <v>2</v>
      </c>
      <c r="M159" s="7">
        <v>59.81</v>
      </c>
      <c r="N159" s="7">
        <v>3084.39</v>
      </c>
      <c r="O159" t="s">
        <v>20</v>
      </c>
    </row>
    <row r="160" spans="1:15" x14ac:dyDescent="0.3">
      <c r="A160" t="s">
        <v>185</v>
      </c>
      <c r="B160" t="s">
        <v>15</v>
      </c>
      <c r="C160">
        <v>24</v>
      </c>
      <c r="D160" t="s">
        <v>20</v>
      </c>
      <c r="E160">
        <v>21</v>
      </c>
      <c r="F160" t="str">
        <f t="shared" si="2"/>
        <v>13-24 Months</v>
      </c>
      <c r="G160" t="s">
        <v>23</v>
      </c>
      <c r="H160" t="s">
        <v>20</v>
      </c>
      <c r="I160" t="s">
        <v>30</v>
      </c>
      <c r="J160" t="s">
        <v>20</v>
      </c>
      <c r="K160" t="s">
        <v>20</v>
      </c>
      <c r="L160">
        <v>3</v>
      </c>
      <c r="M160" s="7">
        <v>45.89</v>
      </c>
      <c r="N160" s="7">
        <v>940.93</v>
      </c>
      <c r="O160" t="s">
        <v>20</v>
      </c>
    </row>
    <row r="161" spans="1:15" x14ac:dyDescent="0.3">
      <c r="A161" t="s">
        <v>186</v>
      </c>
      <c r="B161" t="s">
        <v>22</v>
      </c>
      <c r="C161">
        <v>69</v>
      </c>
      <c r="D161" t="s">
        <v>16</v>
      </c>
      <c r="E161">
        <v>69</v>
      </c>
      <c r="F161" t="str">
        <f t="shared" si="2"/>
        <v>49+ Months</v>
      </c>
      <c r="G161" t="s">
        <v>17</v>
      </c>
      <c r="H161" t="s">
        <v>20</v>
      </c>
      <c r="I161" t="s">
        <v>19</v>
      </c>
      <c r="J161" t="s">
        <v>16</v>
      </c>
      <c r="K161" t="s">
        <v>16</v>
      </c>
      <c r="L161">
        <v>4</v>
      </c>
      <c r="M161" s="7">
        <v>36.1</v>
      </c>
      <c r="N161" s="7">
        <v>2618.79</v>
      </c>
      <c r="O161" t="s">
        <v>20</v>
      </c>
    </row>
    <row r="162" spans="1:15" x14ac:dyDescent="0.3">
      <c r="A162" t="s">
        <v>187</v>
      </c>
      <c r="B162" t="s">
        <v>15</v>
      </c>
      <c r="C162">
        <v>21</v>
      </c>
      <c r="D162" t="s">
        <v>20</v>
      </c>
      <c r="E162">
        <v>48</v>
      </c>
      <c r="F162" t="str">
        <f t="shared" si="2"/>
        <v>25-48 Months</v>
      </c>
      <c r="G162" t="s">
        <v>17</v>
      </c>
      <c r="H162" t="s">
        <v>36</v>
      </c>
      <c r="I162" t="s">
        <v>30</v>
      </c>
      <c r="J162" t="s">
        <v>16</v>
      </c>
      <c r="K162" t="s">
        <v>20</v>
      </c>
      <c r="L162">
        <v>4</v>
      </c>
      <c r="M162" s="7">
        <v>56.66</v>
      </c>
      <c r="N162" s="7">
        <v>2651.3</v>
      </c>
      <c r="O162" t="s">
        <v>20</v>
      </c>
    </row>
    <row r="163" spans="1:15" x14ac:dyDescent="0.3">
      <c r="A163" t="s">
        <v>188</v>
      </c>
      <c r="B163" t="s">
        <v>15</v>
      </c>
      <c r="C163">
        <v>25</v>
      </c>
      <c r="D163" t="s">
        <v>20</v>
      </c>
      <c r="E163">
        <v>20</v>
      </c>
      <c r="F163" t="str">
        <f t="shared" si="2"/>
        <v>13-24 Months</v>
      </c>
      <c r="G163" t="s">
        <v>17</v>
      </c>
      <c r="H163" t="s">
        <v>18</v>
      </c>
      <c r="I163" t="s">
        <v>24</v>
      </c>
      <c r="J163" t="s">
        <v>20</v>
      </c>
      <c r="K163" t="s">
        <v>20</v>
      </c>
      <c r="L163">
        <v>3</v>
      </c>
      <c r="M163" s="7">
        <v>72.75</v>
      </c>
      <c r="N163" s="7">
        <v>1418.34</v>
      </c>
      <c r="O163" t="s">
        <v>20</v>
      </c>
    </row>
    <row r="164" spans="1:15" x14ac:dyDescent="0.3">
      <c r="A164" t="s">
        <v>189</v>
      </c>
      <c r="B164" t="s">
        <v>22</v>
      </c>
      <c r="C164">
        <v>37</v>
      </c>
      <c r="D164" t="s">
        <v>20</v>
      </c>
      <c r="E164">
        <v>67</v>
      </c>
      <c r="F164" t="str">
        <f t="shared" si="2"/>
        <v>49+ Months</v>
      </c>
      <c r="G164" t="s">
        <v>17</v>
      </c>
      <c r="H164" t="s">
        <v>18</v>
      </c>
      <c r="I164" t="s">
        <v>24</v>
      </c>
      <c r="J164" t="s">
        <v>16</v>
      </c>
      <c r="K164" t="s">
        <v>16</v>
      </c>
      <c r="L164">
        <v>4</v>
      </c>
      <c r="M164" s="7">
        <v>84.31</v>
      </c>
      <c r="N164" s="7">
        <v>5398.2</v>
      </c>
      <c r="O164" t="s">
        <v>20</v>
      </c>
    </row>
    <row r="165" spans="1:15" x14ac:dyDescent="0.3">
      <c r="A165" t="s">
        <v>190</v>
      </c>
      <c r="B165" t="s">
        <v>22</v>
      </c>
      <c r="C165">
        <v>46</v>
      </c>
      <c r="D165" t="s">
        <v>20</v>
      </c>
      <c r="E165">
        <v>44</v>
      </c>
      <c r="F165" t="str">
        <f t="shared" si="2"/>
        <v>25-48 Months</v>
      </c>
      <c r="G165" t="s">
        <v>23</v>
      </c>
      <c r="H165" t="s">
        <v>18</v>
      </c>
      <c r="I165" t="s">
        <v>27</v>
      </c>
      <c r="J165" t="s">
        <v>20</v>
      </c>
      <c r="K165" t="s">
        <v>20</v>
      </c>
      <c r="L165">
        <v>6</v>
      </c>
      <c r="M165" s="7">
        <v>76.849999999999994</v>
      </c>
      <c r="N165" s="7">
        <v>3480.88</v>
      </c>
      <c r="O165" t="s">
        <v>20</v>
      </c>
    </row>
    <row r="166" spans="1:15" x14ac:dyDescent="0.3">
      <c r="A166" t="s">
        <v>191</v>
      </c>
      <c r="B166" t="s">
        <v>22</v>
      </c>
      <c r="C166">
        <v>71</v>
      </c>
      <c r="D166" t="s">
        <v>16</v>
      </c>
      <c r="E166">
        <v>33</v>
      </c>
      <c r="F166" t="str">
        <f t="shared" si="2"/>
        <v>25-48 Months</v>
      </c>
      <c r="G166" t="s">
        <v>17</v>
      </c>
      <c r="H166" t="s">
        <v>18</v>
      </c>
      <c r="I166" t="s">
        <v>27</v>
      </c>
      <c r="J166" t="s">
        <v>16</v>
      </c>
      <c r="K166" t="s">
        <v>20</v>
      </c>
      <c r="L166">
        <v>3</v>
      </c>
      <c r="M166" s="7">
        <v>73.760000000000005</v>
      </c>
      <c r="N166" s="7">
        <v>2269.1799999999998</v>
      </c>
      <c r="O166" t="s">
        <v>20</v>
      </c>
    </row>
    <row r="167" spans="1:15" x14ac:dyDescent="0.3">
      <c r="A167" t="s">
        <v>192</v>
      </c>
      <c r="B167" t="s">
        <v>15</v>
      </c>
      <c r="C167">
        <v>70</v>
      </c>
      <c r="D167" t="s">
        <v>16</v>
      </c>
      <c r="E167">
        <v>61</v>
      </c>
      <c r="F167" t="str">
        <f t="shared" si="2"/>
        <v>49+ Months</v>
      </c>
      <c r="G167" t="s">
        <v>17</v>
      </c>
      <c r="H167" t="s">
        <v>36</v>
      </c>
      <c r="I167" t="s">
        <v>24</v>
      </c>
      <c r="J167" t="s">
        <v>16</v>
      </c>
      <c r="K167" t="s">
        <v>16</v>
      </c>
      <c r="L167">
        <v>6</v>
      </c>
      <c r="M167" s="7">
        <v>62.51</v>
      </c>
      <c r="N167" s="7">
        <v>3729.56</v>
      </c>
      <c r="O167" t="s">
        <v>20</v>
      </c>
    </row>
    <row r="168" spans="1:15" x14ac:dyDescent="0.3">
      <c r="A168" t="s">
        <v>193</v>
      </c>
      <c r="B168" t="s">
        <v>22</v>
      </c>
      <c r="C168">
        <v>68</v>
      </c>
      <c r="D168" t="s">
        <v>16</v>
      </c>
      <c r="E168">
        <v>9</v>
      </c>
      <c r="F168" t="str">
        <f t="shared" si="2"/>
        <v>7-12 Months</v>
      </c>
      <c r="G168" t="s">
        <v>17</v>
      </c>
      <c r="H168" t="s">
        <v>20</v>
      </c>
      <c r="I168" t="s">
        <v>30</v>
      </c>
      <c r="J168" t="s">
        <v>20</v>
      </c>
      <c r="K168" t="s">
        <v>20</v>
      </c>
      <c r="L168">
        <v>5</v>
      </c>
      <c r="M168" s="7">
        <v>60.39</v>
      </c>
      <c r="N168" s="7">
        <v>523.24</v>
      </c>
      <c r="O168" t="s">
        <v>20</v>
      </c>
    </row>
    <row r="169" spans="1:15" x14ac:dyDescent="0.3">
      <c r="A169" t="s">
        <v>194</v>
      </c>
      <c r="B169" t="s">
        <v>15</v>
      </c>
      <c r="C169">
        <v>62</v>
      </c>
      <c r="D169" t="s">
        <v>16</v>
      </c>
      <c r="E169">
        <v>68</v>
      </c>
      <c r="F169" t="str">
        <f t="shared" si="2"/>
        <v>49+ Months</v>
      </c>
      <c r="G169" t="s">
        <v>35</v>
      </c>
      <c r="H169" t="s">
        <v>20</v>
      </c>
      <c r="I169" t="s">
        <v>19</v>
      </c>
      <c r="J169" t="s">
        <v>20</v>
      </c>
      <c r="K169" t="s">
        <v>16</v>
      </c>
      <c r="L169">
        <v>4</v>
      </c>
      <c r="M169" s="7">
        <v>33.409999999999997</v>
      </c>
      <c r="N169" s="7">
        <v>2173.4899999999998</v>
      </c>
      <c r="O169" t="s">
        <v>20</v>
      </c>
    </row>
    <row r="170" spans="1:15" x14ac:dyDescent="0.3">
      <c r="A170" t="s">
        <v>195</v>
      </c>
      <c r="B170" t="s">
        <v>15</v>
      </c>
      <c r="C170">
        <v>63</v>
      </c>
      <c r="D170" t="s">
        <v>16</v>
      </c>
      <c r="E170">
        <v>35</v>
      </c>
      <c r="F170" t="str">
        <f t="shared" si="2"/>
        <v>25-48 Months</v>
      </c>
      <c r="G170" t="s">
        <v>17</v>
      </c>
      <c r="H170" t="s">
        <v>36</v>
      </c>
      <c r="I170" t="s">
        <v>27</v>
      </c>
      <c r="J170" t="s">
        <v>20</v>
      </c>
      <c r="K170" t="s">
        <v>20</v>
      </c>
      <c r="L170">
        <v>8</v>
      </c>
      <c r="M170" s="7">
        <v>56.93</v>
      </c>
      <c r="N170" s="7">
        <v>1852.59</v>
      </c>
      <c r="O170" t="s">
        <v>16</v>
      </c>
    </row>
    <row r="171" spans="1:15" x14ac:dyDescent="0.3">
      <c r="A171" t="s">
        <v>196</v>
      </c>
      <c r="B171" t="s">
        <v>22</v>
      </c>
      <c r="C171">
        <v>27</v>
      </c>
      <c r="D171" t="s">
        <v>20</v>
      </c>
      <c r="E171">
        <v>65</v>
      </c>
      <c r="F171" t="str">
        <f t="shared" si="2"/>
        <v>49+ Months</v>
      </c>
      <c r="G171" t="s">
        <v>17</v>
      </c>
      <c r="H171" t="s">
        <v>18</v>
      </c>
      <c r="I171" t="s">
        <v>27</v>
      </c>
      <c r="J171" t="s">
        <v>20</v>
      </c>
      <c r="K171" t="s">
        <v>16</v>
      </c>
      <c r="L171">
        <v>6</v>
      </c>
      <c r="M171" s="7">
        <v>98.86</v>
      </c>
      <c r="N171" s="7">
        <v>6107.57</v>
      </c>
      <c r="O171" t="s">
        <v>20</v>
      </c>
    </row>
    <row r="172" spans="1:15" x14ac:dyDescent="0.3">
      <c r="A172" t="s">
        <v>197</v>
      </c>
      <c r="B172" t="s">
        <v>22</v>
      </c>
      <c r="C172">
        <v>60</v>
      </c>
      <c r="D172" t="s">
        <v>16</v>
      </c>
      <c r="E172">
        <v>8</v>
      </c>
      <c r="F172" t="str">
        <f t="shared" si="2"/>
        <v>7-12 Months</v>
      </c>
      <c r="G172" t="s">
        <v>17</v>
      </c>
      <c r="H172" t="s">
        <v>18</v>
      </c>
      <c r="I172" t="s">
        <v>27</v>
      </c>
      <c r="J172" t="s">
        <v>20</v>
      </c>
      <c r="K172" t="s">
        <v>16</v>
      </c>
      <c r="L172">
        <v>4</v>
      </c>
      <c r="M172" s="7">
        <v>82.44</v>
      </c>
      <c r="N172" s="7">
        <v>653.85</v>
      </c>
      <c r="O172" t="s">
        <v>20</v>
      </c>
    </row>
    <row r="173" spans="1:15" x14ac:dyDescent="0.3">
      <c r="A173" t="s">
        <v>198</v>
      </c>
      <c r="B173" t="s">
        <v>15</v>
      </c>
      <c r="C173">
        <v>51</v>
      </c>
      <c r="D173" t="s">
        <v>20</v>
      </c>
      <c r="E173">
        <v>45</v>
      </c>
      <c r="F173" t="str">
        <f t="shared" si="2"/>
        <v>25-48 Months</v>
      </c>
      <c r="G173" t="s">
        <v>17</v>
      </c>
      <c r="H173" t="s">
        <v>18</v>
      </c>
      <c r="I173" t="s">
        <v>27</v>
      </c>
      <c r="J173" t="s">
        <v>16</v>
      </c>
      <c r="K173" t="s">
        <v>16</v>
      </c>
      <c r="L173">
        <v>6</v>
      </c>
      <c r="M173" s="7">
        <v>81.489999999999995</v>
      </c>
      <c r="N173" s="7">
        <v>3669.25</v>
      </c>
      <c r="O173" t="s">
        <v>20</v>
      </c>
    </row>
    <row r="174" spans="1:15" x14ac:dyDescent="0.3">
      <c r="A174" t="s">
        <v>199</v>
      </c>
      <c r="B174" t="s">
        <v>15</v>
      </c>
      <c r="C174">
        <v>74</v>
      </c>
      <c r="D174" t="s">
        <v>16</v>
      </c>
      <c r="E174">
        <v>47</v>
      </c>
      <c r="F174" t="str">
        <f t="shared" si="2"/>
        <v>25-48 Months</v>
      </c>
      <c r="G174" t="s">
        <v>17</v>
      </c>
      <c r="H174" t="s">
        <v>36</v>
      </c>
      <c r="I174" t="s">
        <v>24</v>
      </c>
      <c r="J174" t="s">
        <v>20</v>
      </c>
      <c r="K174" t="s">
        <v>20</v>
      </c>
      <c r="L174">
        <v>3</v>
      </c>
      <c r="M174" s="7">
        <v>54.77</v>
      </c>
      <c r="N174" s="7">
        <v>2479.2600000000002</v>
      </c>
      <c r="O174" t="s">
        <v>20</v>
      </c>
    </row>
    <row r="175" spans="1:15" x14ac:dyDescent="0.3">
      <c r="A175" t="s">
        <v>200</v>
      </c>
      <c r="B175" t="s">
        <v>22</v>
      </c>
      <c r="C175">
        <v>43</v>
      </c>
      <c r="D175" t="s">
        <v>20</v>
      </c>
      <c r="E175">
        <v>40</v>
      </c>
      <c r="F175" t="str">
        <f t="shared" si="2"/>
        <v>25-48 Months</v>
      </c>
      <c r="G175" t="s">
        <v>17</v>
      </c>
      <c r="H175" t="s">
        <v>20</v>
      </c>
      <c r="I175" t="s">
        <v>27</v>
      </c>
      <c r="J175" t="s">
        <v>20</v>
      </c>
      <c r="K175" t="s">
        <v>20</v>
      </c>
      <c r="L175">
        <v>1</v>
      </c>
      <c r="M175" s="7">
        <v>23.39</v>
      </c>
      <c r="N175" s="7">
        <v>958.09</v>
      </c>
      <c r="O175" t="s">
        <v>20</v>
      </c>
    </row>
    <row r="176" spans="1:15" x14ac:dyDescent="0.3">
      <c r="A176" t="s">
        <v>201</v>
      </c>
      <c r="B176" t="s">
        <v>22</v>
      </c>
      <c r="C176">
        <v>58</v>
      </c>
      <c r="D176" t="s">
        <v>20</v>
      </c>
      <c r="E176">
        <v>54</v>
      </c>
      <c r="F176" t="str">
        <f t="shared" si="2"/>
        <v>49+ Months</v>
      </c>
      <c r="G176" t="s">
        <v>23</v>
      </c>
      <c r="H176" t="s">
        <v>18</v>
      </c>
      <c r="I176" t="s">
        <v>30</v>
      </c>
      <c r="J176" t="s">
        <v>20</v>
      </c>
      <c r="K176" t="s">
        <v>16</v>
      </c>
      <c r="L176">
        <v>2</v>
      </c>
      <c r="M176" s="7">
        <v>57.3</v>
      </c>
      <c r="N176" s="7">
        <v>3012.91</v>
      </c>
      <c r="O176" t="s">
        <v>20</v>
      </c>
    </row>
    <row r="177" spans="1:15" x14ac:dyDescent="0.3">
      <c r="A177" t="s">
        <v>202</v>
      </c>
      <c r="B177" t="s">
        <v>22</v>
      </c>
      <c r="C177">
        <v>66</v>
      </c>
      <c r="D177" t="s">
        <v>16</v>
      </c>
      <c r="E177">
        <v>46</v>
      </c>
      <c r="F177" t="str">
        <f t="shared" si="2"/>
        <v>25-48 Months</v>
      </c>
      <c r="G177" t="s">
        <v>17</v>
      </c>
      <c r="H177" t="s">
        <v>18</v>
      </c>
      <c r="I177" t="s">
        <v>24</v>
      </c>
      <c r="J177" t="s">
        <v>20</v>
      </c>
      <c r="K177" t="s">
        <v>16</v>
      </c>
      <c r="L177">
        <v>5</v>
      </c>
      <c r="M177" s="7">
        <v>81.849999999999994</v>
      </c>
      <c r="N177" s="7">
        <v>3685.13</v>
      </c>
      <c r="O177" t="s">
        <v>16</v>
      </c>
    </row>
    <row r="178" spans="1:15" x14ac:dyDescent="0.3">
      <c r="A178" t="s">
        <v>203</v>
      </c>
      <c r="B178" t="s">
        <v>15</v>
      </c>
      <c r="C178">
        <v>75</v>
      </c>
      <c r="D178" t="s">
        <v>16</v>
      </c>
      <c r="E178">
        <v>47</v>
      </c>
      <c r="F178" t="str">
        <f t="shared" si="2"/>
        <v>25-48 Months</v>
      </c>
      <c r="G178" t="s">
        <v>23</v>
      </c>
      <c r="H178" t="s">
        <v>18</v>
      </c>
      <c r="I178" t="s">
        <v>19</v>
      </c>
      <c r="J178" t="s">
        <v>20</v>
      </c>
      <c r="K178" t="s">
        <v>20</v>
      </c>
      <c r="L178">
        <v>5</v>
      </c>
      <c r="M178" s="7">
        <v>81.8</v>
      </c>
      <c r="N178" s="7">
        <v>4018.45</v>
      </c>
      <c r="O178" t="s">
        <v>20</v>
      </c>
    </row>
    <row r="179" spans="1:15" x14ac:dyDescent="0.3">
      <c r="A179" t="s">
        <v>204</v>
      </c>
      <c r="B179" t="s">
        <v>15</v>
      </c>
      <c r="C179">
        <v>20</v>
      </c>
      <c r="D179" t="s">
        <v>20</v>
      </c>
      <c r="E179">
        <v>15</v>
      </c>
      <c r="F179" t="str">
        <f t="shared" si="2"/>
        <v>13-24 Months</v>
      </c>
      <c r="G179" t="s">
        <v>35</v>
      </c>
      <c r="H179" t="s">
        <v>18</v>
      </c>
      <c r="I179" t="s">
        <v>27</v>
      </c>
      <c r="J179" t="s">
        <v>16</v>
      </c>
      <c r="K179" t="s">
        <v>20</v>
      </c>
      <c r="L179">
        <v>6</v>
      </c>
      <c r="M179" s="7">
        <v>89.38</v>
      </c>
      <c r="N179" s="7">
        <v>1351.85</v>
      </c>
      <c r="O179" t="s">
        <v>16</v>
      </c>
    </row>
    <row r="180" spans="1:15" x14ac:dyDescent="0.3">
      <c r="A180" t="s">
        <v>205</v>
      </c>
      <c r="B180" t="s">
        <v>15</v>
      </c>
      <c r="C180">
        <v>73</v>
      </c>
      <c r="D180" t="s">
        <v>16</v>
      </c>
      <c r="E180">
        <v>19</v>
      </c>
      <c r="F180" t="str">
        <f t="shared" si="2"/>
        <v>13-24 Months</v>
      </c>
      <c r="G180" t="s">
        <v>23</v>
      </c>
      <c r="H180" t="s">
        <v>36</v>
      </c>
      <c r="I180" t="s">
        <v>27</v>
      </c>
      <c r="J180" t="s">
        <v>16</v>
      </c>
      <c r="K180" t="s">
        <v>20</v>
      </c>
      <c r="L180">
        <v>3</v>
      </c>
      <c r="M180" s="7">
        <v>48.19</v>
      </c>
      <c r="N180" s="7">
        <v>982</v>
      </c>
      <c r="O180" t="s">
        <v>16</v>
      </c>
    </row>
    <row r="181" spans="1:15" x14ac:dyDescent="0.3">
      <c r="A181" t="s">
        <v>206</v>
      </c>
      <c r="B181" t="s">
        <v>15</v>
      </c>
      <c r="C181">
        <v>23</v>
      </c>
      <c r="D181" t="s">
        <v>20</v>
      </c>
      <c r="E181">
        <v>26</v>
      </c>
      <c r="F181" t="str">
        <f t="shared" si="2"/>
        <v>25-48 Months</v>
      </c>
      <c r="G181" t="s">
        <v>17</v>
      </c>
      <c r="H181" t="s">
        <v>18</v>
      </c>
      <c r="I181" t="s">
        <v>24</v>
      </c>
      <c r="J181" t="s">
        <v>20</v>
      </c>
      <c r="K181" t="s">
        <v>16</v>
      </c>
      <c r="L181">
        <v>3</v>
      </c>
      <c r="M181" s="7">
        <v>69.58</v>
      </c>
      <c r="N181" s="7">
        <v>1768.35</v>
      </c>
      <c r="O181" t="s">
        <v>16</v>
      </c>
    </row>
    <row r="182" spans="1:15" x14ac:dyDescent="0.3">
      <c r="A182" t="s">
        <v>207</v>
      </c>
      <c r="B182" t="s">
        <v>15</v>
      </c>
      <c r="C182">
        <v>22</v>
      </c>
      <c r="D182" t="s">
        <v>20</v>
      </c>
      <c r="E182">
        <v>52</v>
      </c>
      <c r="F182" t="str">
        <f t="shared" si="2"/>
        <v>49+ Months</v>
      </c>
      <c r="G182" t="s">
        <v>17</v>
      </c>
      <c r="H182" t="s">
        <v>36</v>
      </c>
      <c r="I182" t="s">
        <v>30</v>
      </c>
      <c r="J182" t="s">
        <v>20</v>
      </c>
      <c r="K182" t="s">
        <v>20</v>
      </c>
      <c r="L182">
        <v>4</v>
      </c>
      <c r="M182" s="7">
        <v>56.36</v>
      </c>
      <c r="N182" s="7">
        <v>3084.45</v>
      </c>
      <c r="O182" t="s">
        <v>20</v>
      </c>
    </row>
    <row r="183" spans="1:15" x14ac:dyDescent="0.3">
      <c r="A183" t="s">
        <v>208</v>
      </c>
      <c r="B183" t="s">
        <v>15</v>
      </c>
      <c r="C183">
        <v>22</v>
      </c>
      <c r="D183" t="s">
        <v>20</v>
      </c>
      <c r="E183">
        <v>22</v>
      </c>
      <c r="F183" t="str">
        <f t="shared" si="2"/>
        <v>13-24 Months</v>
      </c>
      <c r="G183" t="s">
        <v>23</v>
      </c>
      <c r="H183" t="s">
        <v>20</v>
      </c>
      <c r="I183" t="s">
        <v>27</v>
      </c>
      <c r="J183" t="s">
        <v>16</v>
      </c>
      <c r="K183" t="s">
        <v>20</v>
      </c>
      <c r="L183">
        <v>3</v>
      </c>
      <c r="M183" s="7">
        <v>30.13</v>
      </c>
      <c r="N183" s="7">
        <v>688.14</v>
      </c>
      <c r="O183" t="s">
        <v>20</v>
      </c>
    </row>
    <row r="184" spans="1:15" x14ac:dyDescent="0.3">
      <c r="A184" t="s">
        <v>209</v>
      </c>
      <c r="B184" t="s">
        <v>22</v>
      </c>
      <c r="C184">
        <v>71</v>
      </c>
      <c r="D184" t="s">
        <v>16</v>
      </c>
      <c r="E184">
        <v>21</v>
      </c>
      <c r="F184" t="str">
        <f t="shared" si="2"/>
        <v>13-24 Months</v>
      </c>
      <c r="G184" t="s">
        <v>23</v>
      </c>
      <c r="H184" t="s">
        <v>36</v>
      </c>
      <c r="I184" t="s">
        <v>24</v>
      </c>
      <c r="J184" t="s">
        <v>20</v>
      </c>
      <c r="K184" t="s">
        <v>20</v>
      </c>
      <c r="L184">
        <v>4</v>
      </c>
      <c r="M184" s="7">
        <v>66.959999999999994</v>
      </c>
      <c r="N184" s="7">
        <v>1493.95</v>
      </c>
      <c r="O184" t="s">
        <v>20</v>
      </c>
    </row>
    <row r="185" spans="1:15" x14ac:dyDescent="0.3">
      <c r="A185" t="s">
        <v>210</v>
      </c>
      <c r="B185" t="s">
        <v>15</v>
      </c>
      <c r="C185">
        <v>64</v>
      </c>
      <c r="D185" t="s">
        <v>16</v>
      </c>
      <c r="E185">
        <v>51</v>
      </c>
      <c r="F185" t="str">
        <f t="shared" si="2"/>
        <v>49+ Months</v>
      </c>
      <c r="G185" t="s">
        <v>17</v>
      </c>
      <c r="H185" t="s">
        <v>18</v>
      </c>
      <c r="I185" t="s">
        <v>19</v>
      </c>
      <c r="J185" t="s">
        <v>16</v>
      </c>
      <c r="K185" t="s">
        <v>20</v>
      </c>
      <c r="L185">
        <v>1</v>
      </c>
      <c r="M185" s="7">
        <v>72.94</v>
      </c>
      <c r="N185" s="7">
        <v>3991.82</v>
      </c>
      <c r="O185" t="s">
        <v>20</v>
      </c>
    </row>
    <row r="186" spans="1:15" x14ac:dyDescent="0.3">
      <c r="A186" t="s">
        <v>211</v>
      </c>
      <c r="B186" t="s">
        <v>15</v>
      </c>
      <c r="C186">
        <v>40</v>
      </c>
      <c r="D186" t="s">
        <v>20</v>
      </c>
      <c r="E186">
        <v>38</v>
      </c>
      <c r="F186" t="str">
        <f t="shared" si="2"/>
        <v>25-48 Months</v>
      </c>
      <c r="G186" t="s">
        <v>23</v>
      </c>
      <c r="H186" t="s">
        <v>18</v>
      </c>
      <c r="I186" t="s">
        <v>30</v>
      </c>
      <c r="J186" t="s">
        <v>20</v>
      </c>
      <c r="K186" t="s">
        <v>16</v>
      </c>
      <c r="L186">
        <v>4</v>
      </c>
      <c r="M186" s="7">
        <v>75.39</v>
      </c>
      <c r="N186" s="7">
        <v>2639.15</v>
      </c>
      <c r="O186" t="s">
        <v>20</v>
      </c>
    </row>
    <row r="187" spans="1:15" x14ac:dyDescent="0.3">
      <c r="A187" t="s">
        <v>212</v>
      </c>
      <c r="B187" t="s">
        <v>15</v>
      </c>
      <c r="C187">
        <v>66</v>
      </c>
      <c r="D187" t="s">
        <v>16</v>
      </c>
      <c r="E187">
        <v>20</v>
      </c>
      <c r="F187" t="str">
        <f t="shared" si="2"/>
        <v>13-24 Months</v>
      </c>
      <c r="G187" t="s">
        <v>17</v>
      </c>
      <c r="H187" t="s">
        <v>36</v>
      </c>
      <c r="I187" t="s">
        <v>19</v>
      </c>
      <c r="J187" t="s">
        <v>20</v>
      </c>
      <c r="K187" t="s">
        <v>16</v>
      </c>
      <c r="L187">
        <v>4</v>
      </c>
      <c r="M187" s="7">
        <v>62.74</v>
      </c>
      <c r="N187" s="7">
        <v>1172.1400000000001</v>
      </c>
      <c r="O187" t="s">
        <v>20</v>
      </c>
    </row>
    <row r="188" spans="1:15" x14ac:dyDescent="0.3">
      <c r="A188" t="s">
        <v>213</v>
      </c>
      <c r="B188" t="s">
        <v>22</v>
      </c>
      <c r="C188">
        <v>26</v>
      </c>
      <c r="D188" t="s">
        <v>20</v>
      </c>
      <c r="E188">
        <v>29</v>
      </c>
      <c r="F188" t="str">
        <f t="shared" si="2"/>
        <v>25-48 Months</v>
      </c>
      <c r="G188" t="s">
        <v>17</v>
      </c>
      <c r="H188" t="s">
        <v>18</v>
      </c>
      <c r="I188" t="s">
        <v>24</v>
      </c>
      <c r="J188" t="s">
        <v>20</v>
      </c>
      <c r="K188" t="s">
        <v>20</v>
      </c>
      <c r="L188">
        <v>2</v>
      </c>
      <c r="M188" s="7">
        <v>62.33</v>
      </c>
      <c r="N188" s="7">
        <v>1857.99</v>
      </c>
      <c r="O188" t="s">
        <v>16</v>
      </c>
    </row>
    <row r="189" spans="1:15" x14ac:dyDescent="0.3">
      <c r="A189" t="s">
        <v>214</v>
      </c>
      <c r="B189" t="s">
        <v>15</v>
      </c>
      <c r="C189">
        <v>52</v>
      </c>
      <c r="D189" t="s">
        <v>20</v>
      </c>
      <c r="E189">
        <v>51</v>
      </c>
      <c r="F189" t="str">
        <f t="shared" si="2"/>
        <v>49+ Months</v>
      </c>
      <c r="G189" t="s">
        <v>17</v>
      </c>
      <c r="H189" t="s">
        <v>18</v>
      </c>
      <c r="I189" t="s">
        <v>30</v>
      </c>
      <c r="J189" t="s">
        <v>20</v>
      </c>
      <c r="K189" t="s">
        <v>20</v>
      </c>
      <c r="L189">
        <v>2</v>
      </c>
      <c r="M189" s="7">
        <v>67.77</v>
      </c>
      <c r="N189" s="7">
        <v>3395.55</v>
      </c>
      <c r="O189" t="s">
        <v>16</v>
      </c>
    </row>
    <row r="190" spans="1:15" x14ac:dyDescent="0.3">
      <c r="A190" t="s">
        <v>215</v>
      </c>
      <c r="B190" t="s">
        <v>15</v>
      </c>
      <c r="C190">
        <v>37</v>
      </c>
      <c r="D190" t="s">
        <v>20</v>
      </c>
      <c r="E190">
        <v>4</v>
      </c>
      <c r="F190" t="str">
        <f t="shared" si="2"/>
        <v>0-6 Months</v>
      </c>
      <c r="G190" t="s">
        <v>17</v>
      </c>
      <c r="H190" t="s">
        <v>36</v>
      </c>
      <c r="I190" t="s">
        <v>27</v>
      </c>
      <c r="J190" t="s">
        <v>20</v>
      </c>
      <c r="K190" t="s">
        <v>20</v>
      </c>
      <c r="L190">
        <v>3</v>
      </c>
      <c r="M190" s="7">
        <v>65.25</v>
      </c>
      <c r="N190" s="7">
        <v>274.33</v>
      </c>
      <c r="O190" t="s">
        <v>20</v>
      </c>
    </row>
    <row r="191" spans="1:15" x14ac:dyDescent="0.3">
      <c r="A191" t="s">
        <v>216</v>
      </c>
      <c r="B191" t="s">
        <v>22</v>
      </c>
      <c r="C191">
        <v>75</v>
      </c>
      <c r="D191" t="s">
        <v>16</v>
      </c>
      <c r="E191">
        <v>55</v>
      </c>
      <c r="F191" t="str">
        <f t="shared" si="2"/>
        <v>49+ Months</v>
      </c>
      <c r="G191" t="s">
        <v>17</v>
      </c>
      <c r="H191" t="s">
        <v>36</v>
      </c>
      <c r="I191" t="s">
        <v>30</v>
      </c>
      <c r="J191" t="s">
        <v>20</v>
      </c>
      <c r="K191" t="s">
        <v>20</v>
      </c>
      <c r="L191">
        <v>5</v>
      </c>
      <c r="M191" s="7">
        <v>67.52</v>
      </c>
      <c r="N191" s="7">
        <v>3423.63</v>
      </c>
      <c r="O191" t="s">
        <v>20</v>
      </c>
    </row>
    <row r="192" spans="1:15" x14ac:dyDescent="0.3">
      <c r="A192" t="s">
        <v>217</v>
      </c>
      <c r="B192" t="s">
        <v>15</v>
      </c>
      <c r="C192">
        <v>66</v>
      </c>
      <c r="D192" t="s">
        <v>16</v>
      </c>
      <c r="E192">
        <v>71</v>
      </c>
      <c r="F192" t="str">
        <f t="shared" si="2"/>
        <v>49+ Months</v>
      </c>
      <c r="G192" t="s">
        <v>23</v>
      </c>
      <c r="H192" t="s">
        <v>36</v>
      </c>
      <c r="I192" t="s">
        <v>27</v>
      </c>
      <c r="J192" t="s">
        <v>16</v>
      </c>
      <c r="K192" t="s">
        <v>20</v>
      </c>
      <c r="L192">
        <v>5</v>
      </c>
      <c r="M192" s="7">
        <v>65.02</v>
      </c>
      <c r="N192" s="7">
        <v>4843.16</v>
      </c>
      <c r="O192" t="s">
        <v>20</v>
      </c>
    </row>
    <row r="193" spans="1:15" x14ac:dyDescent="0.3">
      <c r="A193" t="s">
        <v>218</v>
      </c>
      <c r="B193" t="s">
        <v>15</v>
      </c>
      <c r="C193">
        <v>59</v>
      </c>
      <c r="D193" t="s">
        <v>20</v>
      </c>
      <c r="E193">
        <v>28</v>
      </c>
      <c r="F193" t="str">
        <f t="shared" si="2"/>
        <v>25-48 Months</v>
      </c>
      <c r="G193" t="s">
        <v>17</v>
      </c>
      <c r="H193" t="s">
        <v>18</v>
      </c>
      <c r="I193" t="s">
        <v>19</v>
      </c>
      <c r="J193" t="s">
        <v>20</v>
      </c>
      <c r="K193" t="s">
        <v>20</v>
      </c>
      <c r="L193">
        <v>6</v>
      </c>
      <c r="M193" s="7">
        <v>84.49</v>
      </c>
      <c r="N193" s="7">
        <v>2227.65</v>
      </c>
      <c r="O193" t="s">
        <v>20</v>
      </c>
    </row>
    <row r="194" spans="1:15" x14ac:dyDescent="0.3">
      <c r="A194" t="s">
        <v>219</v>
      </c>
      <c r="B194" t="s">
        <v>15</v>
      </c>
      <c r="C194">
        <v>52</v>
      </c>
      <c r="D194" t="s">
        <v>20</v>
      </c>
      <c r="E194">
        <v>4</v>
      </c>
      <c r="F194" t="str">
        <f t="shared" ref="F194:F257" si="3">IF(E194&lt;=6,"0-6 Months",
 IF(E194&lt;=12,"7-12 Months",
 IF(E194&lt;=24,"13-24 Months",
 IF(E194&lt;=48,"25-48 Months","49+ Months"))))</f>
        <v>0-6 Months</v>
      </c>
      <c r="G194" t="s">
        <v>17</v>
      </c>
      <c r="H194" t="s">
        <v>20</v>
      </c>
      <c r="I194" t="s">
        <v>24</v>
      </c>
      <c r="J194" t="s">
        <v>16</v>
      </c>
      <c r="K194" t="s">
        <v>20</v>
      </c>
      <c r="L194">
        <v>4</v>
      </c>
      <c r="M194" s="7">
        <v>40.71</v>
      </c>
      <c r="N194" s="7">
        <v>157.38</v>
      </c>
      <c r="O194" t="s">
        <v>16</v>
      </c>
    </row>
    <row r="195" spans="1:15" x14ac:dyDescent="0.3">
      <c r="A195" t="s">
        <v>220</v>
      </c>
      <c r="B195" t="s">
        <v>15</v>
      </c>
      <c r="C195">
        <v>67</v>
      </c>
      <c r="D195" t="s">
        <v>16</v>
      </c>
      <c r="E195">
        <v>22</v>
      </c>
      <c r="F195" t="str">
        <f t="shared" si="3"/>
        <v>13-24 Months</v>
      </c>
      <c r="G195" t="s">
        <v>17</v>
      </c>
      <c r="H195" t="s">
        <v>18</v>
      </c>
      <c r="I195" t="s">
        <v>30</v>
      </c>
      <c r="J195" t="s">
        <v>20</v>
      </c>
      <c r="K195" t="s">
        <v>16</v>
      </c>
      <c r="L195">
        <v>4</v>
      </c>
      <c r="M195" s="7">
        <v>68.72</v>
      </c>
      <c r="N195" s="7">
        <v>1625.31</v>
      </c>
      <c r="O195" t="s">
        <v>16</v>
      </c>
    </row>
    <row r="196" spans="1:15" x14ac:dyDescent="0.3">
      <c r="A196" t="s">
        <v>221</v>
      </c>
      <c r="B196" t="s">
        <v>15</v>
      </c>
      <c r="C196">
        <v>35</v>
      </c>
      <c r="D196" t="s">
        <v>20</v>
      </c>
      <c r="E196">
        <v>45</v>
      </c>
      <c r="F196" t="str">
        <f t="shared" si="3"/>
        <v>25-48 Months</v>
      </c>
      <c r="G196" t="s">
        <v>17</v>
      </c>
      <c r="H196" t="s">
        <v>18</v>
      </c>
      <c r="I196" t="s">
        <v>24</v>
      </c>
      <c r="J196" t="s">
        <v>20</v>
      </c>
      <c r="K196" t="s">
        <v>16</v>
      </c>
      <c r="L196">
        <v>1</v>
      </c>
      <c r="M196" s="7">
        <v>64.739999999999995</v>
      </c>
      <c r="N196" s="7">
        <v>2704.29</v>
      </c>
      <c r="O196" t="s">
        <v>20</v>
      </c>
    </row>
    <row r="197" spans="1:15" x14ac:dyDescent="0.3">
      <c r="A197" t="s">
        <v>222</v>
      </c>
      <c r="B197" t="s">
        <v>22</v>
      </c>
      <c r="C197">
        <v>34</v>
      </c>
      <c r="D197" t="s">
        <v>20</v>
      </c>
      <c r="E197">
        <v>67</v>
      </c>
      <c r="F197" t="str">
        <f t="shared" si="3"/>
        <v>49+ Months</v>
      </c>
      <c r="G197" t="s">
        <v>17</v>
      </c>
      <c r="H197" t="s">
        <v>36</v>
      </c>
      <c r="I197" t="s">
        <v>27</v>
      </c>
      <c r="J197" t="s">
        <v>20</v>
      </c>
      <c r="K197" t="s">
        <v>20</v>
      </c>
      <c r="L197">
        <v>4</v>
      </c>
      <c r="M197" s="7">
        <v>61.63</v>
      </c>
      <c r="N197" s="7">
        <v>4029.48</v>
      </c>
      <c r="O197" t="s">
        <v>20</v>
      </c>
    </row>
    <row r="198" spans="1:15" x14ac:dyDescent="0.3">
      <c r="A198" t="s">
        <v>223</v>
      </c>
      <c r="B198" t="s">
        <v>22</v>
      </c>
      <c r="C198">
        <v>41</v>
      </c>
      <c r="D198" t="s">
        <v>20</v>
      </c>
      <c r="E198">
        <v>66</v>
      </c>
      <c r="F198" t="str">
        <f t="shared" si="3"/>
        <v>49+ Months</v>
      </c>
      <c r="G198" t="s">
        <v>23</v>
      </c>
      <c r="H198" t="s">
        <v>36</v>
      </c>
      <c r="I198" t="s">
        <v>24</v>
      </c>
      <c r="J198" t="s">
        <v>20</v>
      </c>
      <c r="K198" t="s">
        <v>16</v>
      </c>
      <c r="L198">
        <v>5</v>
      </c>
      <c r="M198" s="7">
        <v>62.82</v>
      </c>
      <c r="N198" s="7">
        <v>3870.51</v>
      </c>
      <c r="O198" t="s">
        <v>20</v>
      </c>
    </row>
    <row r="199" spans="1:15" x14ac:dyDescent="0.3">
      <c r="A199" t="s">
        <v>224</v>
      </c>
      <c r="B199" t="s">
        <v>22</v>
      </c>
      <c r="C199">
        <v>20</v>
      </c>
      <c r="D199" t="s">
        <v>20</v>
      </c>
      <c r="E199">
        <v>34</v>
      </c>
      <c r="F199" t="str">
        <f t="shared" si="3"/>
        <v>25-48 Months</v>
      </c>
      <c r="G199" t="s">
        <v>23</v>
      </c>
      <c r="H199" t="s">
        <v>20</v>
      </c>
      <c r="I199" t="s">
        <v>19</v>
      </c>
      <c r="J199" t="s">
        <v>16</v>
      </c>
      <c r="K199" t="s">
        <v>16</v>
      </c>
      <c r="L199">
        <v>3</v>
      </c>
      <c r="M199" s="7">
        <v>36.82</v>
      </c>
      <c r="N199" s="7">
        <v>1322.71</v>
      </c>
      <c r="O199" t="s">
        <v>20</v>
      </c>
    </row>
    <row r="200" spans="1:15" x14ac:dyDescent="0.3">
      <c r="A200" t="s">
        <v>225</v>
      </c>
      <c r="B200" t="s">
        <v>15</v>
      </c>
      <c r="C200">
        <v>49</v>
      </c>
      <c r="D200" t="s">
        <v>20</v>
      </c>
      <c r="E200">
        <v>55</v>
      </c>
      <c r="F200" t="str">
        <f t="shared" si="3"/>
        <v>49+ Months</v>
      </c>
      <c r="G200" t="s">
        <v>23</v>
      </c>
      <c r="H200" t="s">
        <v>36</v>
      </c>
      <c r="I200" t="s">
        <v>19</v>
      </c>
      <c r="J200" t="s">
        <v>20</v>
      </c>
      <c r="K200" t="s">
        <v>16</v>
      </c>
      <c r="L200">
        <v>4</v>
      </c>
      <c r="M200" s="7">
        <v>54.42</v>
      </c>
      <c r="N200" s="7">
        <v>3090.32</v>
      </c>
      <c r="O200" t="s">
        <v>20</v>
      </c>
    </row>
    <row r="201" spans="1:15" x14ac:dyDescent="0.3">
      <c r="A201" t="s">
        <v>226</v>
      </c>
      <c r="B201" t="s">
        <v>15</v>
      </c>
      <c r="C201">
        <v>52</v>
      </c>
      <c r="D201" t="s">
        <v>20</v>
      </c>
      <c r="E201">
        <v>1</v>
      </c>
      <c r="F201" t="str">
        <f t="shared" si="3"/>
        <v>0-6 Months</v>
      </c>
      <c r="G201" t="s">
        <v>23</v>
      </c>
      <c r="H201" t="s">
        <v>20</v>
      </c>
      <c r="I201" t="s">
        <v>27</v>
      </c>
      <c r="J201" t="s">
        <v>20</v>
      </c>
      <c r="K201" t="s">
        <v>16</v>
      </c>
      <c r="L201">
        <v>2</v>
      </c>
      <c r="M201" s="7">
        <v>26.65</v>
      </c>
      <c r="N201" s="7">
        <v>27.93</v>
      </c>
      <c r="O201" t="s">
        <v>20</v>
      </c>
    </row>
    <row r="202" spans="1:15" x14ac:dyDescent="0.3">
      <c r="A202" t="s">
        <v>227</v>
      </c>
      <c r="B202" t="s">
        <v>15</v>
      </c>
      <c r="C202">
        <v>55</v>
      </c>
      <c r="D202" t="s">
        <v>20</v>
      </c>
      <c r="E202">
        <v>72</v>
      </c>
      <c r="F202" t="str">
        <f t="shared" si="3"/>
        <v>49+ Months</v>
      </c>
      <c r="G202" t="s">
        <v>17</v>
      </c>
      <c r="H202" t="s">
        <v>20</v>
      </c>
      <c r="I202" t="s">
        <v>24</v>
      </c>
      <c r="J202" t="s">
        <v>20</v>
      </c>
      <c r="K202" t="s">
        <v>16</v>
      </c>
      <c r="L202">
        <v>2</v>
      </c>
      <c r="M202" s="7">
        <v>26.01</v>
      </c>
      <c r="N202" s="7">
        <v>1880.89</v>
      </c>
      <c r="O202" t="s">
        <v>20</v>
      </c>
    </row>
    <row r="203" spans="1:15" x14ac:dyDescent="0.3">
      <c r="A203" t="s">
        <v>228</v>
      </c>
      <c r="B203" t="s">
        <v>22</v>
      </c>
      <c r="C203">
        <v>30</v>
      </c>
      <c r="D203" t="s">
        <v>20</v>
      </c>
      <c r="E203">
        <v>38</v>
      </c>
      <c r="F203" t="str">
        <f t="shared" si="3"/>
        <v>25-48 Months</v>
      </c>
      <c r="G203" t="s">
        <v>17</v>
      </c>
      <c r="H203" t="s">
        <v>36</v>
      </c>
      <c r="I203" t="s">
        <v>24</v>
      </c>
      <c r="J203" t="s">
        <v>16</v>
      </c>
      <c r="K203" t="s">
        <v>20</v>
      </c>
      <c r="L203">
        <v>2</v>
      </c>
      <c r="M203" s="7">
        <v>49.24</v>
      </c>
      <c r="N203" s="7">
        <v>1828.52</v>
      </c>
      <c r="O203" t="s">
        <v>20</v>
      </c>
    </row>
    <row r="204" spans="1:15" x14ac:dyDescent="0.3">
      <c r="A204" t="s">
        <v>229</v>
      </c>
      <c r="B204" t="s">
        <v>15</v>
      </c>
      <c r="C204">
        <v>73</v>
      </c>
      <c r="D204" t="s">
        <v>16</v>
      </c>
      <c r="E204">
        <v>6</v>
      </c>
      <c r="F204" t="str">
        <f t="shared" si="3"/>
        <v>0-6 Months</v>
      </c>
      <c r="G204" t="s">
        <v>17</v>
      </c>
      <c r="H204" t="s">
        <v>36</v>
      </c>
      <c r="I204" t="s">
        <v>24</v>
      </c>
      <c r="J204" t="s">
        <v>20</v>
      </c>
      <c r="K204" t="s">
        <v>20</v>
      </c>
      <c r="L204">
        <v>5</v>
      </c>
      <c r="M204" s="7">
        <v>68.14</v>
      </c>
      <c r="N204" s="7">
        <v>376.28</v>
      </c>
      <c r="O204" t="s">
        <v>16</v>
      </c>
    </row>
    <row r="205" spans="1:15" x14ac:dyDescent="0.3">
      <c r="A205" t="s">
        <v>230</v>
      </c>
      <c r="B205" t="s">
        <v>15</v>
      </c>
      <c r="C205">
        <v>64</v>
      </c>
      <c r="D205" t="s">
        <v>16</v>
      </c>
      <c r="E205">
        <v>25</v>
      </c>
      <c r="F205" t="str">
        <f t="shared" si="3"/>
        <v>25-48 Months</v>
      </c>
      <c r="G205" t="s">
        <v>17</v>
      </c>
      <c r="H205" t="s">
        <v>36</v>
      </c>
      <c r="I205" t="s">
        <v>27</v>
      </c>
      <c r="J205" t="s">
        <v>20</v>
      </c>
      <c r="K205" t="s">
        <v>20</v>
      </c>
      <c r="L205">
        <v>5</v>
      </c>
      <c r="M205" s="7">
        <v>56.99</v>
      </c>
      <c r="N205" s="7">
        <v>1374.13</v>
      </c>
      <c r="O205" t="s">
        <v>20</v>
      </c>
    </row>
    <row r="206" spans="1:15" x14ac:dyDescent="0.3">
      <c r="A206" t="s">
        <v>231</v>
      </c>
      <c r="B206" t="s">
        <v>22</v>
      </c>
      <c r="C206">
        <v>42</v>
      </c>
      <c r="D206" t="s">
        <v>20</v>
      </c>
      <c r="E206">
        <v>17</v>
      </c>
      <c r="F206" t="str">
        <f t="shared" si="3"/>
        <v>13-24 Months</v>
      </c>
      <c r="G206" t="s">
        <v>35</v>
      </c>
      <c r="H206" t="s">
        <v>20</v>
      </c>
      <c r="I206" t="s">
        <v>24</v>
      </c>
      <c r="J206" t="s">
        <v>20</v>
      </c>
      <c r="K206" t="s">
        <v>20</v>
      </c>
      <c r="L206">
        <v>4</v>
      </c>
      <c r="M206" s="7">
        <v>41.29</v>
      </c>
      <c r="N206" s="7">
        <v>703.56</v>
      </c>
      <c r="O206" t="s">
        <v>16</v>
      </c>
    </row>
    <row r="207" spans="1:15" x14ac:dyDescent="0.3">
      <c r="A207" t="s">
        <v>232</v>
      </c>
      <c r="B207" t="s">
        <v>15</v>
      </c>
      <c r="C207">
        <v>26</v>
      </c>
      <c r="D207" t="s">
        <v>20</v>
      </c>
      <c r="E207">
        <v>61</v>
      </c>
      <c r="F207" t="str">
        <f t="shared" si="3"/>
        <v>49+ Months</v>
      </c>
      <c r="G207" t="s">
        <v>17</v>
      </c>
      <c r="H207" t="s">
        <v>36</v>
      </c>
      <c r="I207" t="s">
        <v>24</v>
      </c>
      <c r="J207" t="s">
        <v>20</v>
      </c>
      <c r="K207" t="s">
        <v>20</v>
      </c>
      <c r="L207">
        <v>3</v>
      </c>
      <c r="M207" s="7">
        <v>55.11</v>
      </c>
      <c r="N207" s="7">
        <v>3450.12</v>
      </c>
      <c r="O207" t="s">
        <v>20</v>
      </c>
    </row>
    <row r="208" spans="1:15" x14ac:dyDescent="0.3">
      <c r="A208" t="s">
        <v>233</v>
      </c>
      <c r="B208" t="s">
        <v>22</v>
      </c>
      <c r="C208">
        <v>21</v>
      </c>
      <c r="D208" t="s">
        <v>20</v>
      </c>
      <c r="E208">
        <v>12</v>
      </c>
      <c r="F208" t="str">
        <f t="shared" si="3"/>
        <v>7-12 Months</v>
      </c>
      <c r="G208" t="s">
        <v>17</v>
      </c>
      <c r="H208" t="s">
        <v>18</v>
      </c>
      <c r="I208" t="s">
        <v>24</v>
      </c>
      <c r="J208" t="s">
        <v>20</v>
      </c>
      <c r="K208" t="s">
        <v>16</v>
      </c>
      <c r="L208">
        <v>5</v>
      </c>
      <c r="M208" s="7">
        <v>89.51</v>
      </c>
      <c r="N208" s="7">
        <v>1027.54</v>
      </c>
      <c r="O208" t="s">
        <v>16</v>
      </c>
    </row>
    <row r="209" spans="1:15" x14ac:dyDescent="0.3">
      <c r="A209" t="s">
        <v>234</v>
      </c>
      <c r="B209" t="s">
        <v>22</v>
      </c>
      <c r="C209">
        <v>31</v>
      </c>
      <c r="D209" t="s">
        <v>20</v>
      </c>
      <c r="E209">
        <v>6</v>
      </c>
      <c r="F209" t="str">
        <f t="shared" si="3"/>
        <v>0-6 Months</v>
      </c>
      <c r="G209" t="s">
        <v>35</v>
      </c>
      <c r="H209" t="s">
        <v>36</v>
      </c>
      <c r="I209" t="s">
        <v>30</v>
      </c>
      <c r="J209" t="s">
        <v>16</v>
      </c>
      <c r="K209" t="s">
        <v>20</v>
      </c>
      <c r="L209">
        <v>3</v>
      </c>
      <c r="M209" s="7">
        <v>55.09</v>
      </c>
      <c r="N209" s="7">
        <v>311.44</v>
      </c>
      <c r="O209" t="s">
        <v>20</v>
      </c>
    </row>
    <row r="210" spans="1:15" x14ac:dyDescent="0.3">
      <c r="A210" t="s">
        <v>235</v>
      </c>
      <c r="B210" t="s">
        <v>22</v>
      </c>
      <c r="C210">
        <v>54</v>
      </c>
      <c r="D210" t="s">
        <v>20</v>
      </c>
      <c r="E210">
        <v>27</v>
      </c>
      <c r="F210" t="str">
        <f t="shared" si="3"/>
        <v>25-48 Months</v>
      </c>
      <c r="G210" t="s">
        <v>35</v>
      </c>
      <c r="H210" t="s">
        <v>18</v>
      </c>
      <c r="I210" t="s">
        <v>24</v>
      </c>
      <c r="J210" t="s">
        <v>16</v>
      </c>
      <c r="K210" t="s">
        <v>16</v>
      </c>
      <c r="L210">
        <v>8</v>
      </c>
      <c r="M210" s="7">
        <v>84.59</v>
      </c>
      <c r="N210" s="7">
        <v>2174.89</v>
      </c>
      <c r="O210" t="s">
        <v>20</v>
      </c>
    </row>
    <row r="211" spans="1:15" x14ac:dyDescent="0.3">
      <c r="A211" t="s">
        <v>236</v>
      </c>
      <c r="B211" t="s">
        <v>15</v>
      </c>
      <c r="C211">
        <v>51</v>
      </c>
      <c r="D211" t="s">
        <v>20</v>
      </c>
      <c r="E211">
        <v>8</v>
      </c>
      <c r="F211" t="str">
        <f t="shared" si="3"/>
        <v>7-12 Months</v>
      </c>
      <c r="G211" t="s">
        <v>23</v>
      </c>
      <c r="H211" t="s">
        <v>18</v>
      </c>
      <c r="I211" t="s">
        <v>24</v>
      </c>
      <c r="J211" t="s">
        <v>20</v>
      </c>
      <c r="K211" t="s">
        <v>20</v>
      </c>
      <c r="L211">
        <v>6</v>
      </c>
      <c r="M211" s="7">
        <v>101.87</v>
      </c>
      <c r="N211" s="7">
        <v>795.93</v>
      </c>
      <c r="O211" t="s">
        <v>16</v>
      </c>
    </row>
    <row r="212" spans="1:15" x14ac:dyDescent="0.3">
      <c r="A212" t="s">
        <v>237</v>
      </c>
      <c r="B212" t="s">
        <v>15</v>
      </c>
      <c r="C212">
        <v>28</v>
      </c>
      <c r="D212" t="s">
        <v>20</v>
      </c>
      <c r="E212">
        <v>65</v>
      </c>
      <c r="F212" t="str">
        <f t="shared" si="3"/>
        <v>49+ Months</v>
      </c>
      <c r="G212" t="s">
        <v>17</v>
      </c>
      <c r="H212" t="s">
        <v>18</v>
      </c>
      <c r="I212" t="s">
        <v>24</v>
      </c>
      <c r="J212" t="s">
        <v>16</v>
      </c>
      <c r="K212" t="s">
        <v>20</v>
      </c>
      <c r="L212">
        <v>4</v>
      </c>
      <c r="M212" s="7">
        <v>85.8</v>
      </c>
      <c r="N212" s="7">
        <v>5263.24</v>
      </c>
      <c r="O212" t="s">
        <v>20</v>
      </c>
    </row>
    <row r="213" spans="1:15" x14ac:dyDescent="0.3">
      <c r="A213" t="s">
        <v>238</v>
      </c>
      <c r="B213" t="s">
        <v>15</v>
      </c>
      <c r="C213">
        <v>58</v>
      </c>
      <c r="D213" t="s">
        <v>20</v>
      </c>
      <c r="E213">
        <v>57</v>
      </c>
      <c r="F213" t="str">
        <f t="shared" si="3"/>
        <v>49+ Months</v>
      </c>
      <c r="G213" t="s">
        <v>17</v>
      </c>
      <c r="H213" t="s">
        <v>36</v>
      </c>
      <c r="I213" t="s">
        <v>30</v>
      </c>
      <c r="J213" t="s">
        <v>20</v>
      </c>
      <c r="K213" t="s">
        <v>20</v>
      </c>
      <c r="L213">
        <v>3</v>
      </c>
      <c r="M213" s="7">
        <v>58.38</v>
      </c>
      <c r="N213" s="7">
        <v>3144.94</v>
      </c>
      <c r="O213" t="s">
        <v>16</v>
      </c>
    </row>
    <row r="214" spans="1:15" x14ac:dyDescent="0.3">
      <c r="A214" t="s">
        <v>239</v>
      </c>
      <c r="B214" t="s">
        <v>15</v>
      </c>
      <c r="C214">
        <v>73</v>
      </c>
      <c r="D214" t="s">
        <v>16</v>
      </c>
      <c r="E214">
        <v>40</v>
      </c>
      <c r="F214" t="str">
        <f t="shared" si="3"/>
        <v>25-48 Months</v>
      </c>
      <c r="G214" t="s">
        <v>17</v>
      </c>
      <c r="H214" t="s">
        <v>20</v>
      </c>
      <c r="I214" t="s">
        <v>30</v>
      </c>
      <c r="J214" t="s">
        <v>20</v>
      </c>
      <c r="K214" t="s">
        <v>20</v>
      </c>
      <c r="L214">
        <v>3</v>
      </c>
      <c r="M214" s="7">
        <v>32.97</v>
      </c>
      <c r="N214" s="7">
        <v>1222.53</v>
      </c>
      <c r="O214" t="s">
        <v>20</v>
      </c>
    </row>
    <row r="215" spans="1:15" x14ac:dyDescent="0.3">
      <c r="A215" t="s">
        <v>240</v>
      </c>
      <c r="B215" t="s">
        <v>15</v>
      </c>
      <c r="C215">
        <v>20</v>
      </c>
      <c r="D215" t="s">
        <v>20</v>
      </c>
      <c r="E215">
        <v>14</v>
      </c>
      <c r="F215" t="str">
        <f t="shared" si="3"/>
        <v>13-24 Months</v>
      </c>
      <c r="G215" t="s">
        <v>17</v>
      </c>
      <c r="H215" t="s">
        <v>18</v>
      </c>
      <c r="I215" t="s">
        <v>30</v>
      </c>
      <c r="J215" t="s">
        <v>20</v>
      </c>
      <c r="K215" t="s">
        <v>20</v>
      </c>
      <c r="L215">
        <v>4</v>
      </c>
      <c r="M215" s="7">
        <v>76.77</v>
      </c>
      <c r="N215" s="7">
        <v>1136.1199999999999</v>
      </c>
      <c r="O215" t="s">
        <v>16</v>
      </c>
    </row>
    <row r="216" spans="1:15" x14ac:dyDescent="0.3">
      <c r="A216" t="s">
        <v>241</v>
      </c>
      <c r="B216" t="s">
        <v>15</v>
      </c>
      <c r="C216">
        <v>45</v>
      </c>
      <c r="D216" t="s">
        <v>20</v>
      </c>
      <c r="E216">
        <v>35</v>
      </c>
      <c r="F216" t="str">
        <f t="shared" si="3"/>
        <v>25-48 Months</v>
      </c>
      <c r="G216" t="s">
        <v>17</v>
      </c>
      <c r="H216" t="s">
        <v>18</v>
      </c>
      <c r="I216" t="s">
        <v>27</v>
      </c>
      <c r="J216" t="s">
        <v>16</v>
      </c>
      <c r="K216" t="s">
        <v>20</v>
      </c>
      <c r="L216">
        <v>3</v>
      </c>
      <c r="M216" s="7">
        <v>65.040000000000006</v>
      </c>
      <c r="N216" s="7">
        <v>2174.33</v>
      </c>
      <c r="O216" t="s">
        <v>20</v>
      </c>
    </row>
    <row r="217" spans="1:15" x14ac:dyDescent="0.3">
      <c r="A217" t="s">
        <v>242</v>
      </c>
      <c r="B217" t="s">
        <v>15</v>
      </c>
      <c r="C217">
        <v>46</v>
      </c>
      <c r="D217" t="s">
        <v>20</v>
      </c>
      <c r="E217">
        <v>48</v>
      </c>
      <c r="F217" t="str">
        <f t="shared" si="3"/>
        <v>25-48 Months</v>
      </c>
      <c r="G217" t="s">
        <v>17</v>
      </c>
      <c r="H217" t="s">
        <v>18</v>
      </c>
      <c r="I217" t="s">
        <v>27</v>
      </c>
      <c r="J217" t="s">
        <v>20</v>
      </c>
      <c r="K217" t="s">
        <v>16</v>
      </c>
      <c r="L217">
        <v>8</v>
      </c>
      <c r="M217" s="7">
        <v>92.66</v>
      </c>
      <c r="N217" s="7">
        <v>4676.76</v>
      </c>
      <c r="O217" t="s">
        <v>20</v>
      </c>
    </row>
    <row r="218" spans="1:15" x14ac:dyDescent="0.3">
      <c r="A218" t="s">
        <v>243</v>
      </c>
      <c r="B218" t="s">
        <v>22</v>
      </c>
      <c r="C218">
        <v>26</v>
      </c>
      <c r="D218" t="s">
        <v>20</v>
      </c>
      <c r="E218">
        <v>56</v>
      </c>
      <c r="F218" t="str">
        <f t="shared" si="3"/>
        <v>49+ Months</v>
      </c>
      <c r="G218" t="s">
        <v>35</v>
      </c>
      <c r="H218" t="s">
        <v>36</v>
      </c>
      <c r="I218" t="s">
        <v>19</v>
      </c>
      <c r="J218" t="s">
        <v>16</v>
      </c>
      <c r="K218" t="s">
        <v>20</v>
      </c>
      <c r="L218">
        <v>4</v>
      </c>
      <c r="M218" s="7">
        <v>60.23</v>
      </c>
      <c r="N218" s="7">
        <v>3339.59</v>
      </c>
      <c r="O218" t="s">
        <v>20</v>
      </c>
    </row>
    <row r="219" spans="1:15" x14ac:dyDescent="0.3">
      <c r="A219" t="s">
        <v>244</v>
      </c>
      <c r="B219" t="s">
        <v>15</v>
      </c>
      <c r="C219">
        <v>20</v>
      </c>
      <c r="D219" t="s">
        <v>20</v>
      </c>
      <c r="E219">
        <v>49</v>
      </c>
      <c r="F219" t="str">
        <f t="shared" si="3"/>
        <v>49+ Months</v>
      </c>
      <c r="G219" t="s">
        <v>17</v>
      </c>
      <c r="H219" t="s">
        <v>18</v>
      </c>
      <c r="I219" t="s">
        <v>27</v>
      </c>
      <c r="J219" t="s">
        <v>20</v>
      </c>
      <c r="K219" t="s">
        <v>20</v>
      </c>
      <c r="L219">
        <v>5</v>
      </c>
      <c r="M219" s="7">
        <v>82.82</v>
      </c>
      <c r="N219" s="7">
        <v>4144.17</v>
      </c>
      <c r="O219" t="s">
        <v>20</v>
      </c>
    </row>
    <row r="220" spans="1:15" x14ac:dyDescent="0.3">
      <c r="A220" t="s">
        <v>245</v>
      </c>
      <c r="B220" t="s">
        <v>22</v>
      </c>
      <c r="C220">
        <v>42</v>
      </c>
      <c r="D220" t="s">
        <v>20</v>
      </c>
      <c r="E220">
        <v>13</v>
      </c>
      <c r="F220" t="str">
        <f t="shared" si="3"/>
        <v>13-24 Months</v>
      </c>
      <c r="G220" t="s">
        <v>23</v>
      </c>
      <c r="H220" t="s">
        <v>18</v>
      </c>
      <c r="I220" t="s">
        <v>30</v>
      </c>
      <c r="J220" t="s">
        <v>20</v>
      </c>
      <c r="K220" t="s">
        <v>16</v>
      </c>
      <c r="L220">
        <v>2</v>
      </c>
      <c r="M220" s="7">
        <v>83.27</v>
      </c>
      <c r="N220" s="7">
        <v>1009.02</v>
      </c>
      <c r="O220" t="s">
        <v>20</v>
      </c>
    </row>
    <row r="221" spans="1:15" x14ac:dyDescent="0.3">
      <c r="A221" t="s">
        <v>246</v>
      </c>
      <c r="B221" t="s">
        <v>15</v>
      </c>
      <c r="C221">
        <v>51</v>
      </c>
      <c r="D221" t="s">
        <v>20</v>
      </c>
      <c r="E221">
        <v>61</v>
      </c>
      <c r="F221" t="str">
        <f t="shared" si="3"/>
        <v>49+ Months</v>
      </c>
      <c r="G221" t="s">
        <v>23</v>
      </c>
      <c r="H221" t="s">
        <v>18</v>
      </c>
      <c r="I221" t="s">
        <v>27</v>
      </c>
      <c r="J221" t="s">
        <v>20</v>
      </c>
      <c r="K221" t="s">
        <v>16</v>
      </c>
      <c r="L221">
        <v>7</v>
      </c>
      <c r="M221" s="7">
        <v>95.7</v>
      </c>
      <c r="N221" s="7">
        <v>5915.77</v>
      </c>
      <c r="O221" t="s">
        <v>20</v>
      </c>
    </row>
    <row r="222" spans="1:15" x14ac:dyDescent="0.3">
      <c r="A222" t="s">
        <v>247</v>
      </c>
      <c r="B222" t="s">
        <v>15</v>
      </c>
      <c r="C222">
        <v>29</v>
      </c>
      <c r="D222" t="s">
        <v>20</v>
      </c>
      <c r="E222">
        <v>49</v>
      </c>
      <c r="F222" t="str">
        <f t="shared" si="3"/>
        <v>49+ Months</v>
      </c>
      <c r="G222" t="s">
        <v>17</v>
      </c>
      <c r="H222" t="s">
        <v>36</v>
      </c>
      <c r="I222" t="s">
        <v>19</v>
      </c>
      <c r="J222" t="s">
        <v>20</v>
      </c>
      <c r="K222" t="s">
        <v>20</v>
      </c>
      <c r="L222">
        <v>5</v>
      </c>
      <c r="M222" s="7">
        <v>69.819999999999993</v>
      </c>
      <c r="N222" s="7">
        <v>3306.23</v>
      </c>
      <c r="O222" t="s">
        <v>20</v>
      </c>
    </row>
    <row r="223" spans="1:15" x14ac:dyDescent="0.3">
      <c r="A223" t="s">
        <v>248</v>
      </c>
      <c r="B223" t="s">
        <v>15</v>
      </c>
      <c r="C223">
        <v>59</v>
      </c>
      <c r="D223" t="s">
        <v>20</v>
      </c>
      <c r="E223">
        <v>46</v>
      </c>
      <c r="F223" t="str">
        <f t="shared" si="3"/>
        <v>25-48 Months</v>
      </c>
      <c r="G223" t="s">
        <v>23</v>
      </c>
      <c r="H223" t="s">
        <v>18</v>
      </c>
      <c r="I223" t="s">
        <v>30</v>
      </c>
      <c r="J223" t="s">
        <v>16</v>
      </c>
      <c r="K223" t="s">
        <v>16</v>
      </c>
      <c r="L223">
        <v>8</v>
      </c>
      <c r="M223" s="7">
        <v>98.78</v>
      </c>
      <c r="N223" s="7">
        <v>4249.59</v>
      </c>
      <c r="O223" t="s">
        <v>20</v>
      </c>
    </row>
    <row r="224" spans="1:15" x14ac:dyDescent="0.3">
      <c r="A224" t="s">
        <v>249</v>
      </c>
      <c r="B224" t="s">
        <v>22</v>
      </c>
      <c r="C224">
        <v>26</v>
      </c>
      <c r="D224" t="s">
        <v>20</v>
      </c>
      <c r="E224">
        <v>62</v>
      </c>
      <c r="F224" t="str">
        <f t="shared" si="3"/>
        <v>49+ Months</v>
      </c>
      <c r="G224" t="s">
        <v>17</v>
      </c>
      <c r="H224" t="s">
        <v>36</v>
      </c>
      <c r="I224" t="s">
        <v>19</v>
      </c>
      <c r="J224" t="s">
        <v>20</v>
      </c>
      <c r="K224" t="s">
        <v>16</v>
      </c>
      <c r="L224">
        <v>6</v>
      </c>
      <c r="M224" s="7">
        <v>68.14</v>
      </c>
      <c r="N224" s="7">
        <v>4500.62</v>
      </c>
      <c r="O224" t="s">
        <v>20</v>
      </c>
    </row>
    <row r="225" spans="1:15" x14ac:dyDescent="0.3">
      <c r="A225" t="s">
        <v>250</v>
      </c>
      <c r="B225" t="s">
        <v>22</v>
      </c>
      <c r="C225">
        <v>32</v>
      </c>
      <c r="D225" t="s">
        <v>20</v>
      </c>
      <c r="E225">
        <v>8</v>
      </c>
      <c r="F225" t="str">
        <f t="shared" si="3"/>
        <v>7-12 Months</v>
      </c>
      <c r="G225" t="s">
        <v>17</v>
      </c>
      <c r="H225" t="s">
        <v>18</v>
      </c>
      <c r="I225" t="s">
        <v>27</v>
      </c>
      <c r="J225" t="s">
        <v>16</v>
      </c>
      <c r="K225" t="s">
        <v>20</v>
      </c>
      <c r="L225">
        <v>4</v>
      </c>
      <c r="M225" s="7">
        <v>82.18</v>
      </c>
      <c r="N225" s="7">
        <v>668.34</v>
      </c>
      <c r="O225" t="s">
        <v>20</v>
      </c>
    </row>
    <row r="226" spans="1:15" x14ac:dyDescent="0.3">
      <c r="A226" t="s">
        <v>251</v>
      </c>
      <c r="B226" t="s">
        <v>22</v>
      </c>
      <c r="C226">
        <v>57</v>
      </c>
      <c r="D226" t="s">
        <v>20</v>
      </c>
      <c r="E226">
        <v>43</v>
      </c>
      <c r="F226" t="str">
        <f t="shared" si="3"/>
        <v>25-48 Months</v>
      </c>
      <c r="G226" t="s">
        <v>23</v>
      </c>
      <c r="H226" t="s">
        <v>36</v>
      </c>
      <c r="I226" t="s">
        <v>24</v>
      </c>
      <c r="J226" t="s">
        <v>16</v>
      </c>
      <c r="K226" t="s">
        <v>16</v>
      </c>
      <c r="L226">
        <v>6</v>
      </c>
      <c r="M226" s="7">
        <v>53.11</v>
      </c>
      <c r="N226" s="7">
        <v>2189.35</v>
      </c>
      <c r="O226" t="s">
        <v>20</v>
      </c>
    </row>
    <row r="227" spans="1:15" x14ac:dyDescent="0.3">
      <c r="A227" t="s">
        <v>252</v>
      </c>
      <c r="B227" t="s">
        <v>22</v>
      </c>
      <c r="C227">
        <v>42</v>
      </c>
      <c r="D227" t="s">
        <v>20</v>
      </c>
      <c r="E227">
        <v>20</v>
      </c>
      <c r="F227" t="str">
        <f t="shared" si="3"/>
        <v>13-24 Months</v>
      </c>
      <c r="G227" t="s">
        <v>17</v>
      </c>
      <c r="H227" t="s">
        <v>18</v>
      </c>
      <c r="I227" t="s">
        <v>24</v>
      </c>
      <c r="J227" t="s">
        <v>20</v>
      </c>
      <c r="K227" t="s">
        <v>20</v>
      </c>
      <c r="L227">
        <v>5</v>
      </c>
      <c r="M227" s="7">
        <v>81.180000000000007</v>
      </c>
      <c r="N227" s="7">
        <v>1602.73</v>
      </c>
      <c r="O227" t="s">
        <v>20</v>
      </c>
    </row>
    <row r="228" spans="1:15" x14ac:dyDescent="0.3">
      <c r="A228" t="s">
        <v>253</v>
      </c>
      <c r="B228" t="s">
        <v>15</v>
      </c>
      <c r="C228">
        <v>22</v>
      </c>
      <c r="D228" t="s">
        <v>20</v>
      </c>
      <c r="E228">
        <v>39</v>
      </c>
      <c r="F228" t="str">
        <f t="shared" si="3"/>
        <v>25-48 Months</v>
      </c>
      <c r="G228" t="s">
        <v>35</v>
      </c>
      <c r="H228" t="s">
        <v>36</v>
      </c>
      <c r="I228" t="s">
        <v>19</v>
      </c>
      <c r="J228" t="s">
        <v>20</v>
      </c>
      <c r="K228" t="s">
        <v>20</v>
      </c>
      <c r="L228">
        <v>1</v>
      </c>
      <c r="M228" s="7">
        <v>37.22</v>
      </c>
      <c r="N228" s="7">
        <v>1418.34</v>
      </c>
      <c r="O228" t="s">
        <v>20</v>
      </c>
    </row>
    <row r="229" spans="1:15" x14ac:dyDescent="0.3">
      <c r="A229" t="s">
        <v>254</v>
      </c>
      <c r="B229" t="s">
        <v>22</v>
      </c>
      <c r="C229">
        <v>28</v>
      </c>
      <c r="D229" t="s">
        <v>20</v>
      </c>
      <c r="E229">
        <v>49</v>
      </c>
      <c r="F229" t="str">
        <f t="shared" si="3"/>
        <v>49+ Months</v>
      </c>
      <c r="G229" t="s">
        <v>17</v>
      </c>
      <c r="H229" t="s">
        <v>18</v>
      </c>
      <c r="I229" t="s">
        <v>24</v>
      </c>
      <c r="J229" t="s">
        <v>20</v>
      </c>
      <c r="K229" t="s">
        <v>20</v>
      </c>
      <c r="L229">
        <v>3</v>
      </c>
      <c r="M229" s="7">
        <v>66.739999999999995</v>
      </c>
      <c r="N229" s="7">
        <v>3375.21</v>
      </c>
      <c r="O229" t="s">
        <v>20</v>
      </c>
    </row>
    <row r="230" spans="1:15" x14ac:dyDescent="0.3">
      <c r="A230" t="s">
        <v>255</v>
      </c>
      <c r="B230" t="s">
        <v>15</v>
      </c>
      <c r="C230">
        <v>51</v>
      </c>
      <c r="D230" t="s">
        <v>20</v>
      </c>
      <c r="E230">
        <v>64</v>
      </c>
      <c r="F230" t="str">
        <f t="shared" si="3"/>
        <v>49+ Months</v>
      </c>
      <c r="G230" t="s">
        <v>23</v>
      </c>
      <c r="H230" t="s">
        <v>36</v>
      </c>
      <c r="I230" t="s">
        <v>30</v>
      </c>
      <c r="J230" t="s">
        <v>20</v>
      </c>
      <c r="K230" t="s">
        <v>16</v>
      </c>
      <c r="L230">
        <v>3</v>
      </c>
      <c r="M230" s="7">
        <v>63.36</v>
      </c>
      <c r="N230" s="7">
        <v>4124.74</v>
      </c>
      <c r="O230" t="s">
        <v>20</v>
      </c>
    </row>
    <row r="231" spans="1:15" x14ac:dyDescent="0.3">
      <c r="A231" t="s">
        <v>256</v>
      </c>
      <c r="B231" t="s">
        <v>15</v>
      </c>
      <c r="C231">
        <v>41</v>
      </c>
      <c r="D231" t="s">
        <v>20</v>
      </c>
      <c r="E231">
        <v>62</v>
      </c>
      <c r="F231" t="str">
        <f t="shared" si="3"/>
        <v>49+ Months</v>
      </c>
      <c r="G231" t="s">
        <v>17</v>
      </c>
      <c r="H231" t="s">
        <v>20</v>
      </c>
      <c r="I231" t="s">
        <v>24</v>
      </c>
      <c r="J231" t="s">
        <v>20</v>
      </c>
      <c r="K231" t="s">
        <v>20</v>
      </c>
      <c r="L231">
        <v>2</v>
      </c>
      <c r="M231" s="7">
        <v>25.46</v>
      </c>
      <c r="N231" s="7">
        <v>1457.23</v>
      </c>
      <c r="O231" t="s">
        <v>20</v>
      </c>
    </row>
    <row r="232" spans="1:15" x14ac:dyDescent="0.3">
      <c r="A232" t="s">
        <v>257</v>
      </c>
      <c r="B232" t="s">
        <v>22</v>
      </c>
      <c r="C232">
        <v>32</v>
      </c>
      <c r="D232" t="s">
        <v>20</v>
      </c>
      <c r="E232">
        <v>54</v>
      </c>
      <c r="F232" t="str">
        <f t="shared" si="3"/>
        <v>49+ Months</v>
      </c>
      <c r="G232" t="s">
        <v>17</v>
      </c>
      <c r="H232" t="s">
        <v>20</v>
      </c>
      <c r="I232" t="s">
        <v>24</v>
      </c>
      <c r="J232" t="s">
        <v>20</v>
      </c>
      <c r="K232" t="s">
        <v>20</v>
      </c>
      <c r="L232">
        <v>4</v>
      </c>
      <c r="M232" s="7">
        <v>31.73</v>
      </c>
      <c r="N232" s="7">
        <v>1630.58</v>
      </c>
      <c r="O232" t="s">
        <v>20</v>
      </c>
    </row>
    <row r="233" spans="1:15" x14ac:dyDescent="0.3">
      <c r="A233" t="s">
        <v>258</v>
      </c>
      <c r="B233" t="s">
        <v>22</v>
      </c>
      <c r="C233">
        <v>55</v>
      </c>
      <c r="D233" t="s">
        <v>20</v>
      </c>
      <c r="E233">
        <v>9</v>
      </c>
      <c r="F233" t="str">
        <f t="shared" si="3"/>
        <v>7-12 Months</v>
      </c>
      <c r="G233" t="s">
        <v>17</v>
      </c>
      <c r="H233" t="s">
        <v>36</v>
      </c>
      <c r="I233" t="s">
        <v>27</v>
      </c>
      <c r="J233" t="s">
        <v>20</v>
      </c>
      <c r="K233" t="s">
        <v>16</v>
      </c>
      <c r="L233">
        <v>7</v>
      </c>
      <c r="M233" s="7">
        <v>73.73</v>
      </c>
      <c r="N233" s="7">
        <v>661.25</v>
      </c>
      <c r="O233" t="s">
        <v>20</v>
      </c>
    </row>
    <row r="234" spans="1:15" x14ac:dyDescent="0.3">
      <c r="A234" t="s">
        <v>259</v>
      </c>
      <c r="B234" t="s">
        <v>22</v>
      </c>
      <c r="C234">
        <v>25</v>
      </c>
      <c r="D234" t="s">
        <v>20</v>
      </c>
      <c r="E234">
        <v>37</v>
      </c>
      <c r="F234" t="str">
        <f t="shared" si="3"/>
        <v>25-48 Months</v>
      </c>
      <c r="G234" t="s">
        <v>23</v>
      </c>
      <c r="H234" t="s">
        <v>36</v>
      </c>
      <c r="I234" t="s">
        <v>19</v>
      </c>
      <c r="J234" t="s">
        <v>16</v>
      </c>
      <c r="K234" t="s">
        <v>16</v>
      </c>
      <c r="L234">
        <v>6</v>
      </c>
      <c r="M234" s="7">
        <v>66.52</v>
      </c>
      <c r="N234" s="7">
        <v>2439.77</v>
      </c>
      <c r="O234" t="s">
        <v>20</v>
      </c>
    </row>
    <row r="235" spans="1:15" x14ac:dyDescent="0.3">
      <c r="A235" t="s">
        <v>260</v>
      </c>
      <c r="B235" t="s">
        <v>22</v>
      </c>
      <c r="C235">
        <v>22</v>
      </c>
      <c r="D235" t="s">
        <v>20</v>
      </c>
      <c r="E235">
        <v>49</v>
      </c>
      <c r="F235" t="str">
        <f t="shared" si="3"/>
        <v>49+ Months</v>
      </c>
      <c r="G235" t="s">
        <v>35</v>
      </c>
      <c r="H235" t="s">
        <v>20</v>
      </c>
      <c r="I235" t="s">
        <v>30</v>
      </c>
      <c r="J235" t="s">
        <v>20</v>
      </c>
      <c r="K235" t="s">
        <v>20</v>
      </c>
      <c r="L235">
        <v>7</v>
      </c>
      <c r="M235" s="7">
        <v>56.12</v>
      </c>
      <c r="N235" s="7">
        <v>2757.22</v>
      </c>
      <c r="O235" t="s">
        <v>20</v>
      </c>
    </row>
    <row r="236" spans="1:15" x14ac:dyDescent="0.3">
      <c r="A236" t="s">
        <v>261</v>
      </c>
      <c r="B236" t="s">
        <v>22</v>
      </c>
      <c r="C236">
        <v>65</v>
      </c>
      <c r="D236" t="s">
        <v>16</v>
      </c>
      <c r="E236">
        <v>41</v>
      </c>
      <c r="F236" t="str">
        <f t="shared" si="3"/>
        <v>25-48 Months</v>
      </c>
      <c r="G236" t="s">
        <v>35</v>
      </c>
      <c r="H236" t="s">
        <v>36</v>
      </c>
      <c r="I236" t="s">
        <v>24</v>
      </c>
      <c r="J236" t="s">
        <v>16</v>
      </c>
      <c r="K236" t="s">
        <v>16</v>
      </c>
      <c r="L236">
        <v>5</v>
      </c>
      <c r="M236" s="7">
        <v>75.290000000000006</v>
      </c>
      <c r="N236" s="7">
        <v>3192.99</v>
      </c>
      <c r="O236" t="s">
        <v>20</v>
      </c>
    </row>
    <row r="237" spans="1:15" x14ac:dyDescent="0.3">
      <c r="A237" t="s">
        <v>262</v>
      </c>
      <c r="B237" t="s">
        <v>22</v>
      </c>
      <c r="C237">
        <v>43</v>
      </c>
      <c r="D237" t="s">
        <v>20</v>
      </c>
      <c r="E237">
        <v>17</v>
      </c>
      <c r="F237" t="str">
        <f t="shared" si="3"/>
        <v>13-24 Months</v>
      </c>
      <c r="G237" t="s">
        <v>17</v>
      </c>
      <c r="H237" t="s">
        <v>18</v>
      </c>
      <c r="I237" t="s">
        <v>24</v>
      </c>
      <c r="J237" t="s">
        <v>20</v>
      </c>
      <c r="K237" t="s">
        <v>20</v>
      </c>
      <c r="L237">
        <v>3</v>
      </c>
      <c r="M237" s="7">
        <v>79.010000000000005</v>
      </c>
      <c r="N237" s="7">
        <v>1382.29</v>
      </c>
      <c r="O237" t="s">
        <v>16</v>
      </c>
    </row>
    <row r="238" spans="1:15" x14ac:dyDescent="0.3">
      <c r="A238" t="s">
        <v>263</v>
      </c>
      <c r="B238" t="s">
        <v>22</v>
      </c>
      <c r="C238">
        <v>35</v>
      </c>
      <c r="D238" t="s">
        <v>20</v>
      </c>
      <c r="E238">
        <v>21</v>
      </c>
      <c r="F238" t="str">
        <f t="shared" si="3"/>
        <v>13-24 Months</v>
      </c>
      <c r="G238" t="s">
        <v>23</v>
      </c>
      <c r="H238" t="s">
        <v>20</v>
      </c>
      <c r="I238" t="s">
        <v>27</v>
      </c>
      <c r="J238" t="s">
        <v>20</v>
      </c>
      <c r="K238" t="s">
        <v>16</v>
      </c>
      <c r="L238">
        <v>2</v>
      </c>
      <c r="M238" s="7">
        <v>22.15</v>
      </c>
      <c r="N238" s="7">
        <v>455.68</v>
      </c>
      <c r="O238" t="s">
        <v>20</v>
      </c>
    </row>
    <row r="239" spans="1:15" x14ac:dyDescent="0.3">
      <c r="A239" t="s">
        <v>264</v>
      </c>
      <c r="B239" t="s">
        <v>22</v>
      </c>
      <c r="C239">
        <v>23</v>
      </c>
      <c r="D239" t="s">
        <v>20</v>
      </c>
      <c r="E239">
        <v>51</v>
      </c>
      <c r="F239" t="str">
        <f t="shared" si="3"/>
        <v>49+ Months</v>
      </c>
      <c r="G239" t="s">
        <v>23</v>
      </c>
      <c r="H239" t="s">
        <v>18</v>
      </c>
      <c r="I239" t="s">
        <v>27</v>
      </c>
      <c r="J239" t="s">
        <v>20</v>
      </c>
      <c r="K239" t="s">
        <v>16</v>
      </c>
      <c r="L239">
        <v>5</v>
      </c>
      <c r="M239" s="7">
        <v>89.53</v>
      </c>
      <c r="N239" s="7">
        <v>4841.88</v>
      </c>
      <c r="O239" t="s">
        <v>20</v>
      </c>
    </row>
    <row r="240" spans="1:15" x14ac:dyDescent="0.3">
      <c r="A240" t="s">
        <v>265</v>
      </c>
      <c r="B240" t="s">
        <v>15</v>
      </c>
      <c r="C240">
        <v>54</v>
      </c>
      <c r="D240" t="s">
        <v>20</v>
      </c>
      <c r="E240">
        <v>59</v>
      </c>
      <c r="F240" t="str">
        <f t="shared" si="3"/>
        <v>49+ Months</v>
      </c>
      <c r="G240" t="s">
        <v>23</v>
      </c>
      <c r="H240" t="s">
        <v>18</v>
      </c>
      <c r="I240" t="s">
        <v>19</v>
      </c>
      <c r="J240" t="s">
        <v>20</v>
      </c>
      <c r="K240" t="s">
        <v>16</v>
      </c>
      <c r="L240">
        <v>4</v>
      </c>
      <c r="M240" s="7">
        <v>77.459999999999994</v>
      </c>
      <c r="N240" s="7">
        <v>4250.55</v>
      </c>
      <c r="O240" t="s">
        <v>20</v>
      </c>
    </row>
    <row r="241" spans="1:15" x14ac:dyDescent="0.3">
      <c r="A241" t="s">
        <v>266</v>
      </c>
      <c r="B241" t="s">
        <v>22</v>
      </c>
      <c r="C241">
        <v>65</v>
      </c>
      <c r="D241" t="s">
        <v>16</v>
      </c>
      <c r="E241">
        <v>39</v>
      </c>
      <c r="F241" t="str">
        <f t="shared" si="3"/>
        <v>25-48 Months</v>
      </c>
      <c r="G241" t="s">
        <v>17</v>
      </c>
      <c r="H241" t="s">
        <v>18</v>
      </c>
      <c r="I241" t="s">
        <v>27</v>
      </c>
      <c r="J241" t="s">
        <v>16</v>
      </c>
      <c r="K241" t="s">
        <v>20</v>
      </c>
      <c r="L241">
        <v>3</v>
      </c>
      <c r="M241" s="7">
        <v>76.180000000000007</v>
      </c>
      <c r="N241" s="7">
        <v>3011.19</v>
      </c>
      <c r="O241" t="s">
        <v>20</v>
      </c>
    </row>
    <row r="242" spans="1:15" x14ac:dyDescent="0.3">
      <c r="A242" t="s">
        <v>267</v>
      </c>
      <c r="B242" t="s">
        <v>22</v>
      </c>
      <c r="C242">
        <v>30</v>
      </c>
      <c r="D242" t="s">
        <v>20</v>
      </c>
      <c r="E242">
        <v>55</v>
      </c>
      <c r="F242" t="str">
        <f t="shared" si="3"/>
        <v>49+ Months</v>
      </c>
      <c r="G242" t="s">
        <v>23</v>
      </c>
      <c r="H242" t="s">
        <v>18</v>
      </c>
      <c r="I242" t="s">
        <v>27</v>
      </c>
      <c r="J242" t="s">
        <v>20</v>
      </c>
      <c r="K242" t="s">
        <v>20</v>
      </c>
      <c r="L242">
        <v>5</v>
      </c>
      <c r="M242" s="7">
        <v>71.430000000000007</v>
      </c>
      <c r="N242" s="7">
        <v>4211.32</v>
      </c>
      <c r="O242" t="s">
        <v>20</v>
      </c>
    </row>
    <row r="243" spans="1:15" x14ac:dyDescent="0.3">
      <c r="A243" t="s">
        <v>268</v>
      </c>
      <c r="B243" t="s">
        <v>15</v>
      </c>
      <c r="C243">
        <v>45</v>
      </c>
      <c r="D243" t="s">
        <v>20</v>
      </c>
      <c r="E243">
        <v>41</v>
      </c>
      <c r="F243" t="str">
        <f t="shared" si="3"/>
        <v>25-48 Months</v>
      </c>
      <c r="G243" t="s">
        <v>35</v>
      </c>
      <c r="H243" t="s">
        <v>36</v>
      </c>
      <c r="I243" t="s">
        <v>27</v>
      </c>
      <c r="J243" t="s">
        <v>20</v>
      </c>
      <c r="K243" t="s">
        <v>16</v>
      </c>
      <c r="L243">
        <v>1</v>
      </c>
      <c r="M243" s="7">
        <v>50.52</v>
      </c>
      <c r="N243" s="7">
        <v>2087.59</v>
      </c>
      <c r="O243" t="s">
        <v>20</v>
      </c>
    </row>
    <row r="244" spans="1:15" x14ac:dyDescent="0.3">
      <c r="A244" t="s">
        <v>269</v>
      </c>
      <c r="B244" t="s">
        <v>22</v>
      </c>
      <c r="C244">
        <v>22</v>
      </c>
      <c r="D244" t="s">
        <v>20</v>
      </c>
      <c r="E244">
        <v>39</v>
      </c>
      <c r="F244" t="str">
        <f t="shared" si="3"/>
        <v>25-48 Months</v>
      </c>
      <c r="G244" t="s">
        <v>17</v>
      </c>
      <c r="H244" t="s">
        <v>18</v>
      </c>
      <c r="I244" t="s">
        <v>19</v>
      </c>
      <c r="J244" t="s">
        <v>20</v>
      </c>
      <c r="K244" t="s">
        <v>20</v>
      </c>
      <c r="L244">
        <v>3</v>
      </c>
      <c r="M244" s="7">
        <v>65.89</v>
      </c>
      <c r="N244" s="7">
        <v>2551.25</v>
      </c>
      <c r="O244" t="s">
        <v>20</v>
      </c>
    </row>
    <row r="245" spans="1:15" x14ac:dyDescent="0.3">
      <c r="A245" t="s">
        <v>270</v>
      </c>
      <c r="B245" t="s">
        <v>15</v>
      </c>
      <c r="C245">
        <v>30</v>
      </c>
      <c r="D245" t="s">
        <v>20</v>
      </c>
      <c r="E245">
        <v>13</v>
      </c>
      <c r="F245" t="str">
        <f t="shared" si="3"/>
        <v>13-24 Months</v>
      </c>
      <c r="G245" t="s">
        <v>35</v>
      </c>
      <c r="H245" t="s">
        <v>18</v>
      </c>
      <c r="I245" t="s">
        <v>24</v>
      </c>
      <c r="J245" t="s">
        <v>20</v>
      </c>
      <c r="K245" t="s">
        <v>20</v>
      </c>
      <c r="L245">
        <v>5</v>
      </c>
      <c r="M245" s="7">
        <v>86.74</v>
      </c>
      <c r="N245" s="7">
        <v>1061.57</v>
      </c>
      <c r="O245" t="s">
        <v>20</v>
      </c>
    </row>
    <row r="246" spans="1:15" x14ac:dyDescent="0.3">
      <c r="A246" t="s">
        <v>271</v>
      </c>
      <c r="B246" t="s">
        <v>15</v>
      </c>
      <c r="C246">
        <v>34</v>
      </c>
      <c r="D246" t="s">
        <v>20</v>
      </c>
      <c r="E246">
        <v>64</v>
      </c>
      <c r="F246" t="str">
        <f t="shared" si="3"/>
        <v>49+ Months</v>
      </c>
      <c r="G246" t="s">
        <v>23</v>
      </c>
      <c r="H246" t="s">
        <v>18</v>
      </c>
      <c r="I246" t="s">
        <v>30</v>
      </c>
      <c r="J246" t="s">
        <v>20</v>
      </c>
      <c r="K246" t="s">
        <v>20</v>
      </c>
      <c r="L246">
        <v>5</v>
      </c>
      <c r="M246" s="7">
        <v>77.94</v>
      </c>
      <c r="N246" s="7">
        <v>5235.72</v>
      </c>
      <c r="O246" t="s">
        <v>20</v>
      </c>
    </row>
    <row r="247" spans="1:15" x14ac:dyDescent="0.3">
      <c r="A247" t="s">
        <v>272</v>
      </c>
      <c r="B247" t="s">
        <v>22</v>
      </c>
      <c r="C247">
        <v>67</v>
      </c>
      <c r="D247" t="s">
        <v>16</v>
      </c>
      <c r="E247">
        <v>11</v>
      </c>
      <c r="F247" t="str">
        <f t="shared" si="3"/>
        <v>7-12 Months</v>
      </c>
      <c r="G247" t="s">
        <v>17</v>
      </c>
      <c r="H247" t="s">
        <v>36</v>
      </c>
      <c r="I247" t="s">
        <v>30</v>
      </c>
      <c r="J247" t="s">
        <v>20</v>
      </c>
      <c r="K247" t="s">
        <v>20</v>
      </c>
      <c r="L247">
        <v>3</v>
      </c>
      <c r="M247" s="7">
        <v>60.06</v>
      </c>
      <c r="N247" s="7">
        <v>647.32000000000005</v>
      </c>
      <c r="O247" t="s">
        <v>16</v>
      </c>
    </row>
    <row r="248" spans="1:15" x14ac:dyDescent="0.3">
      <c r="A248" t="s">
        <v>273</v>
      </c>
      <c r="B248" t="s">
        <v>15</v>
      </c>
      <c r="C248">
        <v>57</v>
      </c>
      <c r="D248" t="s">
        <v>20</v>
      </c>
      <c r="E248">
        <v>19</v>
      </c>
      <c r="F248" t="str">
        <f t="shared" si="3"/>
        <v>13-24 Months</v>
      </c>
      <c r="G248" t="s">
        <v>17</v>
      </c>
      <c r="H248" t="s">
        <v>36</v>
      </c>
      <c r="I248" t="s">
        <v>24</v>
      </c>
      <c r="J248" t="s">
        <v>20</v>
      </c>
      <c r="K248" t="s">
        <v>20</v>
      </c>
      <c r="L248">
        <v>4</v>
      </c>
      <c r="M248" s="7">
        <v>49.93</v>
      </c>
      <c r="N248" s="7">
        <v>979.22</v>
      </c>
      <c r="O248" t="s">
        <v>20</v>
      </c>
    </row>
    <row r="249" spans="1:15" x14ac:dyDescent="0.3">
      <c r="A249" t="s">
        <v>274</v>
      </c>
      <c r="B249" t="s">
        <v>15</v>
      </c>
      <c r="C249">
        <v>62</v>
      </c>
      <c r="D249" t="s">
        <v>16</v>
      </c>
      <c r="E249">
        <v>11</v>
      </c>
      <c r="F249" t="str">
        <f t="shared" si="3"/>
        <v>7-12 Months</v>
      </c>
      <c r="G249" t="s">
        <v>17</v>
      </c>
      <c r="H249" t="s">
        <v>18</v>
      </c>
      <c r="I249" t="s">
        <v>27</v>
      </c>
      <c r="J249" t="s">
        <v>16</v>
      </c>
      <c r="K249" t="s">
        <v>20</v>
      </c>
      <c r="L249">
        <v>3</v>
      </c>
      <c r="M249" s="7">
        <v>64.069999999999993</v>
      </c>
      <c r="N249" s="7">
        <v>670.66</v>
      </c>
      <c r="O249" t="s">
        <v>16</v>
      </c>
    </row>
    <row r="250" spans="1:15" x14ac:dyDescent="0.3">
      <c r="A250" t="s">
        <v>275</v>
      </c>
      <c r="B250" t="s">
        <v>15</v>
      </c>
      <c r="C250">
        <v>49</v>
      </c>
      <c r="D250" t="s">
        <v>20</v>
      </c>
      <c r="E250">
        <v>46</v>
      </c>
      <c r="F250" t="str">
        <f t="shared" si="3"/>
        <v>25-48 Months</v>
      </c>
      <c r="G250" t="s">
        <v>17</v>
      </c>
      <c r="H250" t="s">
        <v>18</v>
      </c>
      <c r="I250" t="s">
        <v>24</v>
      </c>
      <c r="J250" t="s">
        <v>16</v>
      </c>
      <c r="K250" t="s">
        <v>20</v>
      </c>
      <c r="L250">
        <v>4</v>
      </c>
      <c r="M250" s="7">
        <v>75.209999999999994</v>
      </c>
      <c r="N250" s="7">
        <v>3206.06</v>
      </c>
      <c r="O250" t="s">
        <v>20</v>
      </c>
    </row>
    <row r="251" spans="1:15" x14ac:dyDescent="0.3">
      <c r="A251" t="s">
        <v>276</v>
      </c>
      <c r="B251" t="s">
        <v>15</v>
      </c>
      <c r="C251">
        <v>46</v>
      </c>
      <c r="D251" t="s">
        <v>20</v>
      </c>
      <c r="E251">
        <v>45</v>
      </c>
      <c r="F251" t="str">
        <f t="shared" si="3"/>
        <v>25-48 Months</v>
      </c>
      <c r="G251" t="s">
        <v>35</v>
      </c>
      <c r="H251" t="s">
        <v>18</v>
      </c>
      <c r="I251" t="s">
        <v>19</v>
      </c>
      <c r="J251" t="s">
        <v>20</v>
      </c>
      <c r="K251" t="s">
        <v>20</v>
      </c>
      <c r="L251">
        <v>4</v>
      </c>
      <c r="M251" s="7">
        <v>80.86</v>
      </c>
      <c r="N251" s="7">
        <v>3525.44</v>
      </c>
      <c r="O251" t="s">
        <v>20</v>
      </c>
    </row>
    <row r="252" spans="1:15" x14ac:dyDescent="0.3">
      <c r="A252" t="s">
        <v>277</v>
      </c>
      <c r="B252" t="s">
        <v>22</v>
      </c>
      <c r="C252">
        <v>68</v>
      </c>
      <c r="D252" t="s">
        <v>16</v>
      </c>
      <c r="E252">
        <v>1</v>
      </c>
      <c r="F252" t="str">
        <f t="shared" si="3"/>
        <v>0-6 Months</v>
      </c>
      <c r="G252" t="s">
        <v>17</v>
      </c>
      <c r="H252" t="s">
        <v>20</v>
      </c>
      <c r="I252" t="s">
        <v>24</v>
      </c>
      <c r="J252" t="s">
        <v>16</v>
      </c>
      <c r="K252" t="s">
        <v>16</v>
      </c>
      <c r="L252">
        <v>3</v>
      </c>
      <c r="M252" s="7">
        <v>28.98</v>
      </c>
      <c r="N252" s="7">
        <v>27.97</v>
      </c>
      <c r="O252" t="s">
        <v>20</v>
      </c>
    </row>
    <row r="253" spans="1:15" x14ac:dyDescent="0.3">
      <c r="A253" t="s">
        <v>278</v>
      </c>
      <c r="B253" t="s">
        <v>15</v>
      </c>
      <c r="C253">
        <v>75</v>
      </c>
      <c r="D253" t="s">
        <v>16</v>
      </c>
      <c r="E253">
        <v>40</v>
      </c>
      <c r="F253" t="str">
        <f t="shared" si="3"/>
        <v>25-48 Months</v>
      </c>
      <c r="G253" t="s">
        <v>35</v>
      </c>
      <c r="H253" t="s">
        <v>36</v>
      </c>
      <c r="I253" t="s">
        <v>30</v>
      </c>
      <c r="J253" t="s">
        <v>20</v>
      </c>
      <c r="K253" t="s">
        <v>16</v>
      </c>
      <c r="L253">
        <v>4</v>
      </c>
      <c r="M253" s="7">
        <v>60.43</v>
      </c>
      <c r="N253" s="7">
        <v>2561.64</v>
      </c>
      <c r="O253" t="s">
        <v>20</v>
      </c>
    </row>
    <row r="254" spans="1:15" x14ac:dyDescent="0.3">
      <c r="A254" t="s">
        <v>279</v>
      </c>
      <c r="B254" t="s">
        <v>22</v>
      </c>
      <c r="C254">
        <v>20</v>
      </c>
      <c r="D254" t="s">
        <v>20</v>
      </c>
      <c r="E254">
        <v>19</v>
      </c>
      <c r="F254" t="str">
        <f t="shared" si="3"/>
        <v>13-24 Months</v>
      </c>
      <c r="G254" t="s">
        <v>35</v>
      </c>
      <c r="H254" t="s">
        <v>36</v>
      </c>
      <c r="I254" t="s">
        <v>24</v>
      </c>
      <c r="J254" t="s">
        <v>20</v>
      </c>
      <c r="K254" t="s">
        <v>20</v>
      </c>
      <c r="L254">
        <v>3</v>
      </c>
      <c r="M254" s="7">
        <v>61.12</v>
      </c>
      <c r="N254" s="7">
        <v>1229.04</v>
      </c>
      <c r="O254" t="s">
        <v>20</v>
      </c>
    </row>
    <row r="255" spans="1:15" x14ac:dyDescent="0.3">
      <c r="A255" t="s">
        <v>280</v>
      </c>
      <c r="B255" t="s">
        <v>15</v>
      </c>
      <c r="C255">
        <v>73</v>
      </c>
      <c r="D255" t="s">
        <v>16</v>
      </c>
      <c r="E255">
        <v>72</v>
      </c>
      <c r="F255" t="str">
        <f t="shared" si="3"/>
        <v>49+ Months</v>
      </c>
      <c r="G255" t="s">
        <v>17</v>
      </c>
      <c r="H255" t="s">
        <v>18</v>
      </c>
      <c r="I255" t="s">
        <v>27</v>
      </c>
      <c r="J255" t="s">
        <v>20</v>
      </c>
      <c r="K255" t="s">
        <v>20</v>
      </c>
      <c r="L255">
        <v>5</v>
      </c>
      <c r="M255" s="7">
        <v>73.73</v>
      </c>
      <c r="N255" s="7">
        <v>5337.35</v>
      </c>
      <c r="O255" t="s">
        <v>20</v>
      </c>
    </row>
    <row r="256" spans="1:15" x14ac:dyDescent="0.3">
      <c r="A256" t="s">
        <v>281</v>
      </c>
      <c r="B256" t="s">
        <v>15</v>
      </c>
      <c r="C256">
        <v>57</v>
      </c>
      <c r="D256" t="s">
        <v>20</v>
      </c>
      <c r="E256">
        <v>72</v>
      </c>
      <c r="F256" t="str">
        <f t="shared" si="3"/>
        <v>49+ Months</v>
      </c>
      <c r="G256" t="s">
        <v>35</v>
      </c>
      <c r="H256" t="s">
        <v>36</v>
      </c>
      <c r="I256" t="s">
        <v>30</v>
      </c>
      <c r="J256" t="s">
        <v>20</v>
      </c>
      <c r="K256" t="s">
        <v>20</v>
      </c>
      <c r="L256">
        <v>5</v>
      </c>
      <c r="M256" s="7">
        <v>64.44</v>
      </c>
      <c r="N256" s="7">
        <v>4282.6099999999997</v>
      </c>
      <c r="O256" t="s">
        <v>20</v>
      </c>
    </row>
    <row r="257" spans="1:15" x14ac:dyDescent="0.3">
      <c r="A257" t="s">
        <v>282</v>
      </c>
      <c r="B257" t="s">
        <v>15</v>
      </c>
      <c r="C257">
        <v>51</v>
      </c>
      <c r="D257" t="s">
        <v>20</v>
      </c>
      <c r="E257">
        <v>61</v>
      </c>
      <c r="F257" t="str">
        <f t="shared" si="3"/>
        <v>49+ Months</v>
      </c>
      <c r="G257" t="s">
        <v>35</v>
      </c>
      <c r="H257" t="s">
        <v>36</v>
      </c>
      <c r="I257" t="s">
        <v>27</v>
      </c>
      <c r="J257" t="s">
        <v>16</v>
      </c>
      <c r="K257" t="s">
        <v>20</v>
      </c>
      <c r="L257">
        <v>2</v>
      </c>
      <c r="M257" s="7">
        <v>54.78</v>
      </c>
      <c r="N257" s="7">
        <v>3196.33</v>
      </c>
      <c r="O257" t="s">
        <v>20</v>
      </c>
    </row>
    <row r="258" spans="1:15" x14ac:dyDescent="0.3">
      <c r="A258" t="s">
        <v>283</v>
      </c>
      <c r="B258" t="s">
        <v>15</v>
      </c>
      <c r="C258">
        <v>57</v>
      </c>
      <c r="D258" t="s">
        <v>20</v>
      </c>
      <c r="E258">
        <v>12</v>
      </c>
      <c r="F258" t="str">
        <f t="shared" ref="F258:F321" si="4">IF(E258&lt;=6,"0-6 Months",
 IF(E258&lt;=12,"7-12 Months",
 IF(E258&lt;=24,"13-24 Months",
 IF(E258&lt;=48,"25-48 Months","49+ Months"))))</f>
        <v>7-12 Months</v>
      </c>
      <c r="G258" t="s">
        <v>23</v>
      </c>
      <c r="H258" t="s">
        <v>18</v>
      </c>
      <c r="I258" t="s">
        <v>27</v>
      </c>
      <c r="J258" t="s">
        <v>20</v>
      </c>
      <c r="K258" t="s">
        <v>16</v>
      </c>
      <c r="L258">
        <v>2</v>
      </c>
      <c r="M258" s="7">
        <v>69.650000000000006</v>
      </c>
      <c r="N258" s="7">
        <v>854.39</v>
      </c>
      <c r="O258" t="s">
        <v>20</v>
      </c>
    </row>
    <row r="259" spans="1:15" x14ac:dyDescent="0.3">
      <c r="A259" t="s">
        <v>284</v>
      </c>
      <c r="B259" t="s">
        <v>22</v>
      </c>
      <c r="C259">
        <v>44</v>
      </c>
      <c r="D259" t="s">
        <v>20</v>
      </c>
      <c r="E259">
        <v>61</v>
      </c>
      <c r="F259" t="str">
        <f t="shared" si="4"/>
        <v>49+ Months</v>
      </c>
      <c r="G259" t="s">
        <v>23</v>
      </c>
      <c r="H259" t="s">
        <v>18</v>
      </c>
      <c r="I259" t="s">
        <v>30</v>
      </c>
      <c r="J259" t="s">
        <v>20</v>
      </c>
      <c r="K259" t="s">
        <v>20</v>
      </c>
      <c r="L259">
        <v>3</v>
      </c>
      <c r="M259" s="7">
        <v>74.42</v>
      </c>
      <c r="N259" s="7">
        <v>4250.1099999999997</v>
      </c>
      <c r="O259" t="s">
        <v>20</v>
      </c>
    </row>
    <row r="260" spans="1:15" x14ac:dyDescent="0.3">
      <c r="A260" t="s">
        <v>285</v>
      </c>
      <c r="B260" t="s">
        <v>22</v>
      </c>
      <c r="C260">
        <v>30</v>
      </c>
      <c r="D260" t="s">
        <v>20</v>
      </c>
      <c r="E260">
        <v>33</v>
      </c>
      <c r="F260" t="str">
        <f t="shared" si="4"/>
        <v>25-48 Months</v>
      </c>
      <c r="G260" t="s">
        <v>35</v>
      </c>
      <c r="H260" t="s">
        <v>18</v>
      </c>
      <c r="I260" t="s">
        <v>27</v>
      </c>
      <c r="J260" t="s">
        <v>20</v>
      </c>
      <c r="K260" t="s">
        <v>16</v>
      </c>
      <c r="L260">
        <v>8</v>
      </c>
      <c r="M260" s="7">
        <v>85.14</v>
      </c>
      <c r="N260" s="7">
        <v>2899.81</v>
      </c>
      <c r="O260" t="s">
        <v>20</v>
      </c>
    </row>
    <row r="261" spans="1:15" x14ac:dyDescent="0.3">
      <c r="A261" t="s">
        <v>286</v>
      </c>
      <c r="B261" t="s">
        <v>15</v>
      </c>
      <c r="C261">
        <v>62</v>
      </c>
      <c r="D261" t="s">
        <v>16</v>
      </c>
      <c r="E261">
        <v>45</v>
      </c>
      <c r="F261" t="str">
        <f t="shared" si="4"/>
        <v>25-48 Months</v>
      </c>
      <c r="G261" t="s">
        <v>23</v>
      </c>
      <c r="H261" t="s">
        <v>20</v>
      </c>
      <c r="I261" t="s">
        <v>24</v>
      </c>
      <c r="J261" t="s">
        <v>16</v>
      </c>
      <c r="K261" t="s">
        <v>16</v>
      </c>
      <c r="L261">
        <v>2</v>
      </c>
      <c r="M261" s="7">
        <v>36.06</v>
      </c>
      <c r="N261" s="7">
        <v>1495.99</v>
      </c>
      <c r="O261" t="s">
        <v>20</v>
      </c>
    </row>
    <row r="262" spans="1:15" x14ac:dyDescent="0.3">
      <c r="A262" t="s">
        <v>287</v>
      </c>
      <c r="B262" t="s">
        <v>15</v>
      </c>
      <c r="C262">
        <v>50</v>
      </c>
      <c r="D262" t="s">
        <v>20</v>
      </c>
      <c r="E262">
        <v>69</v>
      </c>
      <c r="F262" t="str">
        <f t="shared" si="4"/>
        <v>49+ Months</v>
      </c>
      <c r="G262" t="s">
        <v>17</v>
      </c>
      <c r="H262" t="s">
        <v>20</v>
      </c>
      <c r="I262" t="s">
        <v>24</v>
      </c>
      <c r="J262" t="s">
        <v>20</v>
      </c>
      <c r="K262" t="s">
        <v>20</v>
      </c>
      <c r="L262">
        <v>8</v>
      </c>
      <c r="M262" s="7">
        <v>57.43</v>
      </c>
      <c r="N262" s="7">
        <v>4078.4</v>
      </c>
      <c r="O262" t="s">
        <v>20</v>
      </c>
    </row>
    <row r="263" spans="1:15" x14ac:dyDescent="0.3">
      <c r="A263" t="s">
        <v>288</v>
      </c>
      <c r="B263" t="s">
        <v>22</v>
      </c>
      <c r="C263">
        <v>23</v>
      </c>
      <c r="D263" t="s">
        <v>20</v>
      </c>
      <c r="E263">
        <v>8</v>
      </c>
      <c r="F263" t="str">
        <f t="shared" si="4"/>
        <v>7-12 Months</v>
      </c>
      <c r="G263" t="s">
        <v>35</v>
      </c>
      <c r="H263" t="s">
        <v>36</v>
      </c>
      <c r="I263" t="s">
        <v>24</v>
      </c>
      <c r="J263" t="s">
        <v>16</v>
      </c>
      <c r="K263" t="s">
        <v>16</v>
      </c>
      <c r="L263">
        <v>1</v>
      </c>
      <c r="M263" s="7">
        <v>48.05</v>
      </c>
      <c r="N263" s="7">
        <v>405.59</v>
      </c>
      <c r="O263" t="s">
        <v>20</v>
      </c>
    </row>
    <row r="264" spans="1:15" x14ac:dyDescent="0.3">
      <c r="A264" t="s">
        <v>289</v>
      </c>
      <c r="B264" t="s">
        <v>15</v>
      </c>
      <c r="C264">
        <v>41</v>
      </c>
      <c r="D264" t="s">
        <v>20</v>
      </c>
      <c r="E264">
        <v>25</v>
      </c>
      <c r="F264" t="str">
        <f t="shared" si="4"/>
        <v>25-48 Months</v>
      </c>
      <c r="G264" t="s">
        <v>23</v>
      </c>
      <c r="H264" t="s">
        <v>36</v>
      </c>
      <c r="I264" t="s">
        <v>24</v>
      </c>
      <c r="J264" t="s">
        <v>20</v>
      </c>
      <c r="K264" t="s">
        <v>20</v>
      </c>
      <c r="L264">
        <v>5</v>
      </c>
      <c r="M264" s="7">
        <v>77.45</v>
      </c>
      <c r="N264" s="7">
        <v>1926.71</v>
      </c>
      <c r="O264" t="s">
        <v>20</v>
      </c>
    </row>
    <row r="265" spans="1:15" x14ac:dyDescent="0.3">
      <c r="A265" t="s">
        <v>290</v>
      </c>
      <c r="B265" t="s">
        <v>15</v>
      </c>
      <c r="C265">
        <v>36</v>
      </c>
      <c r="D265" t="s">
        <v>20</v>
      </c>
      <c r="E265">
        <v>46</v>
      </c>
      <c r="F265" t="str">
        <f t="shared" si="4"/>
        <v>25-48 Months</v>
      </c>
      <c r="G265" t="s">
        <v>23</v>
      </c>
      <c r="H265" t="s">
        <v>18</v>
      </c>
      <c r="I265" t="s">
        <v>27</v>
      </c>
      <c r="J265" t="s">
        <v>16</v>
      </c>
      <c r="K265" t="s">
        <v>20</v>
      </c>
      <c r="L265">
        <v>4</v>
      </c>
      <c r="M265" s="7">
        <v>77.55</v>
      </c>
      <c r="N265" s="7">
        <v>3755.13</v>
      </c>
      <c r="O265" t="s">
        <v>20</v>
      </c>
    </row>
    <row r="266" spans="1:15" x14ac:dyDescent="0.3">
      <c r="A266" t="s">
        <v>291</v>
      </c>
      <c r="B266" t="s">
        <v>15</v>
      </c>
      <c r="C266">
        <v>33</v>
      </c>
      <c r="D266" t="s">
        <v>20</v>
      </c>
      <c r="E266">
        <v>30</v>
      </c>
      <c r="F266" t="str">
        <f t="shared" si="4"/>
        <v>25-48 Months</v>
      </c>
      <c r="G266" t="s">
        <v>17</v>
      </c>
      <c r="H266" t="s">
        <v>36</v>
      </c>
      <c r="I266" t="s">
        <v>24</v>
      </c>
      <c r="J266" t="s">
        <v>20</v>
      </c>
      <c r="K266" t="s">
        <v>16</v>
      </c>
      <c r="L266">
        <v>5</v>
      </c>
      <c r="M266" s="7">
        <v>65.260000000000005</v>
      </c>
      <c r="N266" s="7">
        <v>2045.99</v>
      </c>
      <c r="O266" t="s">
        <v>16</v>
      </c>
    </row>
    <row r="267" spans="1:15" x14ac:dyDescent="0.3">
      <c r="A267" t="s">
        <v>292</v>
      </c>
      <c r="B267" t="s">
        <v>22</v>
      </c>
      <c r="C267">
        <v>57</v>
      </c>
      <c r="D267" t="s">
        <v>20</v>
      </c>
      <c r="E267">
        <v>47</v>
      </c>
      <c r="F267" t="str">
        <f t="shared" si="4"/>
        <v>25-48 Months</v>
      </c>
      <c r="G267" t="s">
        <v>23</v>
      </c>
      <c r="H267" t="s">
        <v>36</v>
      </c>
      <c r="I267" t="s">
        <v>30</v>
      </c>
      <c r="J267" t="s">
        <v>20</v>
      </c>
      <c r="K267" t="s">
        <v>20</v>
      </c>
      <c r="L267">
        <v>8</v>
      </c>
      <c r="M267" s="7">
        <v>84.02</v>
      </c>
      <c r="N267" s="7">
        <v>4057.25</v>
      </c>
      <c r="O267" t="s">
        <v>20</v>
      </c>
    </row>
    <row r="268" spans="1:15" x14ac:dyDescent="0.3">
      <c r="A268" t="s">
        <v>293</v>
      </c>
      <c r="B268" t="s">
        <v>22</v>
      </c>
      <c r="C268">
        <v>45</v>
      </c>
      <c r="D268" t="s">
        <v>20</v>
      </c>
      <c r="E268">
        <v>49</v>
      </c>
      <c r="F268" t="str">
        <f t="shared" si="4"/>
        <v>49+ Months</v>
      </c>
      <c r="G268" t="s">
        <v>17</v>
      </c>
      <c r="H268" t="s">
        <v>18</v>
      </c>
      <c r="I268" t="s">
        <v>30</v>
      </c>
      <c r="J268" t="s">
        <v>16</v>
      </c>
      <c r="K268" t="s">
        <v>20</v>
      </c>
      <c r="L268">
        <v>6</v>
      </c>
      <c r="M268" s="7">
        <v>86.66</v>
      </c>
      <c r="N268" s="7">
        <v>4209.07</v>
      </c>
      <c r="O268" t="s">
        <v>20</v>
      </c>
    </row>
    <row r="269" spans="1:15" x14ac:dyDescent="0.3">
      <c r="A269" t="s">
        <v>294</v>
      </c>
      <c r="B269" t="s">
        <v>22</v>
      </c>
      <c r="C269">
        <v>50</v>
      </c>
      <c r="D269" t="s">
        <v>20</v>
      </c>
      <c r="E269">
        <v>47</v>
      </c>
      <c r="F269" t="str">
        <f t="shared" si="4"/>
        <v>25-48 Months</v>
      </c>
      <c r="G269" t="s">
        <v>35</v>
      </c>
      <c r="H269" t="s">
        <v>20</v>
      </c>
      <c r="I269" t="s">
        <v>30</v>
      </c>
      <c r="J269" t="s">
        <v>16</v>
      </c>
      <c r="K269" t="s">
        <v>16</v>
      </c>
      <c r="L269">
        <v>4</v>
      </c>
      <c r="M269" s="7">
        <v>35.979999999999997</v>
      </c>
      <c r="N269" s="7">
        <v>1629.34</v>
      </c>
      <c r="O269" t="s">
        <v>20</v>
      </c>
    </row>
    <row r="270" spans="1:15" x14ac:dyDescent="0.3">
      <c r="A270" t="s">
        <v>295</v>
      </c>
      <c r="B270" t="s">
        <v>15</v>
      </c>
      <c r="C270">
        <v>65</v>
      </c>
      <c r="D270" t="s">
        <v>16</v>
      </c>
      <c r="E270">
        <v>18</v>
      </c>
      <c r="F270" t="str">
        <f t="shared" si="4"/>
        <v>13-24 Months</v>
      </c>
      <c r="G270" t="s">
        <v>17</v>
      </c>
      <c r="H270" t="s">
        <v>18</v>
      </c>
      <c r="I270" t="s">
        <v>19</v>
      </c>
      <c r="J270" t="s">
        <v>20</v>
      </c>
      <c r="K270" t="s">
        <v>16</v>
      </c>
      <c r="L270">
        <v>4</v>
      </c>
      <c r="M270" s="7">
        <v>81.790000000000006</v>
      </c>
      <c r="N270" s="7">
        <v>1557.22</v>
      </c>
      <c r="O270" t="s">
        <v>20</v>
      </c>
    </row>
    <row r="271" spans="1:15" x14ac:dyDescent="0.3">
      <c r="A271" t="s">
        <v>296</v>
      </c>
      <c r="B271" t="s">
        <v>15</v>
      </c>
      <c r="C271">
        <v>58</v>
      </c>
      <c r="D271" t="s">
        <v>20</v>
      </c>
      <c r="E271">
        <v>66</v>
      </c>
      <c r="F271" t="str">
        <f t="shared" si="4"/>
        <v>49+ Months</v>
      </c>
      <c r="G271" t="s">
        <v>17</v>
      </c>
      <c r="H271" t="s">
        <v>18</v>
      </c>
      <c r="I271" t="s">
        <v>27</v>
      </c>
      <c r="J271" t="s">
        <v>16</v>
      </c>
      <c r="K271" t="s">
        <v>20</v>
      </c>
      <c r="L271">
        <v>5</v>
      </c>
      <c r="M271" s="7">
        <v>78.2</v>
      </c>
      <c r="N271" s="7">
        <v>5283.9</v>
      </c>
      <c r="O271" t="s">
        <v>20</v>
      </c>
    </row>
    <row r="272" spans="1:15" x14ac:dyDescent="0.3">
      <c r="A272" t="s">
        <v>297</v>
      </c>
      <c r="B272" t="s">
        <v>22</v>
      </c>
      <c r="C272">
        <v>30</v>
      </c>
      <c r="D272" t="s">
        <v>20</v>
      </c>
      <c r="E272">
        <v>68</v>
      </c>
      <c r="F272" t="str">
        <f t="shared" si="4"/>
        <v>49+ Months</v>
      </c>
      <c r="G272" t="s">
        <v>17</v>
      </c>
      <c r="H272" t="s">
        <v>36</v>
      </c>
      <c r="I272" t="s">
        <v>24</v>
      </c>
      <c r="J272" t="s">
        <v>20</v>
      </c>
      <c r="K272" t="s">
        <v>20</v>
      </c>
      <c r="L272">
        <v>4</v>
      </c>
      <c r="M272" s="7">
        <v>67.400000000000006</v>
      </c>
      <c r="N272" s="7">
        <v>4801.74</v>
      </c>
      <c r="O272" t="s">
        <v>20</v>
      </c>
    </row>
    <row r="273" spans="1:15" x14ac:dyDescent="0.3">
      <c r="A273" t="s">
        <v>298</v>
      </c>
      <c r="B273" t="s">
        <v>22</v>
      </c>
      <c r="C273">
        <v>60</v>
      </c>
      <c r="D273" t="s">
        <v>16</v>
      </c>
      <c r="E273">
        <v>33</v>
      </c>
      <c r="F273" t="str">
        <f t="shared" si="4"/>
        <v>25-48 Months</v>
      </c>
      <c r="G273" t="s">
        <v>17</v>
      </c>
      <c r="H273" t="s">
        <v>36</v>
      </c>
      <c r="I273" t="s">
        <v>24</v>
      </c>
      <c r="J273" t="s">
        <v>20</v>
      </c>
      <c r="K273" t="s">
        <v>16</v>
      </c>
      <c r="L273">
        <v>5</v>
      </c>
      <c r="M273" s="7">
        <v>66.599999999999994</v>
      </c>
      <c r="N273" s="7">
        <v>2216.0700000000002</v>
      </c>
      <c r="O273" t="s">
        <v>20</v>
      </c>
    </row>
    <row r="274" spans="1:15" x14ac:dyDescent="0.3">
      <c r="A274" t="s">
        <v>299</v>
      </c>
      <c r="B274" t="s">
        <v>22</v>
      </c>
      <c r="C274">
        <v>62</v>
      </c>
      <c r="D274" t="s">
        <v>16</v>
      </c>
      <c r="E274">
        <v>36</v>
      </c>
      <c r="F274" t="str">
        <f t="shared" si="4"/>
        <v>25-48 Months</v>
      </c>
      <c r="G274" t="s">
        <v>23</v>
      </c>
      <c r="H274" t="s">
        <v>36</v>
      </c>
      <c r="I274" t="s">
        <v>30</v>
      </c>
      <c r="J274" t="s">
        <v>20</v>
      </c>
      <c r="K274" t="s">
        <v>16</v>
      </c>
      <c r="L274">
        <v>6</v>
      </c>
      <c r="M274" s="7">
        <v>60.97</v>
      </c>
      <c r="N274" s="7">
        <v>2079.6799999999998</v>
      </c>
      <c r="O274" t="s">
        <v>20</v>
      </c>
    </row>
    <row r="275" spans="1:15" x14ac:dyDescent="0.3">
      <c r="A275" t="s">
        <v>300</v>
      </c>
      <c r="B275" t="s">
        <v>22</v>
      </c>
      <c r="C275">
        <v>42</v>
      </c>
      <c r="D275" t="s">
        <v>20</v>
      </c>
      <c r="E275">
        <v>19</v>
      </c>
      <c r="F275" t="str">
        <f t="shared" si="4"/>
        <v>13-24 Months</v>
      </c>
      <c r="G275" t="s">
        <v>35</v>
      </c>
      <c r="H275" t="s">
        <v>18</v>
      </c>
      <c r="I275" t="s">
        <v>30</v>
      </c>
      <c r="J275" t="s">
        <v>20</v>
      </c>
      <c r="K275" t="s">
        <v>20</v>
      </c>
      <c r="L275">
        <v>6</v>
      </c>
      <c r="M275" s="7">
        <v>78.27</v>
      </c>
      <c r="N275" s="7">
        <v>1601.21</v>
      </c>
      <c r="O275" t="s">
        <v>20</v>
      </c>
    </row>
    <row r="276" spans="1:15" x14ac:dyDescent="0.3">
      <c r="A276" t="s">
        <v>301</v>
      </c>
      <c r="B276" t="s">
        <v>15</v>
      </c>
      <c r="C276">
        <v>70</v>
      </c>
      <c r="D276" t="s">
        <v>16</v>
      </c>
      <c r="E276">
        <v>28</v>
      </c>
      <c r="F276" t="str">
        <f t="shared" si="4"/>
        <v>25-48 Months</v>
      </c>
      <c r="G276" t="s">
        <v>35</v>
      </c>
      <c r="H276" t="s">
        <v>20</v>
      </c>
      <c r="I276" t="s">
        <v>19</v>
      </c>
      <c r="J276" t="s">
        <v>16</v>
      </c>
      <c r="K276" t="s">
        <v>20</v>
      </c>
      <c r="L276">
        <v>1</v>
      </c>
      <c r="M276" s="7">
        <v>30.09</v>
      </c>
      <c r="N276" s="7">
        <v>799.75</v>
      </c>
      <c r="O276" t="s">
        <v>20</v>
      </c>
    </row>
    <row r="277" spans="1:15" x14ac:dyDescent="0.3">
      <c r="A277" t="s">
        <v>302</v>
      </c>
      <c r="B277" t="s">
        <v>22</v>
      </c>
      <c r="C277">
        <v>59</v>
      </c>
      <c r="D277" t="s">
        <v>20</v>
      </c>
      <c r="E277">
        <v>40</v>
      </c>
      <c r="F277" t="str">
        <f t="shared" si="4"/>
        <v>25-48 Months</v>
      </c>
      <c r="G277" t="s">
        <v>17</v>
      </c>
      <c r="H277" t="s">
        <v>36</v>
      </c>
      <c r="I277" t="s">
        <v>27</v>
      </c>
      <c r="J277" t="s">
        <v>20</v>
      </c>
      <c r="K277" t="s">
        <v>16</v>
      </c>
      <c r="L277">
        <v>7</v>
      </c>
      <c r="M277" s="7">
        <v>72.790000000000006</v>
      </c>
      <c r="N277" s="7">
        <v>3103.18</v>
      </c>
      <c r="O277" t="s">
        <v>20</v>
      </c>
    </row>
    <row r="278" spans="1:15" x14ac:dyDescent="0.3">
      <c r="A278" t="s">
        <v>303</v>
      </c>
      <c r="B278" t="s">
        <v>15</v>
      </c>
      <c r="C278">
        <v>53</v>
      </c>
      <c r="D278" t="s">
        <v>20</v>
      </c>
      <c r="E278">
        <v>15</v>
      </c>
      <c r="F278" t="str">
        <f t="shared" si="4"/>
        <v>13-24 Months</v>
      </c>
      <c r="G278" t="s">
        <v>17</v>
      </c>
      <c r="H278" t="s">
        <v>36</v>
      </c>
      <c r="I278" t="s">
        <v>19</v>
      </c>
      <c r="J278" t="s">
        <v>16</v>
      </c>
      <c r="K278" t="s">
        <v>20</v>
      </c>
      <c r="L278">
        <v>4</v>
      </c>
      <c r="M278" s="7">
        <v>50.29</v>
      </c>
      <c r="N278" s="7">
        <v>719.12</v>
      </c>
      <c r="O278" t="s">
        <v>20</v>
      </c>
    </row>
    <row r="279" spans="1:15" x14ac:dyDescent="0.3">
      <c r="A279" t="s">
        <v>304</v>
      </c>
      <c r="B279" t="s">
        <v>22</v>
      </c>
      <c r="C279">
        <v>44</v>
      </c>
      <c r="D279" t="s">
        <v>20</v>
      </c>
      <c r="E279">
        <v>41</v>
      </c>
      <c r="F279" t="str">
        <f t="shared" si="4"/>
        <v>25-48 Months</v>
      </c>
      <c r="G279" t="s">
        <v>35</v>
      </c>
      <c r="H279" t="s">
        <v>20</v>
      </c>
      <c r="I279" t="s">
        <v>19</v>
      </c>
      <c r="J279" t="s">
        <v>20</v>
      </c>
      <c r="K279" t="s">
        <v>20</v>
      </c>
      <c r="L279">
        <v>2</v>
      </c>
      <c r="M279" s="7">
        <v>38.5</v>
      </c>
      <c r="N279" s="7">
        <v>1546.61</v>
      </c>
      <c r="O279" t="s">
        <v>20</v>
      </c>
    </row>
    <row r="280" spans="1:15" x14ac:dyDescent="0.3">
      <c r="A280" t="s">
        <v>305</v>
      </c>
      <c r="B280" t="s">
        <v>15</v>
      </c>
      <c r="C280">
        <v>55</v>
      </c>
      <c r="D280" t="s">
        <v>20</v>
      </c>
      <c r="E280">
        <v>39</v>
      </c>
      <c r="F280" t="str">
        <f t="shared" si="4"/>
        <v>25-48 Months</v>
      </c>
      <c r="G280" t="s">
        <v>35</v>
      </c>
      <c r="H280" t="s">
        <v>36</v>
      </c>
      <c r="I280" t="s">
        <v>24</v>
      </c>
      <c r="J280" t="s">
        <v>20</v>
      </c>
      <c r="K280" t="s">
        <v>20</v>
      </c>
      <c r="L280">
        <v>7</v>
      </c>
      <c r="M280" s="7">
        <v>75.66</v>
      </c>
      <c r="N280" s="7">
        <v>2922.45</v>
      </c>
      <c r="O280" t="s">
        <v>20</v>
      </c>
    </row>
    <row r="281" spans="1:15" x14ac:dyDescent="0.3">
      <c r="A281" t="s">
        <v>306</v>
      </c>
      <c r="B281" t="s">
        <v>22</v>
      </c>
      <c r="C281">
        <v>24</v>
      </c>
      <c r="D281" t="s">
        <v>20</v>
      </c>
      <c r="E281">
        <v>2</v>
      </c>
      <c r="F281" t="str">
        <f t="shared" si="4"/>
        <v>0-6 Months</v>
      </c>
      <c r="G281" t="s">
        <v>17</v>
      </c>
      <c r="H281" t="s">
        <v>18</v>
      </c>
      <c r="I281" t="s">
        <v>30</v>
      </c>
      <c r="J281" t="s">
        <v>20</v>
      </c>
      <c r="K281" t="s">
        <v>16</v>
      </c>
      <c r="L281">
        <v>2</v>
      </c>
      <c r="M281" s="7">
        <v>73.39</v>
      </c>
      <c r="N281" s="7">
        <v>156.68</v>
      </c>
      <c r="O281" t="s">
        <v>20</v>
      </c>
    </row>
    <row r="282" spans="1:15" x14ac:dyDescent="0.3">
      <c r="A282" t="s">
        <v>307</v>
      </c>
      <c r="B282" t="s">
        <v>22</v>
      </c>
      <c r="C282">
        <v>22</v>
      </c>
      <c r="D282" t="s">
        <v>20</v>
      </c>
      <c r="E282">
        <v>63</v>
      </c>
      <c r="F282" t="str">
        <f t="shared" si="4"/>
        <v>49+ Months</v>
      </c>
      <c r="G282" t="s">
        <v>17</v>
      </c>
      <c r="H282" t="s">
        <v>36</v>
      </c>
      <c r="I282" t="s">
        <v>30</v>
      </c>
      <c r="J282" t="s">
        <v>16</v>
      </c>
      <c r="K282" t="s">
        <v>20</v>
      </c>
      <c r="L282">
        <v>5</v>
      </c>
      <c r="M282" s="7">
        <v>68.3</v>
      </c>
      <c r="N282" s="7">
        <v>4570.16</v>
      </c>
      <c r="O282" t="s">
        <v>20</v>
      </c>
    </row>
    <row r="283" spans="1:15" x14ac:dyDescent="0.3">
      <c r="A283" t="s">
        <v>308</v>
      </c>
      <c r="B283" t="s">
        <v>22</v>
      </c>
      <c r="C283">
        <v>60</v>
      </c>
      <c r="D283" t="s">
        <v>16</v>
      </c>
      <c r="E283">
        <v>29</v>
      </c>
      <c r="F283" t="str">
        <f t="shared" si="4"/>
        <v>25-48 Months</v>
      </c>
      <c r="G283" t="s">
        <v>17</v>
      </c>
      <c r="H283" t="s">
        <v>18</v>
      </c>
      <c r="I283" t="s">
        <v>24</v>
      </c>
      <c r="J283" t="s">
        <v>20</v>
      </c>
      <c r="K283" t="s">
        <v>16</v>
      </c>
      <c r="L283">
        <v>3</v>
      </c>
      <c r="M283" s="7">
        <v>68.069999999999993</v>
      </c>
      <c r="N283" s="7">
        <v>2076.12</v>
      </c>
      <c r="O283" t="s">
        <v>20</v>
      </c>
    </row>
    <row r="284" spans="1:15" x14ac:dyDescent="0.3">
      <c r="A284" t="s">
        <v>309</v>
      </c>
      <c r="B284" t="s">
        <v>22</v>
      </c>
      <c r="C284">
        <v>62</v>
      </c>
      <c r="D284" t="s">
        <v>16</v>
      </c>
      <c r="E284">
        <v>66</v>
      </c>
      <c r="F284" t="str">
        <f t="shared" si="4"/>
        <v>49+ Months</v>
      </c>
      <c r="G284" t="s">
        <v>35</v>
      </c>
      <c r="H284" t="s">
        <v>18</v>
      </c>
      <c r="I284" t="s">
        <v>24</v>
      </c>
      <c r="J284" t="s">
        <v>20</v>
      </c>
      <c r="K284" t="s">
        <v>20</v>
      </c>
      <c r="L284">
        <v>6</v>
      </c>
      <c r="M284" s="7">
        <v>80.48</v>
      </c>
      <c r="N284" s="7">
        <v>5206.87</v>
      </c>
      <c r="O284" t="s">
        <v>20</v>
      </c>
    </row>
    <row r="285" spans="1:15" x14ac:dyDescent="0.3">
      <c r="A285" t="s">
        <v>310</v>
      </c>
      <c r="B285" t="s">
        <v>15</v>
      </c>
      <c r="C285">
        <v>75</v>
      </c>
      <c r="D285" t="s">
        <v>16</v>
      </c>
      <c r="E285">
        <v>51</v>
      </c>
      <c r="F285" t="str">
        <f t="shared" si="4"/>
        <v>49+ Months</v>
      </c>
      <c r="G285" t="s">
        <v>23</v>
      </c>
      <c r="H285" t="s">
        <v>18</v>
      </c>
      <c r="I285" t="s">
        <v>27</v>
      </c>
      <c r="J285" t="s">
        <v>20</v>
      </c>
      <c r="K285" t="s">
        <v>20</v>
      </c>
      <c r="L285">
        <v>2</v>
      </c>
      <c r="M285" s="7">
        <v>69.180000000000007</v>
      </c>
      <c r="N285" s="7">
        <v>3248.46</v>
      </c>
      <c r="O285" t="s">
        <v>20</v>
      </c>
    </row>
    <row r="286" spans="1:15" x14ac:dyDescent="0.3">
      <c r="A286" t="s">
        <v>311</v>
      </c>
      <c r="B286" t="s">
        <v>22</v>
      </c>
      <c r="C286">
        <v>74</v>
      </c>
      <c r="D286" t="s">
        <v>16</v>
      </c>
      <c r="E286">
        <v>10</v>
      </c>
      <c r="F286" t="str">
        <f t="shared" si="4"/>
        <v>7-12 Months</v>
      </c>
      <c r="G286" t="s">
        <v>17</v>
      </c>
      <c r="H286" t="s">
        <v>20</v>
      </c>
      <c r="I286" t="s">
        <v>19</v>
      </c>
      <c r="J286" t="s">
        <v>20</v>
      </c>
      <c r="K286" t="s">
        <v>20</v>
      </c>
      <c r="L286">
        <v>1</v>
      </c>
      <c r="M286" s="7">
        <v>24.56</v>
      </c>
      <c r="N286" s="7">
        <v>252.74</v>
      </c>
      <c r="O286" t="s">
        <v>20</v>
      </c>
    </row>
    <row r="287" spans="1:15" x14ac:dyDescent="0.3">
      <c r="A287" t="s">
        <v>312</v>
      </c>
      <c r="B287" t="s">
        <v>15</v>
      </c>
      <c r="C287">
        <v>68</v>
      </c>
      <c r="D287" t="s">
        <v>16</v>
      </c>
      <c r="E287">
        <v>14</v>
      </c>
      <c r="F287" t="str">
        <f t="shared" si="4"/>
        <v>13-24 Months</v>
      </c>
      <c r="G287" t="s">
        <v>17</v>
      </c>
      <c r="H287" t="s">
        <v>18</v>
      </c>
      <c r="I287" t="s">
        <v>24</v>
      </c>
      <c r="J287" t="s">
        <v>20</v>
      </c>
      <c r="K287" t="s">
        <v>20</v>
      </c>
      <c r="L287">
        <v>4</v>
      </c>
      <c r="M287" s="7">
        <v>82.52</v>
      </c>
      <c r="N287" s="7">
        <v>1138.82</v>
      </c>
      <c r="O287" t="s">
        <v>20</v>
      </c>
    </row>
    <row r="288" spans="1:15" x14ac:dyDescent="0.3">
      <c r="A288" t="s">
        <v>313</v>
      </c>
      <c r="B288" t="s">
        <v>15</v>
      </c>
      <c r="C288">
        <v>48</v>
      </c>
      <c r="D288" t="s">
        <v>20</v>
      </c>
      <c r="E288">
        <v>51</v>
      </c>
      <c r="F288" t="str">
        <f t="shared" si="4"/>
        <v>49+ Months</v>
      </c>
      <c r="G288" t="s">
        <v>35</v>
      </c>
      <c r="H288" t="s">
        <v>36</v>
      </c>
      <c r="I288" t="s">
        <v>30</v>
      </c>
      <c r="J288" t="s">
        <v>16</v>
      </c>
      <c r="K288" t="s">
        <v>20</v>
      </c>
      <c r="L288">
        <v>2</v>
      </c>
      <c r="M288" s="7">
        <v>56.64</v>
      </c>
      <c r="N288" s="7">
        <v>3007.45</v>
      </c>
      <c r="O288" t="s">
        <v>16</v>
      </c>
    </row>
    <row r="289" spans="1:15" x14ac:dyDescent="0.3">
      <c r="A289" t="s">
        <v>314</v>
      </c>
      <c r="B289" t="s">
        <v>15</v>
      </c>
      <c r="C289">
        <v>40</v>
      </c>
      <c r="D289" t="s">
        <v>20</v>
      </c>
      <c r="E289">
        <v>39</v>
      </c>
      <c r="F289" t="str">
        <f t="shared" si="4"/>
        <v>25-48 Months</v>
      </c>
      <c r="G289" t="s">
        <v>17</v>
      </c>
      <c r="H289" t="s">
        <v>18</v>
      </c>
      <c r="I289" t="s">
        <v>24</v>
      </c>
      <c r="J289" t="s">
        <v>20</v>
      </c>
      <c r="K289" t="s">
        <v>20</v>
      </c>
      <c r="L289">
        <v>6</v>
      </c>
      <c r="M289" s="7">
        <v>82.08</v>
      </c>
      <c r="N289" s="7">
        <v>3352.14</v>
      </c>
      <c r="O289" t="s">
        <v>16</v>
      </c>
    </row>
    <row r="290" spans="1:15" x14ac:dyDescent="0.3">
      <c r="A290" t="s">
        <v>315</v>
      </c>
      <c r="B290" t="s">
        <v>15</v>
      </c>
      <c r="C290">
        <v>59</v>
      </c>
      <c r="D290" t="s">
        <v>20</v>
      </c>
      <c r="E290">
        <v>28</v>
      </c>
      <c r="F290" t="str">
        <f t="shared" si="4"/>
        <v>25-48 Months</v>
      </c>
      <c r="G290" t="s">
        <v>17</v>
      </c>
      <c r="H290" t="s">
        <v>36</v>
      </c>
      <c r="I290" t="s">
        <v>27</v>
      </c>
      <c r="J290" t="s">
        <v>20</v>
      </c>
      <c r="K290" t="s">
        <v>16</v>
      </c>
      <c r="L290">
        <v>4</v>
      </c>
      <c r="M290" s="7">
        <v>52.93</v>
      </c>
      <c r="N290" s="7">
        <v>1467.75</v>
      </c>
      <c r="O290" t="s">
        <v>20</v>
      </c>
    </row>
    <row r="291" spans="1:15" x14ac:dyDescent="0.3">
      <c r="A291" t="s">
        <v>316</v>
      </c>
      <c r="B291" t="s">
        <v>22</v>
      </c>
      <c r="C291">
        <v>27</v>
      </c>
      <c r="D291" t="s">
        <v>20</v>
      </c>
      <c r="E291">
        <v>3</v>
      </c>
      <c r="F291" t="str">
        <f t="shared" si="4"/>
        <v>0-6 Months</v>
      </c>
      <c r="G291" t="s">
        <v>23</v>
      </c>
      <c r="H291" t="s">
        <v>36</v>
      </c>
      <c r="I291" t="s">
        <v>24</v>
      </c>
      <c r="J291" t="s">
        <v>20</v>
      </c>
      <c r="K291" t="s">
        <v>20</v>
      </c>
      <c r="L291">
        <v>4</v>
      </c>
      <c r="M291" s="7">
        <v>64.98</v>
      </c>
      <c r="N291" s="7">
        <v>202.68</v>
      </c>
      <c r="O291" t="s">
        <v>16</v>
      </c>
    </row>
    <row r="292" spans="1:15" x14ac:dyDescent="0.3">
      <c r="A292" t="s">
        <v>317</v>
      </c>
      <c r="B292" t="s">
        <v>15</v>
      </c>
      <c r="C292">
        <v>49</v>
      </c>
      <c r="D292" t="s">
        <v>20</v>
      </c>
      <c r="E292">
        <v>70</v>
      </c>
      <c r="F292" t="str">
        <f t="shared" si="4"/>
        <v>49+ Months</v>
      </c>
      <c r="G292" t="s">
        <v>17</v>
      </c>
      <c r="H292" t="s">
        <v>36</v>
      </c>
      <c r="I292" t="s">
        <v>30</v>
      </c>
      <c r="J292" t="s">
        <v>20</v>
      </c>
      <c r="K292" t="s">
        <v>16</v>
      </c>
      <c r="L292">
        <v>3</v>
      </c>
      <c r="M292" s="7">
        <v>48.13</v>
      </c>
      <c r="N292" s="7">
        <v>3552.35</v>
      </c>
      <c r="O292" t="s">
        <v>20</v>
      </c>
    </row>
    <row r="293" spans="1:15" x14ac:dyDescent="0.3">
      <c r="A293" t="s">
        <v>318</v>
      </c>
      <c r="B293" t="s">
        <v>15</v>
      </c>
      <c r="C293">
        <v>60</v>
      </c>
      <c r="D293" t="s">
        <v>16</v>
      </c>
      <c r="E293">
        <v>27</v>
      </c>
      <c r="F293" t="str">
        <f t="shared" si="4"/>
        <v>25-48 Months</v>
      </c>
      <c r="G293" t="s">
        <v>17</v>
      </c>
      <c r="H293" t="s">
        <v>18</v>
      </c>
      <c r="I293" t="s">
        <v>19</v>
      </c>
      <c r="J293" t="s">
        <v>16</v>
      </c>
      <c r="K293" t="s">
        <v>16</v>
      </c>
      <c r="L293">
        <v>6</v>
      </c>
      <c r="M293" s="7">
        <v>85</v>
      </c>
      <c r="N293" s="7">
        <v>2452.34</v>
      </c>
      <c r="O293" t="s">
        <v>20</v>
      </c>
    </row>
    <row r="294" spans="1:15" x14ac:dyDescent="0.3">
      <c r="A294" t="s">
        <v>319</v>
      </c>
      <c r="B294" t="s">
        <v>15</v>
      </c>
      <c r="C294">
        <v>70</v>
      </c>
      <c r="D294" t="s">
        <v>16</v>
      </c>
      <c r="E294">
        <v>2</v>
      </c>
      <c r="F294" t="str">
        <f t="shared" si="4"/>
        <v>0-6 Months</v>
      </c>
      <c r="G294" t="s">
        <v>35</v>
      </c>
      <c r="H294" t="s">
        <v>36</v>
      </c>
      <c r="I294" t="s">
        <v>27</v>
      </c>
      <c r="J294" t="s">
        <v>20</v>
      </c>
      <c r="K294" t="s">
        <v>20</v>
      </c>
      <c r="L294">
        <v>3</v>
      </c>
      <c r="M294" s="7">
        <v>47.93</v>
      </c>
      <c r="N294" s="7">
        <v>97.12</v>
      </c>
      <c r="O294" t="s">
        <v>20</v>
      </c>
    </row>
    <row r="295" spans="1:15" x14ac:dyDescent="0.3">
      <c r="A295" t="s">
        <v>320</v>
      </c>
      <c r="B295" t="s">
        <v>22</v>
      </c>
      <c r="C295">
        <v>47</v>
      </c>
      <c r="D295" t="s">
        <v>20</v>
      </c>
      <c r="E295">
        <v>38</v>
      </c>
      <c r="F295" t="str">
        <f t="shared" si="4"/>
        <v>25-48 Months</v>
      </c>
      <c r="G295" t="s">
        <v>35</v>
      </c>
      <c r="H295" t="s">
        <v>20</v>
      </c>
      <c r="I295" t="s">
        <v>24</v>
      </c>
      <c r="J295" t="s">
        <v>20</v>
      </c>
      <c r="K295" t="s">
        <v>20</v>
      </c>
      <c r="L295">
        <v>3</v>
      </c>
      <c r="M295" s="7">
        <v>32.86</v>
      </c>
      <c r="N295" s="7">
        <v>1304.32</v>
      </c>
      <c r="O295" t="s">
        <v>20</v>
      </c>
    </row>
    <row r="296" spans="1:15" x14ac:dyDescent="0.3">
      <c r="A296" t="s">
        <v>321</v>
      </c>
      <c r="B296" t="s">
        <v>22</v>
      </c>
      <c r="C296">
        <v>56</v>
      </c>
      <c r="D296" t="s">
        <v>20</v>
      </c>
      <c r="E296">
        <v>3</v>
      </c>
      <c r="F296" t="str">
        <f t="shared" si="4"/>
        <v>0-6 Months</v>
      </c>
      <c r="G296" t="s">
        <v>35</v>
      </c>
      <c r="H296" t="s">
        <v>36</v>
      </c>
      <c r="I296" t="s">
        <v>30</v>
      </c>
      <c r="J296" t="s">
        <v>16</v>
      </c>
      <c r="K296" t="s">
        <v>20</v>
      </c>
      <c r="L296">
        <v>5</v>
      </c>
      <c r="M296" s="7">
        <v>52.46</v>
      </c>
      <c r="N296" s="7">
        <v>157.24</v>
      </c>
      <c r="O296" t="s">
        <v>20</v>
      </c>
    </row>
    <row r="297" spans="1:15" x14ac:dyDescent="0.3">
      <c r="A297" t="s">
        <v>322</v>
      </c>
      <c r="B297" t="s">
        <v>22</v>
      </c>
      <c r="C297">
        <v>48</v>
      </c>
      <c r="D297" t="s">
        <v>20</v>
      </c>
      <c r="E297">
        <v>16</v>
      </c>
      <c r="F297" t="str">
        <f t="shared" si="4"/>
        <v>13-24 Months</v>
      </c>
      <c r="G297" t="s">
        <v>35</v>
      </c>
      <c r="H297" t="s">
        <v>36</v>
      </c>
      <c r="I297" t="s">
        <v>30</v>
      </c>
      <c r="J297" t="s">
        <v>20</v>
      </c>
      <c r="K297" t="s">
        <v>20</v>
      </c>
      <c r="L297">
        <v>5</v>
      </c>
      <c r="M297" s="7">
        <v>71.98</v>
      </c>
      <c r="N297" s="7">
        <v>1067.22</v>
      </c>
      <c r="O297" t="s">
        <v>20</v>
      </c>
    </row>
    <row r="298" spans="1:15" x14ac:dyDescent="0.3">
      <c r="A298" t="s">
        <v>323</v>
      </c>
      <c r="B298" t="s">
        <v>22</v>
      </c>
      <c r="C298">
        <v>35</v>
      </c>
      <c r="D298" t="s">
        <v>20</v>
      </c>
      <c r="E298">
        <v>40</v>
      </c>
      <c r="F298" t="str">
        <f t="shared" si="4"/>
        <v>25-48 Months</v>
      </c>
      <c r="G298" t="s">
        <v>23</v>
      </c>
      <c r="H298" t="s">
        <v>20</v>
      </c>
      <c r="I298" t="s">
        <v>19</v>
      </c>
      <c r="J298" t="s">
        <v>20</v>
      </c>
      <c r="K298" t="s">
        <v>20</v>
      </c>
      <c r="L298">
        <v>2</v>
      </c>
      <c r="M298" s="7">
        <v>40.090000000000003</v>
      </c>
      <c r="N298" s="7">
        <v>1515.14</v>
      </c>
      <c r="O298" t="s">
        <v>20</v>
      </c>
    </row>
    <row r="299" spans="1:15" x14ac:dyDescent="0.3">
      <c r="A299" t="s">
        <v>324</v>
      </c>
      <c r="B299" t="s">
        <v>15</v>
      </c>
      <c r="C299">
        <v>53</v>
      </c>
      <c r="D299" t="s">
        <v>20</v>
      </c>
      <c r="E299">
        <v>2</v>
      </c>
      <c r="F299" t="str">
        <f t="shared" si="4"/>
        <v>0-6 Months</v>
      </c>
      <c r="G299" t="s">
        <v>35</v>
      </c>
      <c r="H299" t="s">
        <v>18</v>
      </c>
      <c r="I299" t="s">
        <v>19</v>
      </c>
      <c r="J299" t="s">
        <v>20</v>
      </c>
      <c r="K299" t="s">
        <v>20</v>
      </c>
      <c r="L299">
        <v>3</v>
      </c>
      <c r="M299" s="7">
        <v>69.349999999999994</v>
      </c>
      <c r="N299" s="7">
        <v>130.44999999999999</v>
      </c>
      <c r="O299" t="s">
        <v>20</v>
      </c>
    </row>
    <row r="300" spans="1:15" x14ac:dyDescent="0.3">
      <c r="A300" t="s">
        <v>325</v>
      </c>
      <c r="B300" t="s">
        <v>15</v>
      </c>
      <c r="C300">
        <v>19</v>
      </c>
      <c r="D300" t="s">
        <v>20</v>
      </c>
      <c r="E300">
        <v>41</v>
      </c>
      <c r="F300" t="str">
        <f t="shared" si="4"/>
        <v>25-48 Months</v>
      </c>
      <c r="G300" t="s">
        <v>17</v>
      </c>
      <c r="H300" t="s">
        <v>36</v>
      </c>
      <c r="I300" t="s">
        <v>30</v>
      </c>
      <c r="J300" t="s">
        <v>20</v>
      </c>
      <c r="K300" t="s">
        <v>16</v>
      </c>
      <c r="L300">
        <v>3</v>
      </c>
      <c r="M300" s="7">
        <v>58.24</v>
      </c>
      <c r="N300" s="7">
        <v>2262.44</v>
      </c>
      <c r="O300" t="s">
        <v>20</v>
      </c>
    </row>
    <row r="301" spans="1:15" x14ac:dyDescent="0.3">
      <c r="A301" t="s">
        <v>326</v>
      </c>
      <c r="B301" t="s">
        <v>22</v>
      </c>
      <c r="C301">
        <v>31</v>
      </c>
      <c r="D301" t="s">
        <v>20</v>
      </c>
      <c r="E301">
        <v>12</v>
      </c>
      <c r="F301" t="str">
        <f t="shared" si="4"/>
        <v>7-12 Months</v>
      </c>
      <c r="G301" t="s">
        <v>23</v>
      </c>
      <c r="H301" t="s">
        <v>20</v>
      </c>
      <c r="I301" t="s">
        <v>27</v>
      </c>
      <c r="J301" t="s">
        <v>20</v>
      </c>
      <c r="K301" t="s">
        <v>20</v>
      </c>
      <c r="L301">
        <v>4</v>
      </c>
      <c r="M301" s="7">
        <v>30.95</v>
      </c>
      <c r="N301" s="7">
        <v>342.29</v>
      </c>
      <c r="O301" t="s">
        <v>20</v>
      </c>
    </row>
    <row r="302" spans="1:15" x14ac:dyDescent="0.3">
      <c r="A302" t="s">
        <v>327</v>
      </c>
      <c r="B302" t="s">
        <v>15</v>
      </c>
      <c r="C302">
        <v>30</v>
      </c>
      <c r="D302" t="s">
        <v>20</v>
      </c>
      <c r="E302">
        <v>35</v>
      </c>
      <c r="F302" t="str">
        <f t="shared" si="4"/>
        <v>25-48 Months</v>
      </c>
      <c r="G302" t="s">
        <v>35</v>
      </c>
      <c r="H302" t="s">
        <v>18</v>
      </c>
      <c r="I302" t="s">
        <v>24</v>
      </c>
      <c r="J302" t="s">
        <v>16</v>
      </c>
      <c r="K302" t="s">
        <v>20</v>
      </c>
      <c r="L302">
        <v>3</v>
      </c>
      <c r="M302" s="7">
        <v>79.349999999999994</v>
      </c>
      <c r="N302" s="7">
        <v>2936.64</v>
      </c>
      <c r="O302" t="s">
        <v>16</v>
      </c>
    </row>
    <row r="303" spans="1:15" x14ac:dyDescent="0.3">
      <c r="A303" t="s">
        <v>328</v>
      </c>
      <c r="B303" t="s">
        <v>15</v>
      </c>
      <c r="C303">
        <v>46</v>
      </c>
      <c r="D303" t="s">
        <v>20</v>
      </c>
      <c r="E303">
        <v>65</v>
      </c>
      <c r="F303" t="str">
        <f t="shared" si="4"/>
        <v>49+ Months</v>
      </c>
      <c r="G303" t="s">
        <v>17</v>
      </c>
      <c r="H303" t="s">
        <v>36</v>
      </c>
      <c r="I303" t="s">
        <v>24</v>
      </c>
      <c r="J303" t="s">
        <v>20</v>
      </c>
      <c r="K303" t="s">
        <v>20</v>
      </c>
      <c r="L303">
        <v>3</v>
      </c>
      <c r="M303" s="7">
        <v>48.81</v>
      </c>
      <c r="N303" s="7">
        <v>3203.18</v>
      </c>
      <c r="O303" t="s">
        <v>20</v>
      </c>
    </row>
    <row r="304" spans="1:15" x14ac:dyDescent="0.3">
      <c r="A304" t="s">
        <v>329</v>
      </c>
      <c r="B304" t="s">
        <v>15</v>
      </c>
      <c r="C304">
        <v>29</v>
      </c>
      <c r="D304" t="s">
        <v>20</v>
      </c>
      <c r="E304">
        <v>55</v>
      </c>
      <c r="F304" t="str">
        <f t="shared" si="4"/>
        <v>49+ Months</v>
      </c>
      <c r="G304" t="s">
        <v>17</v>
      </c>
      <c r="H304" t="s">
        <v>18</v>
      </c>
      <c r="I304" t="s">
        <v>27</v>
      </c>
      <c r="J304" t="s">
        <v>20</v>
      </c>
      <c r="K304" t="s">
        <v>16</v>
      </c>
      <c r="L304">
        <v>3</v>
      </c>
      <c r="M304" s="7">
        <v>83.52</v>
      </c>
      <c r="N304" s="7">
        <v>4507.72</v>
      </c>
      <c r="O304" t="s">
        <v>20</v>
      </c>
    </row>
    <row r="305" spans="1:15" x14ac:dyDescent="0.3">
      <c r="A305" t="s">
        <v>330</v>
      </c>
      <c r="B305" t="s">
        <v>22</v>
      </c>
      <c r="C305">
        <v>56</v>
      </c>
      <c r="D305" t="s">
        <v>20</v>
      </c>
      <c r="E305">
        <v>45</v>
      </c>
      <c r="F305" t="str">
        <f t="shared" si="4"/>
        <v>25-48 Months</v>
      </c>
      <c r="G305" t="s">
        <v>17</v>
      </c>
      <c r="H305" t="s">
        <v>36</v>
      </c>
      <c r="I305" t="s">
        <v>24</v>
      </c>
      <c r="J305" t="s">
        <v>20</v>
      </c>
      <c r="K305" t="s">
        <v>20</v>
      </c>
      <c r="L305">
        <v>6</v>
      </c>
      <c r="M305" s="7">
        <v>70.58</v>
      </c>
      <c r="N305" s="7">
        <v>3130.25</v>
      </c>
      <c r="O305" t="s">
        <v>20</v>
      </c>
    </row>
    <row r="306" spans="1:15" x14ac:dyDescent="0.3">
      <c r="A306" t="s">
        <v>331</v>
      </c>
      <c r="B306" t="s">
        <v>22</v>
      </c>
      <c r="C306">
        <v>19</v>
      </c>
      <c r="D306" t="s">
        <v>20</v>
      </c>
      <c r="E306">
        <v>62</v>
      </c>
      <c r="F306" t="str">
        <f t="shared" si="4"/>
        <v>49+ Months</v>
      </c>
      <c r="G306" t="s">
        <v>17</v>
      </c>
      <c r="H306" t="s">
        <v>36</v>
      </c>
      <c r="I306" t="s">
        <v>27</v>
      </c>
      <c r="J306" t="s">
        <v>20</v>
      </c>
      <c r="K306" t="s">
        <v>16</v>
      </c>
      <c r="L306">
        <v>7</v>
      </c>
      <c r="M306" s="7">
        <v>68.44</v>
      </c>
      <c r="N306" s="7">
        <v>4218.3999999999996</v>
      </c>
      <c r="O306" t="s">
        <v>20</v>
      </c>
    </row>
    <row r="307" spans="1:15" x14ac:dyDescent="0.3">
      <c r="A307" t="s">
        <v>332</v>
      </c>
      <c r="B307" t="s">
        <v>15</v>
      </c>
      <c r="C307">
        <v>49</v>
      </c>
      <c r="D307" t="s">
        <v>20</v>
      </c>
      <c r="E307">
        <v>49</v>
      </c>
      <c r="F307" t="str">
        <f t="shared" si="4"/>
        <v>49+ Months</v>
      </c>
      <c r="G307" t="s">
        <v>17</v>
      </c>
      <c r="H307" t="s">
        <v>18</v>
      </c>
      <c r="I307" t="s">
        <v>30</v>
      </c>
      <c r="J307" t="s">
        <v>20</v>
      </c>
      <c r="K307" t="s">
        <v>16</v>
      </c>
      <c r="L307">
        <v>4</v>
      </c>
      <c r="M307" s="7">
        <v>76.14</v>
      </c>
      <c r="N307" s="7">
        <v>3476.5</v>
      </c>
      <c r="O307" t="s">
        <v>20</v>
      </c>
    </row>
    <row r="308" spans="1:15" x14ac:dyDescent="0.3">
      <c r="A308" t="s">
        <v>333</v>
      </c>
      <c r="B308" t="s">
        <v>22</v>
      </c>
      <c r="C308">
        <v>30</v>
      </c>
      <c r="D308" t="s">
        <v>20</v>
      </c>
      <c r="E308">
        <v>25</v>
      </c>
      <c r="F308" t="str">
        <f t="shared" si="4"/>
        <v>25-48 Months</v>
      </c>
      <c r="G308" t="s">
        <v>35</v>
      </c>
      <c r="H308" t="s">
        <v>36</v>
      </c>
      <c r="I308" t="s">
        <v>30</v>
      </c>
      <c r="J308" t="s">
        <v>16</v>
      </c>
      <c r="K308" t="s">
        <v>16</v>
      </c>
      <c r="L308">
        <v>4</v>
      </c>
      <c r="M308" s="7">
        <v>60.01</v>
      </c>
      <c r="N308" s="7">
        <v>1446.16</v>
      </c>
      <c r="O308" t="s">
        <v>20</v>
      </c>
    </row>
    <row r="309" spans="1:15" x14ac:dyDescent="0.3">
      <c r="A309" t="s">
        <v>334</v>
      </c>
      <c r="B309" t="s">
        <v>22</v>
      </c>
      <c r="C309">
        <v>63</v>
      </c>
      <c r="D309" t="s">
        <v>16</v>
      </c>
      <c r="E309">
        <v>23</v>
      </c>
      <c r="F309" t="str">
        <f t="shared" si="4"/>
        <v>13-24 Months</v>
      </c>
      <c r="G309" t="s">
        <v>35</v>
      </c>
      <c r="H309" t="s">
        <v>18</v>
      </c>
      <c r="I309" t="s">
        <v>24</v>
      </c>
      <c r="J309" t="s">
        <v>16</v>
      </c>
      <c r="K309" t="s">
        <v>16</v>
      </c>
      <c r="L309">
        <v>1</v>
      </c>
      <c r="M309" s="7">
        <v>60.53</v>
      </c>
      <c r="N309" s="7">
        <v>1470.51</v>
      </c>
      <c r="O309" t="s">
        <v>20</v>
      </c>
    </row>
    <row r="310" spans="1:15" x14ac:dyDescent="0.3">
      <c r="A310" t="s">
        <v>335</v>
      </c>
      <c r="B310" t="s">
        <v>22</v>
      </c>
      <c r="C310">
        <v>44</v>
      </c>
      <c r="D310" t="s">
        <v>20</v>
      </c>
      <c r="E310">
        <v>24</v>
      </c>
      <c r="F310" t="str">
        <f t="shared" si="4"/>
        <v>13-24 Months</v>
      </c>
      <c r="G310" t="s">
        <v>17</v>
      </c>
      <c r="H310" t="s">
        <v>18</v>
      </c>
      <c r="I310" t="s">
        <v>24</v>
      </c>
      <c r="J310" t="s">
        <v>20</v>
      </c>
      <c r="K310" t="s">
        <v>20</v>
      </c>
      <c r="L310">
        <v>2</v>
      </c>
      <c r="M310" s="7">
        <v>78.87</v>
      </c>
      <c r="N310" s="7">
        <v>1966.68</v>
      </c>
      <c r="O310" t="s">
        <v>20</v>
      </c>
    </row>
    <row r="311" spans="1:15" x14ac:dyDescent="0.3">
      <c r="A311" t="s">
        <v>336</v>
      </c>
      <c r="B311" t="s">
        <v>22</v>
      </c>
      <c r="C311">
        <v>66</v>
      </c>
      <c r="D311" t="s">
        <v>16</v>
      </c>
      <c r="E311">
        <v>38</v>
      </c>
      <c r="F311" t="str">
        <f t="shared" si="4"/>
        <v>25-48 Months</v>
      </c>
      <c r="G311" t="s">
        <v>17</v>
      </c>
      <c r="H311" t="s">
        <v>18</v>
      </c>
      <c r="I311" t="s">
        <v>30</v>
      </c>
      <c r="J311" t="s">
        <v>20</v>
      </c>
      <c r="K311" t="s">
        <v>20</v>
      </c>
      <c r="L311">
        <v>3</v>
      </c>
      <c r="M311" s="7">
        <v>77.14</v>
      </c>
      <c r="N311" s="7">
        <v>2961.06</v>
      </c>
      <c r="O311" t="s">
        <v>20</v>
      </c>
    </row>
    <row r="312" spans="1:15" x14ac:dyDescent="0.3">
      <c r="A312" t="s">
        <v>337</v>
      </c>
      <c r="B312" t="s">
        <v>22</v>
      </c>
      <c r="C312">
        <v>58</v>
      </c>
      <c r="D312" t="s">
        <v>20</v>
      </c>
      <c r="E312">
        <v>28</v>
      </c>
      <c r="F312" t="str">
        <f t="shared" si="4"/>
        <v>25-48 Months</v>
      </c>
      <c r="G312" t="s">
        <v>17</v>
      </c>
      <c r="H312" t="s">
        <v>20</v>
      </c>
      <c r="I312" t="s">
        <v>27</v>
      </c>
      <c r="J312" t="s">
        <v>20</v>
      </c>
      <c r="K312" t="s">
        <v>16</v>
      </c>
      <c r="L312">
        <v>4</v>
      </c>
      <c r="M312" s="7">
        <v>47.75</v>
      </c>
      <c r="N312" s="7">
        <v>1332.87</v>
      </c>
      <c r="O312" t="s">
        <v>20</v>
      </c>
    </row>
    <row r="313" spans="1:15" x14ac:dyDescent="0.3">
      <c r="A313" t="s">
        <v>338</v>
      </c>
      <c r="B313" t="s">
        <v>15</v>
      </c>
      <c r="C313">
        <v>34</v>
      </c>
      <c r="D313" t="s">
        <v>20</v>
      </c>
      <c r="E313">
        <v>21</v>
      </c>
      <c r="F313" t="str">
        <f t="shared" si="4"/>
        <v>13-24 Months</v>
      </c>
      <c r="G313" t="s">
        <v>35</v>
      </c>
      <c r="H313" t="s">
        <v>18</v>
      </c>
      <c r="I313" t="s">
        <v>27</v>
      </c>
      <c r="J313" t="s">
        <v>20</v>
      </c>
      <c r="K313" t="s">
        <v>20</v>
      </c>
      <c r="L313">
        <v>6</v>
      </c>
      <c r="M313" s="7">
        <v>69.849999999999994</v>
      </c>
      <c r="N313" s="7">
        <v>1410.28</v>
      </c>
      <c r="O313" t="s">
        <v>20</v>
      </c>
    </row>
    <row r="314" spans="1:15" x14ac:dyDescent="0.3">
      <c r="A314" t="s">
        <v>339</v>
      </c>
      <c r="B314" t="s">
        <v>22</v>
      </c>
      <c r="C314">
        <v>57</v>
      </c>
      <c r="D314" t="s">
        <v>20</v>
      </c>
      <c r="E314">
        <v>54</v>
      </c>
      <c r="F314" t="str">
        <f t="shared" si="4"/>
        <v>49+ Months</v>
      </c>
      <c r="G314" t="s">
        <v>17</v>
      </c>
      <c r="H314" t="s">
        <v>20</v>
      </c>
      <c r="I314" t="s">
        <v>24</v>
      </c>
      <c r="J314" t="s">
        <v>20</v>
      </c>
      <c r="K314" t="s">
        <v>20</v>
      </c>
      <c r="L314">
        <v>3</v>
      </c>
      <c r="M314" s="7">
        <v>37.11</v>
      </c>
      <c r="N314" s="7">
        <v>1994.72</v>
      </c>
      <c r="O314" t="s">
        <v>20</v>
      </c>
    </row>
    <row r="315" spans="1:15" x14ac:dyDescent="0.3">
      <c r="A315" t="s">
        <v>340</v>
      </c>
      <c r="B315" t="s">
        <v>15</v>
      </c>
      <c r="C315">
        <v>48</v>
      </c>
      <c r="D315" t="s">
        <v>20</v>
      </c>
      <c r="E315">
        <v>18</v>
      </c>
      <c r="F315" t="str">
        <f t="shared" si="4"/>
        <v>13-24 Months</v>
      </c>
      <c r="G315" t="s">
        <v>17</v>
      </c>
      <c r="H315" t="s">
        <v>36</v>
      </c>
      <c r="I315" t="s">
        <v>24</v>
      </c>
      <c r="J315" t="s">
        <v>20</v>
      </c>
      <c r="K315" t="s">
        <v>20</v>
      </c>
      <c r="L315">
        <v>7</v>
      </c>
      <c r="M315" s="7">
        <v>72.739999999999995</v>
      </c>
      <c r="N315" s="7">
        <v>1329.82</v>
      </c>
      <c r="O315" t="s">
        <v>20</v>
      </c>
    </row>
    <row r="316" spans="1:15" x14ac:dyDescent="0.3">
      <c r="A316" t="s">
        <v>341</v>
      </c>
      <c r="B316" t="s">
        <v>15</v>
      </c>
      <c r="C316">
        <v>51</v>
      </c>
      <c r="D316" t="s">
        <v>20</v>
      </c>
      <c r="E316">
        <v>36</v>
      </c>
      <c r="F316" t="str">
        <f t="shared" si="4"/>
        <v>25-48 Months</v>
      </c>
      <c r="G316" t="s">
        <v>17</v>
      </c>
      <c r="H316" t="s">
        <v>18</v>
      </c>
      <c r="I316" t="s">
        <v>24</v>
      </c>
      <c r="J316" t="s">
        <v>20</v>
      </c>
      <c r="K316" t="s">
        <v>20</v>
      </c>
      <c r="L316">
        <v>3</v>
      </c>
      <c r="M316" s="7">
        <v>74.98</v>
      </c>
      <c r="N316" s="7">
        <v>2791.12</v>
      </c>
      <c r="O316" t="s">
        <v>20</v>
      </c>
    </row>
    <row r="317" spans="1:15" x14ac:dyDescent="0.3">
      <c r="A317" t="s">
        <v>342</v>
      </c>
      <c r="B317" t="s">
        <v>22</v>
      </c>
      <c r="C317">
        <v>41</v>
      </c>
      <c r="D317" t="s">
        <v>20</v>
      </c>
      <c r="E317">
        <v>45</v>
      </c>
      <c r="F317" t="str">
        <f t="shared" si="4"/>
        <v>25-48 Months</v>
      </c>
      <c r="G317" t="s">
        <v>17</v>
      </c>
      <c r="H317" t="s">
        <v>36</v>
      </c>
      <c r="I317" t="s">
        <v>27</v>
      </c>
      <c r="J317" t="s">
        <v>20</v>
      </c>
      <c r="K317" t="s">
        <v>20</v>
      </c>
      <c r="L317">
        <v>4</v>
      </c>
      <c r="M317" s="7">
        <v>59.16</v>
      </c>
      <c r="N317" s="7">
        <v>2520.1999999999998</v>
      </c>
      <c r="O317" t="s">
        <v>20</v>
      </c>
    </row>
    <row r="318" spans="1:15" x14ac:dyDescent="0.3">
      <c r="A318" t="s">
        <v>343</v>
      </c>
      <c r="B318" t="s">
        <v>15</v>
      </c>
      <c r="C318">
        <v>62</v>
      </c>
      <c r="D318" t="s">
        <v>16</v>
      </c>
      <c r="E318">
        <v>53</v>
      </c>
      <c r="F318" t="str">
        <f t="shared" si="4"/>
        <v>49+ Months</v>
      </c>
      <c r="G318" t="s">
        <v>17</v>
      </c>
      <c r="H318" t="s">
        <v>36</v>
      </c>
      <c r="I318" t="s">
        <v>24</v>
      </c>
      <c r="J318" t="s">
        <v>20</v>
      </c>
      <c r="K318" t="s">
        <v>20</v>
      </c>
      <c r="L318">
        <v>3</v>
      </c>
      <c r="M318" s="7">
        <v>52.75</v>
      </c>
      <c r="N318" s="7">
        <v>2935.81</v>
      </c>
      <c r="O318" t="s">
        <v>20</v>
      </c>
    </row>
    <row r="319" spans="1:15" x14ac:dyDescent="0.3">
      <c r="A319" t="s">
        <v>344</v>
      </c>
      <c r="B319" t="s">
        <v>15</v>
      </c>
      <c r="C319">
        <v>52</v>
      </c>
      <c r="D319" t="s">
        <v>20</v>
      </c>
      <c r="E319">
        <v>30</v>
      </c>
      <c r="F319" t="str">
        <f t="shared" si="4"/>
        <v>25-48 Months</v>
      </c>
      <c r="G319" t="s">
        <v>35</v>
      </c>
      <c r="H319" t="s">
        <v>36</v>
      </c>
      <c r="I319" t="s">
        <v>24</v>
      </c>
      <c r="J319" t="s">
        <v>20</v>
      </c>
      <c r="K319" t="s">
        <v>20</v>
      </c>
      <c r="L319">
        <v>2</v>
      </c>
      <c r="M319" s="7">
        <v>66.8</v>
      </c>
      <c r="N319" s="7">
        <v>1954.56</v>
      </c>
      <c r="O319" t="s">
        <v>16</v>
      </c>
    </row>
    <row r="320" spans="1:15" x14ac:dyDescent="0.3">
      <c r="A320" t="s">
        <v>345</v>
      </c>
      <c r="B320" t="s">
        <v>15</v>
      </c>
      <c r="C320">
        <v>65</v>
      </c>
      <c r="D320" t="s">
        <v>16</v>
      </c>
      <c r="E320">
        <v>60</v>
      </c>
      <c r="F320" t="str">
        <f t="shared" si="4"/>
        <v>49+ Months</v>
      </c>
      <c r="G320" t="s">
        <v>23</v>
      </c>
      <c r="H320" t="s">
        <v>18</v>
      </c>
      <c r="I320" t="s">
        <v>24</v>
      </c>
      <c r="J320" t="s">
        <v>16</v>
      </c>
      <c r="K320" t="s">
        <v>20</v>
      </c>
      <c r="L320">
        <v>4</v>
      </c>
      <c r="M320" s="7">
        <v>80.7</v>
      </c>
      <c r="N320" s="7">
        <v>4844.5200000000004</v>
      </c>
      <c r="O320" t="s">
        <v>16</v>
      </c>
    </row>
    <row r="321" spans="1:15" x14ac:dyDescent="0.3">
      <c r="A321" t="s">
        <v>346</v>
      </c>
      <c r="B321" t="s">
        <v>22</v>
      </c>
      <c r="C321">
        <v>23</v>
      </c>
      <c r="D321" t="s">
        <v>20</v>
      </c>
      <c r="E321">
        <v>32</v>
      </c>
      <c r="F321" t="str">
        <f t="shared" si="4"/>
        <v>25-48 Months</v>
      </c>
      <c r="G321" t="s">
        <v>23</v>
      </c>
      <c r="H321" t="s">
        <v>18</v>
      </c>
      <c r="I321" t="s">
        <v>19</v>
      </c>
      <c r="J321" t="s">
        <v>20</v>
      </c>
      <c r="K321" t="s">
        <v>20</v>
      </c>
      <c r="L321">
        <v>3</v>
      </c>
      <c r="M321" s="7">
        <v>75.86</v>
      </c>
      <c r="N321" s="7">
        <v>2469.4299999999998</v>
      </c>
      <c r="O321" t="s">
        <v>20</v>
      </c>
    </row>
    <row r="322" spans="1:15" x14ac:dyDescent="0.3">
      <c r="A322" t="s">
        <v>347</v>
      </c>
      <c r="B322" t="s">
        <v>22</v>
      </c>
      <c r="C322">
        <v>36</v>
      </c>
      <c r="D322" t="s">
        <v>20</v>
      </c>
      <c r="E322">
        <v>67</v>
      </c>
      <c r="F322" t="str">
        <f t="shared" ref="F322:F385" si="5">IF(E322&lt;=6,"0-6 Months",
 IF(E322&lt;=12,"7-12 Months",
 IF(E322&lt;=24,"13-24 Months",
 IF(E322&lt;=48,"25-48 Months","49+ Months"))))</f>
        <v>49+ Months</v>
      </c>
      <c r="G322" t="s">
        <v>17</v>
      </c>
      <c r="H322" t="s">
        <v>18</v>
      </c>
      <c r="I322" t="s">
        <v>27</v>
      </c>
      <c r="J322" t="s">
        <v>20</v>
      </c>
      <c r="K322" t="s">
        <v>20</v>
      </c>
      <c r="L322">
        <v>7</v>
      </c>
      <c r="M322" s="7">
        <v>97.56</v>
      </c>
      <c r="N322" s="7">
        <v>6524.07</v>
      </c>
      <c r="O322" t="s">
        <v>20</v>
      </c>
    </row>
    <row r="323" spans="1:15" x14ac:dyDescent="0.3">
      <c r="A323" t="s">
        <v>348</v>
      </c>
      <c r="B323" t="s">
        <v>15</v>
      </c>
      <c r="C323">
        <v>47</v>
      </c>
      <c r="D323" t="s">
        <v>20</v>
      </c>
      <c r="E323">
        <v>67</v>
      </c>
      <c r="F323" t="str">
        <f t="shared" si="5"/>
        <v>49+ Months</v>
      </c>
      <c r="G323" t="s">
        <v>23</v>
      </c>
      <c r="H323" t="s">
        <v>18</v>
      </c>
      <c r="I323" t="s">
        <v>30</v>
      </c>
      <c r="J323" t="s">
        <v>16</v>
      </c>
      <c r="K323" t="s">
        <v>20</v>
      </c>
      <c r="L323">
        <v>1</v>
      </c>
      <c r="M323" s="7">
        <v>63.09</v>
      </c>
      <c r="N323" s="7">
        <v>4275.7</v>
      </c>
      <c r="O323" t="s">
        <v>20</v>
      </c>
    </row>
    <row r="324" spans="1:15" x14ac:dyDescent="0.3">
      <c r="A324" t="s">
        <v>349</v>
      </c>
      <c r="B324" t="s">
        <v>22</v>
      </c>
      <c r="C324">
        <v>24</v>
      </c>
      <c r="D324" t="s">
        <v>20</v>
      </c>
      <c r="E324">
        <v>28</v>
      </c>
      <c r="F324" t="str">
        <f t="shared" si="5"/>
        <v>25-48 Months</v>
      </c>
      <c r="G324" t="s">
        <v>23</v>
      </c>
      <c r="H324" t="s">
        <v>18</v>
      </c>
      <c r="I324" t="s">
        <v>24</v>
      </c>
      <c r="J324" t="s">
        <v>16</v>
      </c>
      <c r="K324" t="s">
        <v>20</v>
      </c>
      <c r="L324">
        <v>1</v>
      </c>
      <c r="M324" s="7">
        <v>57.99</v>
      </c>
      <c r="N324" s="7">
        <v>1522.8</v>
      </c>
      <c r="O324" t="s">
        <v>20</v>
      </c>
    </row>
    <row r="325" spans="1:15" x14ac:dyDescent="0.3">
      <c r="A325" t="s">
        <v>350</v>
      </c>
      <c r="B325" t="s">
        <v>22</v>
      </c>
      <c r="C325">
        <v>27</v>
      </c>
      <c r="D325" t="s">
        <v>20</v>
      </c>
      <c r="E325">
        <v>44</v>
      </c>
      <c r="F325" t="str">
        <f t="shared" si="5"/>
        <v>25-48 Months</v>
      </c>
      <c r="G325" t="s">
        <v>17</v>
      </c>
      <c r="H325" t="s">
        <v>18</v>
      </c>
      <c r="I325" t="s">
        <v>24</v>
      </c>
      <c r="J325" t="s">
        <v>16</v>
      </c>
      <c r="K325" t="s">
        <v>20</v>
      </c>
      <c r="L325">
        <v>3</v>
      </c>
      <c r="M325" s="7">
        <v>81.349999999999994</v>
      </c>
      <c r="N325" s="7">
        <v>3540.55</v>
      </c>
      <c r="O325" t="s">
        <v>20</v>
      </c>
    </row>
    <row r="326" spans="1:15" x14ac:dyDescent="0.3">
      <c r="A326" t="s">
        <v>351</v>
      </c>
      <c r="B326" t="s">
        <v>22</v>
      </c>
      <c r="C326">
        <v>58</v>
      </c>
      <c r="D326" t="s">
        <v>20</v>
      </c>
      <c r="E326">
        <v>41</v>
      </c>
      <c r="F326" t="str">
        <f t="shared" si="5"/>
        <v>25-48 Months</v>
      </c>
      <c r="G326" t="s">
        <v>23</v>
      </c>
      <c r="H326" t="s">
        <v>18</v>
      </c>
      <c r="I326" t="s">
        <v>24</v>
      </c>
      <c r="J326" t="s">
        <v>20</v>
      </c>
      <c r="K326" t="s">
        <v>16</v>
      </c>
      <c r="L326">
        <v>5</v>
      </c>
      <c r="M326" s="7">
        <v>80.67</v>
      </c>
      <c r="N326" s="7">
        <v>3191.29</v>
      </c>
      <c r="O326" t="s">
        <v>20</v>
      </c>
    </row>
    <row r="327" spans="1:15" x14ac:dyDescent="0.3">
      <c r="A327" t="s">
        <v>352</v>
      </c>
      <c r="B327" t="s">
        <v>22</v>
      </c>
      <c r="C327">
        <v>49</v>
      </c>
      <c r="D327" t="s">
        <v>20</v>
      </c>
      <c r="E327">
        <v>63</v>
      </c>
      <c r="F327" t="str">
        <f t="shared" si="5"/>
        <v>49+ Months</v>
      </c>
      <c r="G327" t="s">
        <v>17</v>
      </c>
      <c r="H327" t="s">
        <v>18</v>
      </c>
      <c r="I327" t="s">
        <v>24</v>
      </c>
      <c r="J327" t="s">
        <v>16</v>
      </c>
      <c r="K327" t="s">
        <v>20</v>
      </c>
      <c r="L327">
        <v>6</v>
      </c>
      <c r="M327" s="7">
        <v>96.53</v>
      </c>
      <c r="N327" s="7">
        <v>5678.58</v>
      </c>
      <c r="O327" t="s">
        <v>20</v>
      </c>
    </row>
    <row r="328" spans="1:15" x14ac:dyDescent="0.3">
      <c r="A328" t="s">
        <v>353</v>
      </c>
      <c r="B328" t="s">
        <v>15</v>
      </c>
      <c r="C328">
        <v>51</v>
      </c>
      <c r="D328" t="s">
        <v>20</v>
      </c>
      <c r="E328">
        <v>23</v>
      </c>
      <c r="F328" t="str">
        <f t="shared" si="5"/>
        <v>13-24 Months</v>
      </c>
      <c r="G328" t="s">
        <v>35</v>
      </c>
      <c r="H328" t="s">
        <v>18</v>
      </c>
      <c r="I328" t="s">
        <v>24</v>
      </c>
      <c r="J328" t="s">
        <v>16</v>
      </c>
      <c r="K328" t="s">
        <v>16</v>
      </c>
      <c r="L328">
        <v>3</v>
      </c>
      <c r="M328" s="7">
        <v>84.09</v>
      </c>
      <c r="N328" s="7">
        <v>1838.65</v>
      </c>
      <c r="O328" t="s">
        <v>20</v>
      </c>
    </row>
    <row r="329" spans="1:15" x14ac:dyDescent="0.3">
      <c r="A329" t="s">
        <v>354</v>
      </c>
      <c r="B329" t="s">
        <v>15</v>
      </c>
      <c r="C329">
        <v>45</v>
      </c>
      <c r="D329" t="s">
        <v>20</v>
      </c>
      <c r="E329">
        <v>48</v>
      </c>
      <c r="F329" t="str">
        <f t="shared" si="5"/>
        <v>25-48 Months</v>
      </c>
      <c r="G329" t="s">
        <v>17</v>
      </c>
      <c r="H329" t="s">
        <v>18</v>
      </c>
      <c r="I329" t="s">
        <v>30</v>
      </c>
      <c r="J329" t="s">
        <v>20</v>
      </c>
      <c r="K329" t="s">
        <v>16</v>
      </c>
      <c r="L329">
        <v>7</v>
      </c>
      <c r="M329" s="7">
        <v>74.739999999999995</v>
      </c>
      <c r="N329" s="7">
        <v>3646.32</v>
      </c>
      <c r="O329" t="s">
        <v>20</v>
      </c>
    </row>
    <row r="330" spans="1:15" x14ac:dyDescent="0.3">
      <c r="A330" t="s">
        <v>355</v>
      </c>
      <c r="B330" t="s">
        <v>22</v>
      </c>
      <c r="C330">
        <v>32</v>
      </c>
      <c r="D330" t="s">
        <v>20</v>
      </c>
      <c r="E330">
        <v>32</v>
      </c>
      <c r="F330" t="str">
        <f t="shared" si="5"/>
        <v>25-48 Months</v>
      </c>
      <c r="G330" t="s">
        <v>35</v>
      </c>
      <c r="H330" t="s">
        <v>20</v>
      </c>
      <c r="I330" t="s">
        <v>24</v>
      </c>
      <c r="J330" t="s">
        <v>20</v>
      </c>
      <c r="K330" t="s">
        <v>16</v>
      </c>
      <c r="L330">
        <v>1</v>
      </c>
      <c r="M330" s="7">
        <v>29.51</v>
      </c>
      <c r="N330" s="7">
        <v>898.49</v>
      </c>
      <c r="O330" t="s">
        <v>20</v>
      </c>
    </row>
    <row r="331" spans="1:15" x14ac:dyDescent="0.3">
      <c r="A331" t="s">
        <v>356</v>
      </c>
      <c r="B331" t="s">
        <v>22</v>
      </c>
      <c r="C331">
        <v>47</v>
      </c>
      <c r="D331" t="s">
        <v>20</v>
      </c>
      <c r="E331">
        <v>57</v>
      </c>
      <c r="F331" t="str">
        <f t="shared" si="5"/>
        <v>49+ Months</v>
      </c>
      <c r="G331" t="s">
        <v>17</v>
      </c>
      <c r="H331" t="s">
        <v>18</v>
      </c>
      <c r="I331" t="s">
        <v>24</v>
      </c>
      <c r="J331" t="s">
        <v>16</v>
      </c>
      <c r="K331" t="s">
        <v>20</v>
      </c>
      <c r="L331">
        <v>5</v>
      </c>
      <c r="M331" s="7">
        <v>90.54</v>
      </c>
      <c r="N331" s="7">
        <v>4897.43</v>
      </c>
      <c r="O331" t="s">
        <v>20</v>
      </c>
    </row>
    <row r="332" spans="1:15" x14ac:dyDescent="0.3">
      <c r="A332" t="s">
        <v>357</v>
      </c>
      <c r="B332" t="s">
        <v>15</v>
      </c>
      <c r="C332">
        <v>54</v>
      </c>
      <c r="D332" t="s">
        <v>20</v>
      </c>
      <c r="E332">
        <v>33</v>
      </c>
      <c r="F332" t="str">
        <f t="shared" si="5"/>
        <v>25-48 Months</v>
      </c>
      <c r="G332" t="s">
        <v>23</v>
      </c>
      <c r="H332" t="s">
        <v>36</v>
      </c>
      <c r="I332" t="s">
        <v>19</v>
      </c>
      <c r="J332" t="s">
        <v>20</v>
      </c>
      <c r="K332" t="s">
        <v>20</v>
      </c>
      <c r="L332">
        <v>8</v>
      </c>
      <c r="M332" s="7">
        <v>62.71</v>
      </c>
      <c r="N332" s="7">
        <v>2086.92</v>
      </c>
      <c r="O332" t="s">
        <v>20</v>
      </c>
    </row>
    <row r="333" spans="1:15" x14ac:dyDescent="0.3">
      <c r="A333" t="s">
        <v>358</v>
      </c>
      <c r="B333" t="s">
        <v>15</v>
      </c>
      <c r="C333">
        <v>46</v>
      </c>
      <c r="D333" t="s">
        <v>20</v>
      </c>
      <c r="E333">
        <v>24</v>
      </c>
      <c r="F333" t="str">
        <f t="shared" si="5"/>
        <v>13-24 Months</v>
      </c>
      <c r="G333" t="s">
        <v>23</v>
      </c>
      <c r="H333" t="s">
        <v>18</v>
      </c>
      <c r="I333" t="s">
        <v>30</v>
      </c>
      <c r="J333" t="s">
        <v>20</v>
      </c>
      <c r="K333" t="s">
        <v>20</v>
      </c>
      <c r="L333">
        <v>5</v>
      </c>
      <c r="M333" s="7">
        <v>85.56</v>
      </c>
      <c r="N333" s="7">
        <v>2186.41</v>
      </c>
      <c r="O333" t="s">
        <v>20</v>
      </c>
    </row>
    <row r="334" spans="1:15" x14ac:dyDescent="0.3">
      <c r="A334" t="s">
        <v>359</v>
      </c>
      <c r="B334" t="s">
        <v>22</v>
      </c>
      <c r="C334">
        <v>39</v>
      </c>
      <c r="D334" t="s">
        <v>20</v>
      </c>
      <c r="E334">
        <v>39</v>
      </c>
      <c r="F334" t="str">
        <f t="shared" si="5"/>
        <v>25-48 Months</v>
      </c>
      <c r="G334" t="s">
        <v>23</v>
      </c>
      <c r="H334" t="s">
        <v>20</v>
      </c>
      <c r="I334" t="s">
        <v>30</v>
      </c>
      <c r="J334" t="s">
        <v>20</v>
      </c>
      <c r="K334" t="s">
        <v>20</v>
      </c>
      <c r="L334">
        <v>5</v>
      </c>
      <c r="M334" s="7">
        <v>49.61</v>
      </c>
      <c r="N334" s="7">
        <v>2024.16</v>
      </c>
      <c r="O334" t="s">
        <v>20</v>
      </c>
    </row>
    <row r="335" spans="1:15" x14ac:dyDescent="0.3">
      <c r="A335" t="s">
        <v>360</v>
      </c>
      <c r="B335" t="s">
        <v>15</v>
      </c>
      <c r="C335">
        <v>21</v>
      </c>
      <c r="D335" t="s">
        <v>20</v>
      </c>
      <c r="E335">
        <v>34</v>
      </c>
      <c r="F335" t="str">
        <f t="shared" si="5"/>
        <v>25-48 Months</v>
      </c>
      <c r="G335" t="s">
        <v>17</v>
      </c>
      <c r="H335" t="s">
        <v>18</v>
      </c>
      <c r="I335" t="s">
        <v>30</v>
      </c>
      <c r="J335" t="s">
        <v>20</v>
      </c>
      <c r="K335" t="s">
        <v>20</v>
      </c>
      <c r="L335">
        <v>4</v>
      </c>
      <c r="M335" s="7">
        <v>78.62</v>
      </c>
      <c r="N335" s="7">
        <v>2846.33</v>
      </c>
      <c r="O335" t="s">
        <v>20</v>
      </c>
    </row>
    <row r="336" spans="1:15" x14ac:dyDescent="0.3">
      <c r="A336" t="s">
        <v>361</v>
      </c>
      <c r="B336" t="s">
        <v>22</v>
      </c>
      <c r="C336">
        <v>37</v>
      </c>
      <c r="D336" t="s">
        <v>20</v>
      </c>
      <c r="E336">
        <v>56</v>
      </c>
      <c r="F336" t="str">
        <f t="shared" si="5"/>
        <v>49+ Months</v>
      </c>
      <c r="G336" t="s">
        <v>17</v>
      </c>
      <c r="H336" t="s">
        <v>20</v>
      </c>
      <c r="I336" t="s">
        <v>30</v>
      </c>
      <c r="J336" t="s">
        <v>16</v>
      </c>
      <c r="K336" t="s">
        <v>20</v>
      </c>
      <c r="L336">
        <v>4</v>
      </c>
      <c r="M336" s="7">
        <v>40.67</v>
      </c>
      <c r="N336" s="7">
        <v>2307.7600000000002</v>
      </c>
      <c r="O336" t="s">
        <v>20</v>
      </c>
    </row>
    <row r="337" spans="1:15" x14ac:dyDescent="0.3">
      <c r="A337" t="s">
        <v>362</v>
      </c>
      <c r="B337" t="s">
        <v>22</v>
      </c>
      <c r="C337">
        <v>49</v>
      </c>
      <c r="D337" t="s">
        <v>20</v>
      </c>
      <c r="E337">
        <v>28</v>
      </c>
      <c r="F337" t="str">
        <f t="shared" si="5"/>
        <v>25-48 Months</v>
      </c>
      <c r="G337" t="s">
        <v>23</v>
      </c>
      <c r="H337" t="s">
        <v>36</v>
      </c>
      <c r="I337" t="s">
        <v>30</v>
      </c>
      <c r="J337" t="s">
        <v>20</v>
      </c>
      <c r="K337" t="s">
        <v>20</v>
      </c>
      <c r="L337">
        <v>4</v>
      </c>
      <c r="M337" s="7">
        <v>67.39</v>
      </c>
      <c r="N337" s="7">
        <v>1859.73</v>
      </c>
      <c r="O337" t="s">
        <v>16</v>
      </c>
    </row>
    <row r="338" spans="1:15" x14ac:dyDescent="0.3">
      <c r="A338" t="s">
        <v>363</v>
      </c>
      <c r="B338" t="s">
        <v>15</v>
      </c>
      <c r="C338">
        <v>53</v>
      </c>
      <c r="D338" t="s">
        <v>20</v>
      </c>
      <c r="E338">
        <v>37</v>
      </c>
      <c r="F338" t="str">
        <f t="shared" si="5"/>
        <v>25-48 Months</v>
      </c>
      <c r="G338" t="s">
        <v>17</v>
      </c>
      <c r="H338" t="s">
        <v>18</v>
      </c>
      <c r="I338" t="s">
        <v>24</v>
      </c>
      <c r="J338" t="s">
        <v>20</v>
      </c>
      <c r="K338" t="s">
        <v>20</v>
      </c>
      <c r="L338">
        <v>6</v>
      </c>
      <c r="M338" s="7">
        <v>76.540000000000006</v>
      </c>
      <c r="N338" s="7">
        <v>2936.03</v>
      </c>
      <c r="O338" t="s">
        <v>16</v>
      </c>
    </row>
    <row r="339" spans="1:15" x14ac:dyDescent="0.3">
      <c r="A339" t="s">
        <v>364</v>
      </c>
      <c r="B339" t="s">
        <v>15</v>
      </c>
      <c r="C339">
        <v>67</v>
      </c>
      <c r="D339" t="s">
        <v>16</v>
      </c>
      <c r="E339">
        <v>7</v>
      </c>
      <c r="F339" t="str">
        <f t="shared" si="5"/>
        <v>7-12 Months</v>
      </c>
      <c r="G339" t="s">
        <v>17</v>
      </c>
      <c r="H339" t="s">
        <v>20</v>
      </c>
      <c r="I339" t="s">
        <v>27</v>
      </c>
      <c r="J339" t="s">
        <v>16</v>
      </c>
      <c r="K339" t="s">
        <v>16</v>
      </c>
      <c r="L339">
        <v>2</v>
      </c>
      <c r="M339" s="7">
        <v>38.82</v>
      </c>
      <c r="N339" s="7">
        <v>261.36</v>
      </c>
      <c r="O339" t="s">
        <v>16</v>
      </c>
    </row>
    <row r="340" spans="1:15" x14ac:dyDescent="0.3">
      <c r="A340" t="s">
        <v>365</v>
      </c>
      <c r="B340" t="s">
        <v>22</v>
      </c>
      <c r="C340">
        <v>21</v>
      </c>
      <c r="D340" t="s">
        <v>20</v>
      </c>
      <c r="E340">
        <v>68</v>
      </c>
      <c r="F340" t="str">
        <f t="shared" si="5"/>
        <v>49+ Months</v>
      </c>
      <c r="G340" t="s">
        <v>23</v>
      </c>
      <c r="H340" t="s">
        <v>36</v>
      </c>
      <c r="I340" t="s">
        <v>24</v>
      </c>
      <c r="J340" t="s">
        <v>20</v>
      </c>
      <c r="K340" t="s">
        <v>20</v>
      </c>
      <c r="L340">
        <v>4</v>
      </c>
      <c r="M340" s="7">
        <v>62.21</v>
      </c>
      <c r="N340" s="7">
        <v>3944.69</v>
      </c>
      <c r="O340" t="s">
        <v>20</v>
      </c>
    </row>
    <row r="341" spans="1:15" x14ac:dyDescent="0.3">
      <c r="A341" t="s">
        <v>366</v>
      </c>
      <c r="B341" t="s">
        <v>22</v>
      </c>
      <c r="C341">
        <v>44</v>
      </c>
      <c r="D341" t="s">
        <v>20</v>
      </c>
      <c r="E341">
        <v>37</v>
      </c>
      <c r="F341" t="str">
        <f t="shared" si="5"/>
        <v>25-48 Months</v>
      </c>
      <c r="G341" t="s">
        <v>17</v>
      </c>
      <c r="H341" t="s">
        <v>18</v>
      </c>
      <c r="I341" t="s">
        <v>19</v>
      </c>
      <c r="J341" t="s">
        <v>20</v>
      </c>
      <c r="K341" t="s">
        <v>20</v>
      </c>
      <c r="L341">
        <v>3</v>
      </c>
      <c r="M341" s="7">
        <v>84.11</v>
      </c>
      <c r="N341" s="7">
        <v>3034.7</v>
      </c>
      <c r="O341" t="s">
        <v>16</v>
      </c>
    </row>
    <row r="342" spans="1:15" x14ac:dyDescent="0.3">
      <c r="A342" t="s">
        <v>367</v>
      </c>
      <c r="B342" t="s">
        <v>15</v>
      </c>
      <c r="C342">
        <v>34</v>
      </c>
      <c r="D342" t="s">
        <v>20</v>
      </c>
      <c r="E342">
        <v>56</v>
      </c>
      <c r="F342" t="str">
        <f t="shared" si="5"/>
        <v>49+ Months</v>
      </c>
      <c r="G342" t="s">
        <v>17</v>
      </c>
      <c r="H342" t="s">
        <v>36</v>
      </c>
      <c r="I342" t="s">
        <v>27</v>
      </c>
      <c r="J342" t="s">
        <v>20</v>
      </c>
      <c r="K342" t="s">
        <v>20</v>
      </c>
      <c r="L342">
        <v>6</v>
      </c>
      <c r="M342" s="7">
        <v>60.36</v>
      </c>
      <c r="N342" s="7">
        <v>3271.58</v>
      </c>
      <c r="O342" t="s">
        <v>20</v>
      </c>
    </row>
    <row r="343" spans="1:15" x14ac:dyDescent="0.3">
      <c r="A343" t="s">
        <v>368</v>
      </c>
      <c r="B343" t="s">
        <v>22</v>
      </c>
      <c r="C343">
        <v>29</v>
      </c>
      <c r="D343" t="s">
        <v>20</v>
      </c>
      <c r="E343">
        <v>65</v>
      </c>
      <c r="F343" t="str">
        <f t="shared" si="5"/>
        <v>49+ Months</v>
      </c>
      <c r="G343" t="s">
        <v>17</v>
      </c>
      <c r="H343" t="s">
        <v>20</v>
      </c>
      <c r="I343" t="s">
        <v>19</v>
      </c>
      <c r="J343" t="s">
        <v>20</v>
      </c>
      <c r="K343" t="s">
        <v>20</v>
      </c>
      <c r="L343">
        <v>4</v>
      </c>
      <c r="M343" s="7">
        <v>51.34</v>
      </c>
      <c r="N343" s="7">
        <v>3430.83</v>
      </c>
      <c r="O343" t="s">
        <v>20</v>
      </c>
    </row>
    <row r="344" spans="1:15" x14ac:dyDescent="0.3">
      <c r="A344" t="s">
        <v>369</v>
      </c>
      <c r="B344" t="s">
        <v>15</v>
      </c>
      <c r="C344">
        <v>39</v>
      </c>
      <c r="D344" t="s">
        <v>20</v>
      </c>
      <c r="E344">
        <v>65</v>
      </c>
      <c r="F344" t="str">
        <f t="shared" si="5"/>
        <v>49+ Months</v>
      </c>
      <c r="G344" t="s">
        <v>17</v>
      </c>
      <c r="H344" t="s">
        <v>36</v>
      </c>
      <c r="I344" t="s">
        <v>27</v>
      </c>
      <c r="J344" t="s">
        <v>20</v>
      </c>
      <c r="K344" t="s">
        <v>20</v>
      </c>
      <c r="L344">
        <v>8</v>
      </c>
      <c r="M344" s="7">
        <v>65.28</v>
      </c>
      <c r="N344" s="7">
        <v>4278.07</v>
      </c>
      <c r="O344" t="s">
        <v>20</v>
      </c>
    </row>
    <row r="345" spans="1:15" x14ac:dyDescent="0.3">
      <c r="A345" t="s">
        <v>370</v>
      </c>
      <c r="B345" t="s">
        <v>22</v>
      </c>
      <c r="C345">
        <v>34</v>
      </c>
      <c r="D345" t="s">
        <v>20</v>
      </c>
      <c r="E345">
        <v>47</v>
      </c>
      <c r="F345" t="str">
        <f t="shared" si="5"/>
        <v>25-48 Months</v>
      </c>
      <c r="G345" t="s">
        <v>23</v>
      </c>
      <c r="H345" t="s">
        <v>18</v>
      </c>
      <c r="I345" t="s">
        <v>19</v>
      </c>
      <c r="J345" t="s">
        <v>20</v>
      </c>
      <c r="K345" t="s">
        <v>20</v>
      </c>
      <c r="L345">
        <v>4</v>
      </c>
      <c r="M345" s="7">
        <v>76.69</v>
      </c>
      <c r="N345" s="7">
        <v>3395.81</v>
      </c>
      <c r="O345" t="s">
        <v>20</v>
      </c>
    </row>
    <row r="346" spans="1:15" x14ac:dyDescent="0.3">
      <c r="A346" t="s">
        <v>371</v>
      </c>
      <c r="B346" t="s">
        <v>15</v>
      </c>
      <c r="C346">
        <v>27</v>
      </c>
      <c r="D346" t="s">
        <v>20</v>
      </c>
      <c r="E346">
        <v>20</v>
      </c>
      <c r="F346" t="str">
        <f t="shared" si="5"/>
        <v>13-24 Months</v>
      </c>
      <c r="G346" t="s">
        <v>23</v>
      </c>
      <c r="H346" t="s">
        <v>36</v>
      </c>
      <c r="I346" t="s">
        <v>27</v>
      </c>
      <c r="J346" t="s">
        <v>20</v>
      </c>
      <c r="K346" t="s">
        <v>20</v>
      </c>
      <c r="L346">
        <v>3</v>
      </c>
      <c r="M346" s="7">
        <v>46.86</v>
      </c>
      <c r="N346" s="7">
        <v>998.46</v>
      </c>
      <c r="O346" t="s">
        <v>20</v>
      </c>
    </row>
    <row r="347" spans="1:15" x14ac:dyDescent="0.3">
      <c r="A347" t="s">
        <v>372</v>
      </c>
      <c r="B347" t="s">
        <v>15</v>
      </c>
      <c r="C347">
        <v>71</v>
      </c>
      <c r="D347" t="s">
        <v>16</v>
      </c>
      <c r="E347">
        <v>19</v>
      </c>
      <c r="F347" t="str">
        <f t="shared" si="5"/>
        <v>13-24 Months</v>
      </c>
      <c r="G347" t="s">
        <v>35</v>
      </c>
      <c r="H347" t="s">
        <v>36</v>
      </c>
      <c r="I347" t="s">
        <v>27</v>
      </c>
      <c r="J347" t="s">
        <v>20</v>
      </c>
      <c r="K347" t="s">
        <v>20</v>
      </c>
      <c r="L347">
        <v>4</v>
      </c>
      <c r="M347" s="7">
        <v>64.069999999999993</v>
      </c>
      <c r="N347" s="7">
        <v>1235.51</v>
      </c>
      <c r="O347" t="s">
        <v>20</v>
      </c>
    </row>
    <row r="348" spans="1:15" x14ac:dyDescent="0.3">
      <c r="A348" t="s">
        <v>373</v>
      </c>
      <c r="B348" t="s">
        <v>15</v>
      </c>
      <c r="C348">
        <v>18</v>
      </c>
      <c r="D348" t="s">
        <v>20</v>
      </c>
      <c r="E348">
        <v>29</v>
      </c>
      <c r="F348" t="str">
        <f t="shared" si="5"/>
        <v>25-48 Months</v>
      </c>
      <c r="G348" t="s">
        <v>35</v>
      </c>
      <c r="H348" t="s">
        <v>20</v>
      </c>
      <c r="I348" t="s">
        <v>27</v>
      </c>
      <c r="J348" t="s">
        <v>20</v>
      </c>
      <c r="K348" t="s">
        <v>16</v>
      </c>
      <c r="L348">
        <v>1</v>
      </c>
      <c r="M348" s="7">
        <v>23.67</v>
      </c>
      <c r="N348" s="7">
        <v>681.78</v>
      </c>
      <c r="O348" t="s">
        <v>20</v>
      </c>
    </row>
    <row r="349" spans="1:15" x14ac:dyDescent="0.3">
      <c r="A349" t="s">
        <v>374</v>
      </c>
      <c r="B349" t="s">
        <v>22</v>
      </c>
      <c r="C349">
        <v>39</v>
      </c>
      <c r="D349" t="s">
        <v>20</v>
      </c>
      <c r="E349">
        <v>60</v>
      </c>
      <c r="F349" t="str">
        <f t="shared" si="5"/>
        <v>49+ Months</v>
      </c>
      <c r="G349" t="s">
        <v>17</v>
      </c>
      <c r="H349" t="s">
        <v>36</v>
      </c>
      <c r="I349" t="s">
        <v>27</v>
      </c>
      <c r="J349" t="s">
        <v>20</v>
      </c>
      <c r="K349" t="s">
        <v>20</v>
      </c>
      <c r="L349">
        <v>5</v>
      </c>
      <c r="M349" s="7">
        <v>70.94</v>
      </c>
      <c r="N349" s="7">
        <v>4554.1400000000003</v>
      </c>
      <c r="O349" t="s">
        <v>20</v>
      </c>
    </row>
    <row r="350" spans="1:15" x14ac:dyDescent="0.3">
      <c r="A350" t="s">
        <v>375</v>
      </c>
      <c r="B350" t="s">
        <v>22</v>
      </c>
      <c r="C350">
        <v>43</v>
      </c>
      <c r="D350" t="s">
        <v>20</v>
      </c>
      <c r="E350">
        <v>18</v>
      </c>
      <c r="F350" t="str">
        <f t="shared" si="5"/>
        <v>13-24 Months</v>
      </c>
      <c r="G350" t="s">
        <v>17</v>
      </c>
      <c r="H350" t="s">
        <v>18</v>
      </c>
      <c r="I350" t="s">
        <v>27</v>
      </c>
      <c r="J350" t="s">
        <v>20</v>
      </c>
      <c r="K350" t="s">
        <v>20</v>
      </c>
      <c r="L350">
        <v>4</v>
      </c>
      <c r="M350" s="7">
        <v>67.180000000000007</v>
      </c>
      <c r="N350" s="7">
        <v>1131.33</v>
      </c>
      <c r="O350" t="s">
        <v>20</v>
      </c>
    </row>
    <row r="351" spans="1:15" x14ac:dyDescent="0.3">
      <c r="A351" t="s">
        <v>376</v>
      </c>
      <c r="B351" t="s">
        <v>15</v>
      </c>
      <c r="C351">
        <v>73</v>
      </c>
      <c r="D351" t="s">
        <v>16</v>
      </c>
      <c r="E351">
        <v>35</v>
      </c>
      <c r="F351" t="str">
        <f t="shared" si="5"/>
        <v>25-48 Months</v>
      </c>
      <c r="G351" t="s">
        <v>17</v>
      </c>
      <c r="H351" t="s">
        <v>20</v>
      </c>
      <c r="I351" t="s">
        <v>30</v>
      </c>
      <c r="J351" t="s">
        <v>20</v>
      </c>
      <c r="K351" t="s">
        <v>20</v>
      </c>
      <c r="L351">
        <v>3</v>
      </c>
      <c r="M351" s="7">
        <v>33.880000000000003</v>
      </c>
      <c r="N351" s="7">
        <v>1240.74</v>
      </c>
      <c r="O351" t="s">
        <v>20</v>
      </c>
    </row>
    <row r="352" spans="1:15" x14ac:dyDescent="0.3">
      <c r="A352" t="s">
        <v>377</v>
      </c>
      <c r="B352" t="s">
        <v>22</v>
      </c>
      <c r="C352">
        <v>35</v>
      </c>
      <c r="D352" t="s">
        <v>20</v>
      </c>
      <c r="E352">
        <v>43</v>
      </c>
      <c r="F352" t="str">
        <f t="shared" si="5"/>
        <v>25-48 Months</v>
      </c>
      <c r="G352" t="s">
        <v>17</v>
      </c>
      <c r="H352" t="s">
        <v>18</v>
      </c>
      <c r="I352" t="s">
        <v>19</v>
      </c>
      <c r="J352" t="s">
        <v>20</v>
      </c>
      <c r="K352" t="s">
        <v>20</v>
      </c>
      <c r="L352">
        <v>5</v>
      </c>
      <c r="M352" s="7">
        <v>95.5</v>
      </c>
      <c r="N352" s="7">
        <v>4017.58</v>
      </c>
      <c r="O352" t="s">
        <v>20</v>
      </c>
    </row>
    <row r="353" spans="1:15" x14ac:dyDescent="0.3">
      <c r="A353" t="s">
        <v>378</v>
      </c>
      <c r="B353" t="s">
        <v>15</v>
      </c>
      <c r="C353">
        <v>67</v>
      </c>
      <c r="D353" t="s">
        <v>16</v>
      </c>
      <c r="E353">
        <v>11</v>
      </c>
      <c r="F353" t="str">
        <f t="shared" si="5"/>
        <v>7-12 Months</v>
      </c>
      <c r="G353" t="s">
        <v>35</v>
      </c>
      <c r="H353" t="s">
        <v>18</v>
      </c>
      <c r="I353" t="s">
        <v>24</v>
      </c>
      <c r="J353" t="s">
        <v>20</v>
      </c>
      <c r="K353" t="s">
        <v>16</v>
      </c>
      <c r="L353">
        <v>2</v>
      </c>
      <c r="M353" s="7">
        <v>65.680000000000007</v>
      </c>
      <c r="N353" s="7">
        <v>745.07</v>
      </c>
      <c r="O353" t="s">
        <v>20</v>
      </c>
    </row>
    <row r="354" spans="1:15" x14ac:dyDescent="0.3">
      <c r="A354" t="s">
        <v>379</v>
      </c>
      <c r="B354" t="s">
        <v>15</v>
      </c>
      <c r="C354">
        <v>31</v>
      </c>
      <c r="D354" t="s">
        <v>20</v>
      </c>
      <c r="E354">
        <v>49</v>
      </c>
      <c r="F354" t="str">
        <f t="shared" si="5"/>
        <v>49+ Months</v>
      </c>
      <c r="G354" t="s">
        <v>17</v>
      </c>
      <c r="H354" t="s">
        <v>36</v>
      </c>
      <c r="I354" t="s">
        <v>30</v>
      </c>
      <c r="J354" t="s">
        <v>20</v>
      </c>
      <c r="K354" t="s">
        <v>16</v>
      </c>
      <c r="L354">
        <v>4</v>
      </c>
      <c r="M354" s="7">
        <v>66.42</v>
      </c>
      <c r="N354" s="7">
        <v>3478.87</v>
      </c>
      <c r="O354" t="s">
        <v>20</v>
      </c>
    </row>
    <row r="355" spans="1:15" x14ac:dyDescent="0.3">
      <c r="A355" t="s">
        <v>380</v>
      </c>
      <c r="B355" t="s">
        <v>22</v>
      </c>
      <c r="C355">
        <v>64</v>
      </c>
      <c r="D355" t="s">
        <v>16</v>
      </c>
      <c r="E355">
        <v>38</v>
      </c>
      <c r="F355" t="str">
        <f t="shared" si="5"/>
        <v>25-48 Months</v>
      </c>
      <c r="G355" t="s">
        <v>17</v>
      </c>
      <c r="H355" t="s">
        <v>36</v>
      </c>
      <c r="I355" t="s">
        <v>27</v>
      </c>
      <c r="J355" t="s">
        <v>16</v>
      </c>
      <c r="K355" t="s">
        <v>20</v>
      </c>
      <c r="L355">
        <v>1</v>
      </c>
      <c r="M355" s="7">
        <v>51.87</v>
      </c>
      <c r="N355" s="7">
        <v>1976.65</v>
      </c>
      <c r="O355" t="s">
        <v>20</v>
      </c>
    </row>
    <row r="356" spans="1:15" x14ac:dyDescent="0.3">
      <c r="A356" t="s">
        <v>381</v>
      </c>
      <c r="B356" t="s">
        <v>22</v>
      </c>
      <c r="C356">
        <v>46</v>
      </c>
      <c r="D356" t="s">
        <v>20</v>
      </c>
      <c r="E356">
        <v>64</v>
      </c>
      <c r="F356" t="str">
        <f t="shared" si="5"/>
        <v>49+ Months</v>
      </c>
      <c r="G356" t="s">
        <v>17</v>
      </c>
      <c r="H356" t="s">
        <v>18</v>
      </c>
      <c r="I356" t="s">
        <v>30</v>
      </c>
      <c r="J356" t="s">
        <v>20</v>
      </c>
      <c r="K356" t="s">
        <v>20</v>
      </c>
      <c r="L356">
        <v>2</v>
      </c>
      <c r="M356" s="7">
        <v>61.85</v>
      </c>
      <c r="N356" s="7">
        <v>3656.07</v>
      </c>
      <c r="O356" t="s">
        <v>20</v>
      </c>
    </row>
    <row r="357" spans="1:15" x14ac:dyDescent="0.3">
      <c r="A357" t="s">
        <v>382</v>
      </c>
      <c r="B357" t="s">
        <v>15</v>
      </c>
      <c r="C357">
        <v>29</v>
      </c>
      <c r="D357" t="s">
        <v>20</v>
      </c>
      <c r="E357">
        <v>69</v>
      </c>
      <c r="F357" t="str">
        <f t="shared" si="5"/>
        <v>49+ Months</v>
      </c>
      <c r="G357" t="s">
        <v>23</v>
      </c>
      <c r="H357" t="s">
        <v>36</v>
      </c>
      <c r="I357" t="s">
        <v>27</v>
      </c>
      <c r="J357" t="s">
        <v>16</v>
      </c>
      <c r="K357" t="s">
        <v>16</v>
      </c>
      <c r="L357">
        <v>2</v>
      </c>
      <c r="M357" s="7">
        <v>52.48</v>
      </c>
      <c r="N357" s="7">
        <v>3348.14</v>
      </c>
      <c r="O357" t="s">
        <v>20</v>
      </c>
    </row>
    <row r="358" spans="1:15" x14ac:dyDescent="0.3">
      <c r="A358" t="s">
        <v>383</v>
      </c>
      <c r="B358" t="s">
        <v>22</v>
      </c>
      <c r="C358">
        <v>53</v>
      </c>
      <c r="D358" t="s">
        <v>20</v>
      </c>
      <c r="E358">
        <v>8</v>
      </c>
      <c r="F358" t="str">
        <f t="shared" si="5"/>
        <v>7-12 Months</v>
      </c>
      <c r="G358" t="s">
        <v>23</v>
      </c>
      <c r="H358" t="s">
        <v>18</v>
      </c>
      <c r="I358" t="s">
        <v>27</v>
      </c>
      <c r="J358" t="s">
        <v>16</v>
      </c>
      <c r="K358" t="s">
        <v>16</v>
      </c>
      <c r="L358">
        <v>5</v>
      </c>
      <c r="M358" s="7">
        <v>93.7</v>
      </c>
      <c r="N358" s="7">
        <v>729.28</v>
      </c>
      <c r="O358" t="s">
        <v>20</v>
      </c>
    </row>
    <row r="359" spans="1:15" x14ac:dyDescent="0.3">
      <c r="A359" t="s">
        <v>384</v>
      </c>
      <c r="B359" t="s">
        <v>22</v>
      </c>
      <c r="C359">
        <v>52</v>
      </c>
      <c r="D359" t="s">
        <v>20</v>
      </c>
      <c r="E359">
        <v>34</v>
      </c>
      <c r="F359" t="str">
        <f t="shared" si="5"/>
        <v>25-48 Months</v>
      </c>
      <c r="G359" t="s">
        <v>17</v>
      </c>
      <c r="H359" t="s">
        <v>18</v>
      </c>
      <c r="I359" t="s">
        <v>24</v>
      </c>
      <c r="J359" t="s">
        <v>16</v>
      </c>
      <c r="K359" t="s">
        <v>20</v>
      </c>
      <c r="L359">
        <v>5</v>
      </c>
      <c r="M359" s="7">
        <v>80.13</v>
      </c>
      <c r="N359" s="7">
        <v>2847.2</v>
      </c>
      <c r="O359" t="s">
        <v>20</v>
      </c>
    </row>
    <row r="360" spans="1:15" x14ac:dyDescent="0.3">
      <c r="A360" t="s">
        <v>385</v>
      </c>
      <c r="B360" t="s">
        <v>15</v>
      </c>
      <c r="C360">
        <v>69</v>
      </c>
      <c r="D360" t="s">
        <v>16</v>
      </c>
      <c r="E360">
        <v>48</v>
      </c>
      <c r="F360" t="str">
        <f t="shared" si="5"/>
        <v>25-48 Months</v>
      </c>
      <c r="G360" t="s">
        <v>35</v>
      </c>
      <c r="H360" t="s">
        <v>20</v>
      </c>
      <c r="I360" t="s">
        <v>24</v>
      </c>
      <c r="J360" t="s">
        <v>20</v>
      </c>
      <c r="K360" t="s">
        <v>16</v>
      </c>
      <c r="L360">
        <v>3</v>
      </c>
      <c r="M360" s="7">
        <v>32.17</v>
      </c>
      <c r="N360" s="7">
        <v>1491.85</v>
      </c>
      <c r="O360" t="s">
        <v>20</v>
      </c>
    </row>
    <row r="361" spans="1:15" x14ac:dyDescent="0.3">
      <c r="A361" t="s">
        <v>386</v>
      </c>
      <c r="B361" t="s">
        <v>15</v>
      </c>
      <c r="C361">
        <v>29</v>
      </c>
      <c r="D361" t="s">
        <v>20</v>
      </c>
      <c r="E361">
        <v>56</v>
      </c>
      <c r="F361" t="str">
        <f t="shared" si="5"/>
        <v>49+ Months</v>
      </c>
      <c r="G361" t="s">
        <v>17</v>
      </c>
      <c r="H361" t="s">
        <v>18</v>
      </c>
      <c r="I361" t="s">
        <v>19</v>
      </c>
      <c r="J361" t="s">
        <v>20</v>
      </c>
      <c r="K361" t="s">
        <v>16</v>
      </c>
      <c r="L361">
        <v>6</v>
      </c>
      <c r="M361" s="7">
        <v>89.3</v>
      </c>
      <c r="N361" s="7">
        <v>4868.3500000000004</v>
      </c>
      <c r="O361" t="s">
        <v>16</v>
      </c>
    </row>
    <row r="362" spans="1:15" x14ac:dyDescent="0.3">
      <c r="A362" t="s">
        <v>387</v>
      </c>
      <c r="B362" t="s">
        <v>22</v>
      </c>
      <c r="C362">
        <v>24</v>
      </c>
      <c r="D362" t="s">
        <v>20</v>
      </c>
      <c r="E362">
        <v>65</v>
      </c>
      <c r="F362" t="str">
        <f t="shared" si="5"/>
        <v>49+ Months</v>
      </c>
      <c r="G362" t="s">
        <v>17</v>
      </c>
      <c r="H362" t="s">
        <v>18</v>
      </c>
      <c r="I362" t="s">
        <v>24</v>
      </c>
      <c r="J362" t="s">
        <v>20</v>
      </c>
      <c r="K362" t="s">
        <v>20</v>
      </c>
      <c r="L362">
        <v>4</v>
      </c>
      <c r="M362" s="7">
        <v>77.5</v>
      </c>
      <c r="N362" s="7">
        <v>5266.78</v>
      </c>
      <c r="O362" t="s">
        <v>20</v>
      </c>
    </row>
    <row r="363" spans="1:15" x14ac:dyDescent="0.3">
      <c r="A363" t="s">
        <v>388</v>
      </c>
      <c r="B363" t="s">
        <v>15</v>
      </c>
      <c r="C363">
        <v>46</v>
      </c>
      <c r="D363" t="s">
        <v>20</v>
      </c>
      <c r="E363">
        <v>31</v>
      </c>
      <c r="F363" t="str">
        <f t="shared" si="5"/>
        <v>25-48 Months</v>
      </c>
      <c r="G363" t="s">
        <v>35</v>
      </c>
      <c r="H363" t="s">
        <v>18</v>
      </c>
      <c r="I363" t="s">
        <v>30</v>
      </c>
      <c r="J363" t="s">
        <v>20</v>
      </c>
      <c r="K363" t="s">
        <v>20</v>
      </c>
      <c r="L363">
        <v>6</v>
      </c>
      <c r="M363" s="7">
        <v>76.53</v>
      </c>
      <c r="N363" s="7">
        <v>2226.7399999999998</v>
      </c>
      <c r="O363" t="s">
        <v>20</v>
      </c>
    </row>
    <row r="364" spans="1:15" x14ac:dyDescent="0.3">
      <c r="A364" t="s">
        <v>389</v>
      </c>
      <c r="B364" t="s">
        <v>15</v>
      </c>
      <c r="C364">
        <v>28</v>
      </c>
      <c r="D364" t="s">
        <v>20</v>
      </c>
      <c r="E364">
        <v>4</v>
      </c>
      <c r="F364" t="str">
        <f t="shared" si="5"/>
        <v>0-6 Months</v>
      </c>
      <c r="G364" t="s">
        <v>17</v>
      </c>
      <c r="H364" t="s">
        <v>20</v>
      </c>
      <c r="I364" t="s">
        <v>27</v>
      </c>
      <c r="J364" t="s">
        <v>20</v>
      </c>
      <c r="K364" t="s">
        <v>20</v>
      </c>
      <c r="L364">
        <v>5</v>
      </c>
      <c r="M364" s="7">
        <v>43.45</v>
      </c>
      <c r="N364" s="7">
        <v>183.44</v>
      </c>
      <c r="O364" t="s">
        <v>16</v>
      </c>
    </row>
    <row r="365" spans="1:15" x14ac:dyDescent="0.3">
      <c r="A365" t="s">
        <v>390</v>
      </c>
      <c r="B365" t="s">
        <v>22</v>
      </c>
      <c r="C365">
        <v>50</v>
      </c>
      <c r="D365" t="s">
        <v>20</v>
      </c>
      <c r="E365">
        <v>50</v>
      </c>
      <c r="F365" t="str">
        <f t="shared" si="5"/>
        <v>49+ Months</v>
      </c>
      <c r="G365" t="s">
        <v>35</v>
      </c>
      <c r="H365" t="s">
        <v>18</v>
      </c>
      <c r="I365" t="s">
        <v>27</v>
      </c>
      <c r="J365" t="s">
        <v>20</v>
      </c>
      <c r="K365" t="s">
        <v>16</v>
      </c>
      <c r="L365">
        <v>6</v>
      </c>
      <c r="M365" s="7">
        <v>83.6</v>
      </c>
      <c r="N365" s="7">
        <v>4023.36</v>
      </c>
      <c r="O365" t="s">
        <v>20</v>
      </c>
    </row>
    <row r="366" spans="1:15" x14ac:dyDescent="0.3">
      <c r="A366" t="s">
        <v>391</v>
      </c>
      <c r="B366" t="s">
        <v>15</v>
      </c>
      <c r="C366">
        <v>23</v>
      </c>
      <c r="D366" t="s">
        <v>20</v>
      </c>
      <c r="E366">
        <v>69</v>
      </c>
      <c r="F366" t="str">
        <f t="shared" si="5"/>
        <v>49+ Months</v>
      </c>
      <c r="G366" t="s">
        <v>35</v>
      </c>
      <c r="H366" t="s">
        <v>18</v>
      </c>
      <c r="I366" t="s">
        <v>19</v>
      </c>
      <c r="J366" t="s">
        <v>20</v>
      </c>
      <c r="K366" t="s">
        <v>20</v>
      </c>
      <c r="L366">
        <v>4</v>
      </c>
      <c r="M366" s="7">
        <v>78.06</v>
      </c>
      <c r="N366" s="7">
        <v>4999.3900000000003</v>
      </c>
      <c r="O366" t="s">
        <v>20</v>
      </c>
    </row>
    <row r="367" spans="1:15" x14ac:dyDescent="0.3">
      <c r="A367" t="s">
        <v>392</v>
      </c>
      <c r="B367" t="s">
        <v>15</v>
      </c>
      <c r="C367">
        <v>64</v>
      </c>
      <c r="D367" t="s">
        <v>16</v>
      </c>
      <c r="E367">
        <v>30</v>
      </c>
      <c r="F367" t="str">
        <f t="shared" si="5"/>
        <v>25-48 Months</v>
      </c>
      <c r="G367" t="s">
        <v>23</v>
      </c>
      <c r="H367" t="s">
        <v>36</v>
      </c>
      <c r="I367" t="s">
        <v>24</v>
      </c>
      <c r="J367" t="s">
        <v>20</v>
      </c>
      <c r="K367" t="s">
        <v>20</v>
      </c>
      <c r="L367">
        <v>3</v>
      </c>
      <c r="M367" s="7">
        <v>38.18</v>
      </c>
      <c r="N367" s="7">
        <v>1075.27</v>
      </c>
      <c r="O367" t="s">
        <v>20</v>
      </c>
    </row>
    <row r="368" spans="1:15" x14ac:dyDescent="0.3">
      <c r="A368" t="s">
        <v>393</v>
      </c>
      <c r="B368" t="s">
        <v>22</v>
      </c>
      <c r="C368">
        <v>32</v>
      </c>
      <c r="D368" t="s">
        <v>20</v>
      </c>
      <c r="E368">
        <v>59</v>
      </c>
      <c r="F368" t="str">
        <f t="shared" si="5"/>
        <v>49+ Months</v>
      </c>
      <c r="G368" t="s">
        <v>23</v>
      </c>
      <c r="H368" t="s">
        <v>36</v>
      </c>
      <c r="I368" t="s">
        <v>24</v>
      </c>
      <c r="J368" t="s">
        <v>20</v>
      </c>
      <c r="K368" t="s">
        <v>16</v>
      </c>
      <c r="L368">
        <v>4</v>
      </c>
      <c r="M368" s="7">
        <v>61.55</v>
      </c>
      <c r="N368" s="7">
        <v>3894.4</v>
      </c>
      <c r="O368" t="s">
        <v>20</v>
      </c>
    </row>
    <row r="369" spans="1:15" x14ac:dyDescent="0.3">
      <c r="A369" t="s">
        <v>394</v>
      </c>
      <c r="B369" t="s">
        <v>22</v>
      </c>
      <c r="C369">
        <v>49</v>
      </c>
      <c r="D369" t="s">
        <v>20</v>
      </c>
      <c r="E369">
        <v>67</v>
      </c>
      <c r="F369" t="str">
        <f t="shared" si="5"/>
        <v>49+ Months</v>
      </c>
      <c r="G369" t="s">
        <v>17</v>
      </c>
      <c r="H369" t="s">
        <v>18</v>
      </c>
      <c r="I369" t="s">
        <v>30</v>
      </c>
      <c r="J369" t="s">
        <v>20</v>
      </c>
      <c r="K369" t="s">
        <v>16</v>
      </c>
      <c r="L369">
        <v>2</v>
      </c>
      <c r="M369" s="7">
        <v>59.56</v>
      </c>
      <c r="N369" s="7">
        <v>3959.44</v>
      </c>
      <c r="O369" t="s">
        <v>20</v>
      </c>
    </row>
    <row r="370" spans="1:15" x14ac:dyDescent="0.3">
      <c r="A370" t="s">
        <v>395</v>
      </c>
      <c r="B370" t="s">
        <v>15</v>
      </c>
      <c r="C370">
        <v>68</v>
      </c>
      <c r="D370" t="s">
        <v>16</v>
      </c>
      <c r="E370">
        <v>45</v>
      </c>
      <c r="F370" t="str">
        <f t="shared" si="5"/>
        <v>25-48 Months</v>
      </c>
      <c r="G370" t="s">
        <v>35</v>
      </c>
      <c r="H370" t="s">
        <v>36</v>
      </c>
      <c r="I370" t="s">
        <v>24</v>
      </c>
      <c r="J370" t="s">
        <v>20</v>
      </c>
      <c r="K370" t="s">
        <v>16</v>
      </c>
      <c r="L370">
        <v>5</v>
      </c>
      <c r="M370" s="7">
        <v>68.23</v>
      </c>
      <c r="N370" s="7">
        <v>2950.7</v>
      </c>
      <c r="O370" t="s">
        <v>20</v>
      </c>
    </row>
    <row r="371" spans="1:15" x14ac:dyDescent="0.3">
      <c r="A371" t="s">
        <v>396</v>
      </c>
      <c r="B371" t="s">
        <v>15</v>
      </c>
      <c r="C371">
        <v>28</v>
      </c>
      <c r="D371" t="s">
        <v>20</v>
      </c>
      <c r="E371">
        <v>4</v>
      </c>
      <c r="F371" t="str">
        <f t="shared" si="5"/>
        <v>0-6 Months</v>
      </c>
      <c r="G371" t="s">
        <v>17</v>
      </c>
      <c r="H371" t="s">
        <v>18</v>
      </c>
      <c r="I371" t="s">
        <v>24</v>
      </c>
      <c r="J371" t="s">
        <v>20</v>
      </c>
      <c r="K371" t="s">
        <v>16</v>
      </c>
      <c r="L371">
        <v>4</v>
      </c>
      <c r="M371" s="7">
        <v>86.5</v>
      </c>
      <c r="N371" s="7">
        <v>347.18</v>
      </c>
      <c r="O371" t="s">
        <v>20</v>
      </c>
    </row>
    <row r="372" spans="1:15" x14ac:dyDescent="0.3">
      <c r="A372" t="s">
        <v>397</v>
      </c>
      <c r="B372" t="s">
        <v>22</v>
      </c>
      <c r="C372">
        <v>75</v>
      </c>
      <c r="D372" t="s">
        <v>16</v>
      </c>
      <c r="E372">
        <v>26</v>
      </c>
      <c r="F372" t="str">
        <f t="shared" si="5"/>
        <v>25-48 Months</v>
      </c>
      <c r="G372" t="s">
        <v>23</v>
      </c>
      <c r="H372" t="s">
        <v>20</v>
      </c>
      <c r="I372" t="s">
        <v>19</v>
      </c>
      <c r="J372" t="s">
        <v>20</v>
      </c>
      <c r="K372" t="s">
        <v>16</v>
      </c>
      <c r="L372">
        <v>1</v>
      </c>
      <c r="M372" s="7">
        <v>20</v>
      </c>
      <c r="N372" s="7">
        <v>535.16999999999996</v>
      </c>
      <c r="O372" t="s">
        <v>20</v>
      </c>
    </row>
    <row r="373" spans="1:15" x14ac:dyDescent="0.3">
      <c r="A373" t="s">
        <v>398</v>
      </c>
      <c r="B373" t="s">
        <v>22</v>
      </c>
      <c r="C373">
        <v>40</v>
      </c>
      <c r="D373" t="s">
        <v>20</v>
      </c>
      <c r="E373">
        <v>27</v>
      </c>
      <c r="F373" t="str">
        <f t="shared" si="5"/>
        <v>25-48 Months</v>
      </c>
      <c r="G373" t="s">
        <v>35</v>
      </c>
      <c r="H373" t="s">
        <v>18</v>
      </c>
      <c r="I373" t="s">
        <v>24</v>
      </c>
      <c r="J373" t="s">
        <v>16</v>
      </c>
      <c r="K373" t="s">
        <v>20</v>
      </c>
      <c r="L373">
        <v>2</v>
      </c>
      <c r="M373" s="7">
        <v>80.069999999999993</v>
      </c>
      <c r="N373" s="7">
        <v>2099.21</v>
      </c>
      <c r="O373" t="s">
        <v>20</v>
      </c>
    </row>
    <row r="374" spans="1:15" x14ac:dyDescent="0.3">
      <c r="A374" t="s">
        <v>399</v>
      </c>
      <c r="B374" t="s">
        <v>22</v>
      </c>
      <c r="C374">
        <v>43</v>
      </c>
      <c r="D374" t="s">
        <v>20</v>
      </c>
      <c r="E374">
        <v>46</v>
      </c>
      <c r="F374" t="str">
        <f t="shared" si="5"/>
        <v>25-48 Months</v>
      </c>
      <c r="G374" t="s">
        <v>35</v>
      </c>
      <c r="H374" t="s">
        <v>18</v>
      </c>
      <c r="I374" t="s">
        <v>27</v>
      </c>
      <c r="J374" t="s">
        <v>20</v>
      </c>
      <c r="K374" t="s">
        <v>20</v>
      </c>
      <c r="L374">
        <v>2</v>
      </c>
      <c r="M374" s="7">
        <v>70.180000000000007</v>
      </c>
      <c r="N374" s="7">
        <v>3344.64</v>
      </c>
      <c r="O374" t="s">
        <v>20</v>
      </c>
    </row>
    <row r="375" spans="1:15" x14ac:dyDescent="0.3">
      <c r="A375" t="s">
        <v>400</v>
      </c>
      <c r="B375" t="s">
        <v>22</v>
      </c>
      <c r="C375">
        <v>51</v>
      </c>
      <c r="D375" t="s">
        <v>20</v>
      </c>
      <c r="E375">
        <v>64</v>
      </c>
      <c r="F375" t="str">
        <f t="shared" si="5"/>
        <v>49+ Months</v>
      </c>
      <c r="G375" t="s">
        <v>35</v>
      </c>
      <c r="H375" t="s">
        <v>18</v>
      </c>
      <c r="I375" t="s">
        <v>24</v>
      </c>
      <c r="J375" t="s">
        <v>20</v>
      </c>
      <c r="K375" t="s">
        <v>20</v>
      </c>
      <c r="L375">
        <v>2</v>
      </c>
      <c r="M375" s="7">
        <v>78.540000000000006</v>
      </c>
      <c r="N375" s="7">
        <v>4827.3100000000004</v>
      </c>
      <c r="O375" t="s">
        <v>20</v>
      </c>
    </row>
    <row r="376" spans="1:15" x14ac:dyDescent="0.3">
      <c r="A376" t="s">
        <v>401</v>
      </c>
      <c r="B376" t="s">
        <v>15</v>
      </c>
      <c r="C376">
        <v>63</v>
      </c>
      <c r="D376" t="s">
        <v>16</v>
      </c>
      <c r="E376">
        <v>51</v>
      </c>
      <c r="F376" t="str">
        <f t="shared" si="5"/>
        <v>49+ Months</v>
      </c>
      <c r="G376" t="s">
        <v>17</v>
      </c>
      <c r="H376" t="s">
        <v>18</v>
      </c>
      <c r="I376" t="s">
        <v>24</v>
      </c>
      <c r="J376" t="s">
        <v>16</v>
      </c>
      <c r="K376" t="s">
        <v>20</v>
      </c>
      <c r="L376">
        <v>3</v>
      </c>
      <c r="M376" s="7">
        <v>81.52</v>
      </c>
      <c r="N376" s="7">
        <v>3899.65</v>
      </c>
      <c r="O376" t="s">
        <v>20</v>
      </c>
    </row>
    <row r="377" spans="1:15" x14ac:dyDescent="0.3">
      <c r="A377" t="s">
        <v>402</v>
      </c>
      <c r="B377" t="s">
        <v>22</v>
      </c>
      <c r="C377">
        <v>51</v>
      </c>
      <c r="D377" t="s">
        <v>20</v>
      </c>
      <c r="E377">
        <v>50</v>
      </c>
      <c r="F377" t="str">
        <f t="shared" si="5"/>
        <v>49+ Months</v>
      </c>
      <c r="G377" t="s">
        <v>35</v>
      </c>
      <c r="H377" t="s">
        <v>36</v>
      </c>
      <c r="I377" t="s">
        <v>24</v>
      </c>
      <c r="J377" t="s">
        <v>20</v>
      </c>
      <c r="K377" t="s">
        <v>16</v>
      </c>
      <c r="L377">
        <v>3</v>
      </c>
      <c r="M377" s="7">
        <v>44.88</v>
      </c>
      <c r="N377" s="7">
        <v>2261.85</v>
      </c>
      <c r="O377" t="s">
        <v>20</v>
      </c>
    </row>
    <row r="378" spans="1:15" x14ac:dyDescent="0.3">
      <c r="A378" t="s">
        <v>403</v>
      </c>
      <c r="B378" t="s">
        <v>22</v>
      </c>
      <c r="C378">
        <v>46</v>
      </c>
      <c r="D378" t="s">
        <v>20</v>
      </c>
      <c r="E378">
        <v>6</v>
      </c>
      <c r="F378" t="str">
        <f t="shared" si="5"/>
        <v>0-6 Months</v>
      </c>
      <c r="G378" t="s">
        <v>23</v>
      </c>
      <c r="H378" t="s">
        <v>18</v>
      </c>
      <c r="I378" t="s">
        <v>24</v>
      </c>
      <c r="J378" t="s">
        <v>16</v>
      </c>
      <c r="K378" t="s">
        <v>20</v>
      </c>
      <c r="L378">
        <v>3</v>
      </c>
      <c r="M378" s="7">
        <v>69.03</v>
      </c>
      <c r="N378" s="7">
        <v>391.06</v>
      </c>
      <c r="O378" t="s">
        <v>20</v>
      </c>
    </row>
    <row r="379" spans="1:15" x14ac:dyDescent="0.3">
      <c r="A379" t="s">
        <v>404</v>
      </c>
      <c r="B379" t="s">
        <v>15</v>
      </c>
      <c r="C379">
        <v>21</v>
      </c>
      <c r="D379" t="s">
        <v>20</v>
      </c>
      <c r="E379">
        <v>59</v>
      </c>
      <c r="F379" t="str">
        <f t="shared" si="5"/>
        <v>49+ Months</v>
      </c>
      <c r="G379" t="s">
        <v>35</v>
      </c>
      <c r="H379" t="s">
        <v>18</v>
      </c>
      <c r="I379" t="s">
        <v>30</v>
      </c>
      <c r="J379" t="s">
        <v>20</v>
      </c>
      <c r="K379" t="s">
        <v>16</v>
      </c>
      <c r="L379">
        <v>4</v>
      </c>
      <c r="M379" s="7">
        <v>90.3</v>
      </c>
      <c r="N379" s="7">
        <v>5703.18</v>
      </c>
      <c r="O379" t="s">
        <v>16</v>
      </c>
    </row>
    <row r="380" spans="1:15" x14ac:dyDescent="0.3">
      <c r="A380" t="s">
        <v>405</v>
      </c>
      <c r="B380" t="s">
        <v>22</v>
      </c>
      <c r="C380">
        <v>34</v>
      </c>
      <c r="D380" t="s">
        <v>20</v>
      </c>
      <c r="E380">
        <v>15</v>
      </c>
      <c r="F380" t="str">
        <f t="shared" si="5"/>
        <v>13-24 Months</v>
      </c>
      <c r="G380" t="s">
        <v>23</v>
      </c>
      <c r="H380" t="s">
        <v>36</v>
      </c>
      <c r="I380" t="s">
        <v>30</v>
      </c>
      <c r="J380" t="s">
        <v>20</v>
      </c>
      <c r="K380" t="s">
        <v>20</v>
      </c>
      <c r="L380">
        <v>4</v>
      </c>
      <c r="M380" s="7">
        <v>50.32</v>
      </c>
      <c r="N380" s="7">
        <v>694.47</v>
      </c>
      <c r="O380" t="s">
        <v>20</v>
      </c>
    </row>
    <row r="381" spans="1:15" x14ac:dyDescent="0.3">
      <c r="A381" t="s">
        <v>406</v>
      </c>
      <c r="B381" t="s">
        <v>15</v>
      </c>
      <c r="C381">
        <v>52</v>
      </c>
      <c r="D381" t="s">
        <v>20</v>
      </c>
      <c r="E381">
        <v>30</v>
      </c>
      <c r="F381" t="str">
        <f t="shared" si="5"/>
        <v>25-48 Months</v>
      </c>
      <c r="G381" t="s">
        <v>17</v>
      </c>
      <c r="H381" t="s">
        <v>36</v>
      </c>
      <c r="I381" t="s">
        <v>19</v>
      </c>
      <c r="J381" t="s">
        <v>20</v>
      </c>
      <c r="K381" t="s">
        <v>16</v>
      </c>
      <c r="L381">
        <v>7</v>
      </c>
      <c r="M381" s="7">
        <v>73.53</v>
      </c>
      <c r="N381" s="7">
        <v>2296.15</v>
      </c>
      <c r="O381" t="s">
        <v>20</v>
      </c>
    </row>
    <row r="382" spans="1:15" x14ac:dyDescent="0.3">
      <c r="A382" t="s">
        <v>407</v>
      </c>
      <c r="B382" t="s">
        <v>22</v>
      </c>
      <c r="C382">
        <v>30</v>
      </c>
      <c r="D382" t="s">
        <v>20</v>
      </c>
      <c r="E382">
        <v>42</v>
      </c>
      <c r="F382" t="str">
        <f t="shared" si="5"/>
        <v>25-48 Months</v>
      </c>
      <c r="G382" t="s">
        <v>17</v>
      </c>
      <c r="H382" t="s">
        <v>18</v>
      </c>
      <c r="I382" t="s">
        <v>30</v>
      </c>
      <c r="J382" t="s">
        <v>20</v>
      </c>
      <c r="K382" t="s">
        <v>20</v>
      </c>
      <c r="L382">
        <v>3</v>
      </c>
      <c r="M382" s="7">
        <v>69.709999999999994</v>
      </c>
      <c r="N382" s="7">
        <v>2824.51</v>
      </c>
      <c r="O382" t="s">
        <v>16</v>
      </c>
    </row>
    <row r="383" spans="1:15" x14ac:dyDescent="0.3">
      <c r="A383" t="s">
        <v>408</v>
      </c>
      <c r="B383" t="s">
        <v>22</v>
      </c>
      <c r="C383">
        <v>58</v>
      </c>
      <c r="D383" t="s">
        <v>20</v>
      </c>
      <c r="E383">
        <v>37</v>
      </c>
      <c r="F383" t="str">
        <f t="shared" si="5"/>
        <v>25-48 Months</v>
      </c>
      <c r="G383" t="s">
        <v>23</v>
      </c>
      <c r="H383" t="s">
        <v>18</v>
      </c>
      <c r="I383" t="s">
        <v>19</v>
      </c>
      <c r="J383" t="s">
        <v>16</v>
      </c>
      <c r="K383" t="s">
        <v>20</v>
      </c>
      <c r="L383">
        <v>4</v>
      </c>
      <c r="M383" s="7">
        <v>72.67</v>
      </c>
      <c r="N383" s="7">
        <v>2837.68</v>
      </c>
      <c r="O383" t="s">
        <v>20</v>
      </c>
    </row>
    <row r="384" spans="1:15" x14ac:dyDescent="0.3">
      <c r="A384" t="s">
        <v>409</v>
      </c>
      <c r="B384" t="s">
        <v>22</v>
      </c>
      <c r="C384">
        <v>56</v>
      </c>
      <c r="D384" t="s">
        <v>20</v>
      </c>
      <c r="E384">
        <v>42</v>
      </c>
      <c r="F384" t="str">
        <f t="shared" si="5"/>
        <v>25-48 Months</v>
      </c>
      <c r="G384" t="s">
        <v>23</v>
      </c>
      <c r="H384" t="s">
        <v>18</v>
      </c>
      <c r="I384" t="s">
        <v>30</v>
      </c>
      <c r="J384" t="s">
        <v>20</v>
      </c>
      <c r="K384" t="s">
        <v>16</v>
      </c>
      <c r="L384">
        <v>5</v>
      </c>
      <c r="M384" s="7">
        <v>82.87</v>
      </c>
      <c r="N384" s="7">
        <v>3235.59</v>
      </c>
      <c r="O384" t="s">
        <v>20</v>
      </c>
    </row>
    <row r="385" spans="1:15" x14ac:dyDescent="0.3">
      <c r="A385" t="s">
        <v>410</v>
      </c>
      <c r="B385" t="s">
        <v>15</v>
      </c>
      <c r="C385">
        <v>32</v>
      </c>
      <c r="D385" t="s">
        <v>20</v>
      </c>
      <c r="E385">
        <v>35</v>
      </c>
      <c r="F385" t="str">
        <f t="shared" si="5"/>
        <v>25-48 Months</v>
      </c>
      <c r="G385" t="s">
        <v>17</v>
      </c>
      <c r="H385" t="s">
        <v>18</v>
      </c>
      <c r="I385" t="s">
        <v>24</v>
      </c>
      <c r="J385" t="s">
        <v>16</v>
      </c>
      <c r="K385" t="s">
        <v>20</v>
      </c>
      <c r="L385">
        <v>3</v>
      </c>
      <c r="M385" s="7">
        <v>90.34</v>
      </c>
      <c r="N385" s="7">
        <v>3391.07</v>
      </c>
      <c r="O385" t="s">
        <v>16</v>
      </c>
    </row>
    <row r="386" spans="1:15" x14ac:dyDescent="0.3">
      <c r="A386" t="s">
        <v>411</v>
      </c>
      <c r="B386" t="s">
        <v>15</v>
      </c>
      <c r="C386">
        <v>72</v>
      </c>
      <c r="D386" t="s">
        <v>16</v>
      </c>
      <c r="E386">
        <v>6</v>
      </c>
      <c r="F386" t="str">
        <f t="shared" ref="F386:F449" si="6">IF(E386&lt;=6,"0-6 Months",
 IF(E386&lt;=12,"7-12 Months",
 IF(E386&lt;=24,"13-24 Months",
 IF(E386&lt;=48,"25-48 Months","49+ Months"))))</f>
        <v>0-6 Months</v>
      </c>
      <c r="G386" t="s">
        <v>23</v>
      </c>
      <c r="H386" t="s">
        <v>18</v>
      </c>
      <c r="I386" t="s">
        <v>19</v>
      </c>
      <c r="J386" t="s">
        <v>20</v>
      </c>
      <c r="K386" t="s">
        <v>16</v>
      </c>
      <c r="L386">
        <v>6</v>
      </c>
      <c r="M386" s="7">
        <v>92.38</v>
      </c>
      <c r="N386" s="7">
        <v>518.92999999999995</v>
      </c>
      <c r="O386" t="s">
        <v>20</v>
      </c>
    </row>
    <row r="387" spans="1:15" x14ac:dyDescent="0.3">
      <c r="A387" t="s">
        <v>412</v>
      </c>
      <c r="B387" t="s">
        <v>22</v>
      </c>
      <c r="C387">
        <v>46</v>
      </c>
      <c r="D387" t="s">
        <v>20</v>
      </c>
      <c r="E387">
        <v>68</v>
      </c>
      <c r="F387" t="str">
        <f t="shared" si="6"/>
        <v>49+ Months</v>
      </c>
      <c r="G387" t="s">
        <v>17</v>
      </c>
      <c r="H387" t="s">
        <v>36</v>
      </c>
      <c r="I387" t="s">
        <v>27</v>
      </c>
      <c r="J387" t="s">
        <v>20</v>
      </c>
      <c r="K387" t="s">
        <v>20</v>
      </c>
      <c r="L387">
        <v>8</v>
      </c>
      <c r="M387" s="7">
        <v>67.62</v>
      </c>
      <c r="N387" s="7">
        <v>4809.96</v>
      </c>
      <c r="O387" t="s">
        <v>20</v>
      </c>
    </row>
    <row r="388" spans="1:15" x14ac:dyDescent="0.3">
      <c r="A388" t="s">
        <v>413</v>
      </c>
      <c r="B388" t="s">
        <v>15</v>
      </c>
      <c r="C388">
        <v>46</v>
      </c>
      <c r="D388" t="s">
        <v>20</v>
      </c>
      <c r="E388">
        <v>18</v>
      </c>
      <c r="F388" t="str">
        <f t="shared" si="6"/>
        <v>13-24 Months</v>
      </c>
      <c r="G388" t="s">
        <v>35</v>
      </c>
      <c r="H388" t="s">
        <v>20</v>
      </c>
      <c r="I388" t="s">
        <v>27</v>
      </c>
      <c r="J388" t="s">
        <v>20</v>
      </c>
      <c r="K388" t="s">
        <v>20</v>
      </c>
      <c r="L388">
        <v>4</v>
      </c>
      <c r="M388" s="7">
        <v>42.37</v>
      </c>
      <c r="N388" s="7">
        <v>764.78</v>
      </c>
      <c r="O388" t="s">
        <v>20</v>
      </c>
    </row>
    <row r="389" spans="1:15" x14ac:dyDescent="0.3">
      <c r="A389" t="s">
        <v>414</v>
      </c>
      <c r="B389" t="s">
        <v>15</v>
      </c>
      <c r="C389">
        <v>28</v>
      </c>
      <c r="D389" t="s">
        <v>20</v>
      </c>
      <c r="E389">
        <v>29</v>
      </c>
      <c r="F389" t="str">
        <f t="shared" si="6"/>
        <v>25-48 Months</v>
      </c>
      <c r="G389" t="s">
        <v>17</v>
      </c>
      <c r="H389" t="s">
        <v>18</v>
      </c>
      <c r="I389" t="s">
        <v>30</v>
      </c>
      <c r="J389" t="s">
        <v>20</v>
      </c>
      <c r="K389" t="s">
        <v>16</v>
      </c>
      <c r="L389">
        <v>4</v>
      </c>
      <c r="M389" s="7">
        <v>65.98</v>
      </c>
      <c r="N389" s="7">
        <v>1892.11</v>
      </c>
      <c r="O389" t="s">
        <v>20</v>
      </c>
    </row>
    <row r="390" spans="1:15" x14ac:dyDescent="0.3">
      <c r="A390" t="s">
        <v>415</v>
      </c>
      <c r="B390" t="s">
        <v>15</v>
      </c>
      <c r="C390">
        <v>69</v>
      </c>
      <c r="D390" t="s">
        <v>16</v>
      </c>
      <c r="E390">
        <v>59</v>
      </c>
      <c r="F390" t="str">
        <f t="shared" si="6"/>
        <v>49+ Months</v>
      </c>
      <c r="G390" t="s">
        <v>17</v>
      </c>
      <c r="H390" t="s">
        <v>18</v>
      </c>
      <c r="I390" t="s">
        <v>24</v>
      </c>
      <c r="J390" t="s">
        <v>20</v>
      </c>
      <c r="K390" t="s">
        <v>20</v>
      </c>
      <c r="L390">
        <v>2</v>
      </c>
      <c r="M390" s="7">
        <v>55.22</v>
      </c>
      <c r="N390" s="7">
        <v>3143.38</v>
      </c>
      <c r="O390" t="s">
        <v>20</v>
      </c>
    </row>
    <row r="391" spans="1:15" x14ac:dyDescent="0.3">
      <c r="A391" t="s">
        <v>416</v>
      </c>
      <c r="B391" t="s">
        <v>15</v>
      </c>
      <c r="C391">
        <v>49</v>
      </c>
      <c r="D391" t="s">
        <v>20</v>
      </c>
      <c r="E391">
        <v>47</v>
      </c>
      <c r="F391" t="str">
        <f t="shared" si="6"/>
        <v>25-48 Months</v>
      </c>
      <c r="G391" t="s">
        <v>17</v>
      </c>
      <c r="H391" t="s">
        <v>18</v>
      </c>
      <c r="I391" t="s">
        <v>24</v>
      </c>
      <c r="J391" t="s">
        <v>20</v>
      </c>
      <c r="K391" t="s">
        <v>16</v>
      </c>
      <c r="L391">
        <v>2</v>
      </c>
      <c r="M391" s="7">
        <v>72.180000000000007</v>
      </c>
      <c r="N391" s="7">
        <v>3577.75</v>
      </c>
      <c r="O391" t="s">
        <v>16</v>
      </c>
    </row>
    <row r="392" spans="1:15" x14ac:dyDescent="0.3">
      <c r="A392" t="s">
        <v>417</v>
      </c>
      <c r="B392" t="s">
        <v>15</v>
      </c>
      <c r="C392">
        <v>19</v>
      </c>
      <c r="D392" t="s">
        <v>20</v>
      </c>
      <c r="E392">
        <v>17</v>
      </c>
      <c r="F392" t="str">
        <f t="shared" si="6"/>
        <v>13-24 Months</v>
      </c>
      <c r="G392" t="s">
        <v>17</v>
      </c>
      <c r="H392" t="s">
        <v>18</v>
      </c>
      <c r="I392" t="s">
        <v>27</v>
      </c>
      <c r="J392" t="s">
        <v>20</v>
      </c>
      <c r="K392" t="s">
        <v>20</v>
      </c>
      <c r="L392">
        <v>3</v>
      </c>
      <c r="M392" s="7">
        <v>80</v>
      </c>
      <c r="N392" s="7">
        <v>1294.67</v>
      </c>
      <c r="O392" t="s">
        <v>20</v>
      </c>
    </row>
    <row r="393" spans="1:15" x14ac:dyDescent="0.3">
      <c r="A393" t="s">
        <v>418</v>
      </c>
      <c r="B393" t="s">
        <v>15</v>
      </c>
      <c r="C393">
        <v>64</v>
      </c>
      <c r="D393" t="s">
        <v>16</v>
      </c>
      <c r="E393">
        <v>22</v>
      </c>
      <c r="F393" t="str">
        <f t="shared" si="6"/>
        <v>13-24 Months</v>
      </c>
      <c r="G393" t="s">
        <v>17</v>
      </c>
      <c r="H393" t="s">
        <v>18</v>
      </c>
      <c r="I393" t="s">
        <v>24</v>
      </c>
      <c r="J393" t="s">
        <v>16</v>
      </c>
      <c r="K393" t="s">
        <v>16</v>
      </c>
      <c r="L393">
        <v>7</v>
      </c>
      <c r="M393" s="7">
        <v>101.93</v>
      </c>
      <c r="N393" s="7">
        <v>2321.84</v>
      </c>
      <c r="O393" t="s">
        <v>16</v>
      </c>
    </row>
    <row r="394" spans="1:15" x14ac:dyDescent="0.3">
      <c r="A394" t="s">
        <v>419</v>
      </c>
      <c r="B394" t="s">
        <v>22</v>
      </c>
      <c r="C394">
        <v>31</v>
      </c>
      <c r="D394" t="s">
        <v>20</v>
      </c>
      <c r="E394">
        <v>68</v>
      </c>
      <c r="F394" t="str">
        <f t="shared" si="6"/>
        <v>49+ Months</v>
      </c>
      <c r="G394" t="s">
        <v>17</v>
      </c>
      <c r="H394" t="s">
        <v>20</v>
      </c>
      <c r="I394" t="s">
        <v>24</v>
      </c>
      <c r="J394" t="s">
        <v>20</v>
      </c>
      <c r="K394" t="s">
        <v>20</v>
      </c>
      <c r="L394">
        <v>2</v>
      </c>
      <c r="M394" s="7">
        <v>35.61</v>
      </c>
      <c r="N394" s="7">
        <v>2400.48</v>
      </c>
      <c r="O394" t="s">
        <v>20</v>
      </c>
    </row>
    <row r="395" spans="1:15" x14ac:dyDescent="0.3">
      <c r="A395" t="s">
        <v>420</v>
      </c>
      <c r="B395" t="s">
        <v>22</v>
      </c>
      <c r="C395">
        <v>37</v>
      </c>
      <c r="D395" t="s">
        <v>20</v>
      </c>
      <c r="E395">
        <v>69</v>
      </c>
      <c r="F395" t="str">
        <f t="shared" si="6"/>
        <v>49+ Months</v>
      </c>
      <c r="G395" t="s">
        <v>17</v>
      </c>
      <c r="H395" t="s">
        <v>36</v>
      </c>
      <c r="I395" t="s">
        <v>24</v>
      </c>
      <c r="J395" t="s">
        <v>16</v>
      </c>
      <c r="K395" t="s">
        <v>20</v>
      </c>
      <c r="L395">
        <v>4</v>
      </c>
      <c r="M395" s="7">
        <v>59.04</v>
      </c>
      <c r="N395" s="7">
        <v>4398.68</v>
      </c>
      <c r="O395" t="s">
        <v>20</v>
      </c>
    </row>
    <row r="396" spans="1:15" x14ac:dyDescent="0.3">
      <c r="A396" t="s">
        <v>421</v>
      </c>
      <c r="B396" t="s">
        <v>15</v>
      </c>
      <c r="C396">
        <v>39</v>
      </c>
      <c r="D396" t="s">
        <v>20</v>
      </c>
      <c r="E396">
        <v>37</v>
      </c>
      <c r="F396" t="str">
        <f t="shared" si="6"/>
        <v>25-48 Months</v>
      </c>
      <c r="G396" t="s">
        <v>35</v>
      </c>
      <c r="H396" t="s">
        <v>20</v>
      </c>
      <c r="I396" t="s">
        <v>24</v>
      </c>
      <c r="J396" t="s">
        <v>16</v>
      </c>
      <c r="K396" t="s">
        <v>16</v>
      </c>
      <c r="L396">
        <v>4</v>
      </c>
      <c r="M396" s="7">
        <v>38.630000000000003</v>
      </c>
      <c r="N396" s="7">
        <v>1454.79</v>
      </c>
      <c r="O396" t="s">
        <v>20</v>
      </c>
    </row>
    <row r="397" spans="1:15" x14ac:dyDescent="0.3">
      <c r="A397" t="s">
        <v>422</v>
      </c>
      <c r="B397" t="s">
        <v>22</v>
      </c>
      <c r="C397">
        <v>28</v>
      </c>
      <c r="D397" t="s">
        <v>20</v>
      </c>
      <c r="E397">
        <v>49</v>
      </c>
      <c r="F397" t="str">
        <f t="shared" si="6"/>
        <v>49+ Months</v>
      </c>
      <c r="G397" t="s">
        <v>35</v>
      </c>
      <c r="H397" t="s">
        <v>20</v>
      </c>
      <c r="I397" t="s">
        <v>24</v>
      </c>
      <c r="J397" t="s">
        <v>16</v>
      </c>
      <c r="K397" t="s">
        <v>20</v>
      </c>
      <c r="L397">
        <v>3</v>
      </c>
      <c r="M397" s="7">
        <v>40.69</v>
      </c>
      <c r="N397" s="7">
        <v>1867.54</v>
      </c>
      <c r="O397" t="s">
        <v>20</v>
      </c>
    </row>
    <row r="398" spans="1:15" x14ac:dyDescent="0.3">
      <c r="A398" t="s">
        <v>423</v>
      </c>
      <c r="B398" t="s">
        <v>22</v>
      </c>
      <c r="C398">
        <v>44</v>
      </c>
      <c r="D398" t="s">
        <v>20</v>
      </c>
      <c r="E398">
        <v>13</v>
      </c>
      <c r="F398" t="str">
        <f t="shared" si="6"/>
        <v>13-24 Months</v>
      </c>
      <c r="G398" t="s">
        <v>17</v>
      </c>
      <c r="H398" t="s">
        <v>36</v>
      </c>
      <c r="I398" t="s">
        <v>19</v>
      </c>
      <c r="J398" t="s">
        <v>20</v>
      </c>
      <c r="K398" t="s">
        <v>20</v>
      </c>
      <c r="L398">
        <v>3</v>
      </c>
      <c r="M398" s="7">
        <v>46.49</v>
      </c>
      <c r="N398" s="7">
        <v>596.59</v>
      </c>
      <c r="O398" t="s">
        <v>20</v>
      </c>
    </row>
    <row r="399" spans="1:15" x14ac:dyDescent="0.3">
      <c r="A399" t="s">
        <v>424</v>
      </c>
      <c r="B399" t="s">
        <v>22</v>
      </c>
      <c r="C399">
        <v>20</v>
      </c>
      <c r="D399" t="s">
        <v>20</v>
      </c>
      <c r="E399">
        <v>34</v>
      </c>
      <c r="F399" t="str">
        <f t="shared" si="6"/>
        <v>25-48 Months</v>
      </c>
      <c r="G399" t="s">
        <v>35</v>
      </c>
      <c r="H399" t="s">
        <v>36</v>
      </c>
      <c r="I399" t="s">
        <v>19</v>
      </c>
      <c r="J399" t="s">
        <v>20</v>
      </c>
      <c r="K399" t="s">
        <v>16</v>
      </c>
      <c r="L399">
        <v>5</v>
      </c>
      <c r="M399" s="7">
        <v>58.25</v>
      </c>
      <c r="N399" s="7">
        <v>1843.07</v>
      </c>
      <c r="O399" t="s">
        <v>20</v>
      </c>
    </row>
    <row r="400" spans="1:15" x14ac:dyDescent="0.3">
      <c r="A400" t="s">
        <v>425</v>
      </c>
      <c r="B400" t="s">
        <v>22</v>
      </c>
      <c r="C400">
        <v>34</v>
      </c>
      <c r="D400" t="s">
        <v>20</v>
      </c>
      <c r="E400">
        <v>53</v>
      </c>
      <c r="F400" t="str">
        <f t="shared" si="6"/>
        <v>49+ Months</v>
      </c>
      <c r="G400" t="s">
        <v>17</v>
      </c>
      <c r="H400" t="s">
        <v>18</v>
      </c>
      <c r="I400" t="s">
        <v>27</v>
      </c>
      <c r="J400" t="s">
        <v>20</v>
      </c>
      <c r="K400" t="s">
        <v>20</v>
      </c>
      <c r="L400">
        <v>4</v>
      </c>
      <c r="M400" s="7">
        <v>70.73</v>
      </c>
      <c r="N400" s="7">
        <v>3620.13</v>
      </c>
      <c r="O400" t="s">
        <v>20</v>
      </c>
    </row>
    <row r="401" spans="1:15" x14ac:dyDescent="0.3">
      <c r="A401" t="s">
        <v>426</v>
      </c>
      <c r="B401" t="s">
        <v>15</v>
      </c>
      <c r="C401">
        <v>61</v>
      </c>
      <c r="D401" t="s">
        <v>16</v>
      </c>
      <c r="E401">
        <v>51</v>
      </c>
      <c r="F401" t="str">
        <f t="shared" si="6"/>
        <v>49+ Months</v>
      </c>
      <c r="G401" t="s">
        <v>23</v>
      </c>
      <c r="H401" t="s">
        <v>36</v>
      </c>
      <c r="I401" t="s">
        <v>24</v>
      </c>
      <c r="J401" t="s">
        <v>20</v>
      </c>
      <c r="K401" t="s">
        <v>20</v>
      </c>
      <c r="L401">
        <v>5</v>
      </c>
      <c r="M401" s="7">
        <v>59.33</v>
      </c>
      <c r="N401" s="7">
        <v>2949.97</v>
      </c>
      <c r="O401" t="s">
        <v>16</v>
      </c>
    </row>
    <row r="402" spans="1:15" x14ac:dyDescent="0.3">
      <c r="A402" t="s">
        <v>427</v>
      </c>
      <c r="B402" t="s">
        <v>22</v>
      </c>
      <c r="C402">
        <v>73</v>
      </c>
      <c r="D402" t="s">
        <v>16</v>
      </c>
      <c r="E402">
        <v>3</v>
      </c>
      <c r="F402" t="str">
        <f t="shared" si="6"/>
        <v>0-6 Months</v>
      </c>
      <c r="G402" t="s">
        <v>23</v>
      </c>
      <c r="H402" t="s">
        <v>20</v>
      </c>
      <c r="I402" t="s">
        <v>24</v>
      </c>
      <c r="J402" t="s">
        <v>16</v>
      </c>
      <c r="K402" t="s">
        <v>20</v>
      </c>
      <c r="L402">
        <v>6</v>
      </c>
      <c r="M402" s="7">
        <v>43.93</v>
      </c>
      <c r="N402" s="7">
        <v>139.24</v>
      </c>
      <c r="O402" t="s">
        <v>20</v>
      </c>
    </row>
    <row r="403" spans="1:15" x14ac:dyDescent="0.3">
      <c r="A403" t="s">
        <v>428</v>
      </c>
      <c r="B403" t="s">
        <v>22</v>
      </c>
      <c r="C403">
        <v>45</v>
      </c>
      <c r="D403" t="s">
        <v>20</v>
      </c>
      <c r="E403">
        <v>42</v>
      </c>
      <c r="F403" t="str">
        <f t="shared" si="6"/>
        <v>25-48 Months</v>
      </c>
      <c r="G403" t="s">
        <v>17</v>
      </c>
      <c r="H403" t="s">
        <v>18</v>
      </c>
      <c r="I403" t="s">
        <v>30</v>
      </c>
      <c r="J403" t="s">
        <v>20</v>
      </c>
      <c r="K403" t="s">
        <v>16</v>
      </c>
      <c r="L403">
        <v>5</v>
      </c>
      <c r="M403" s="7">
        <v>77.45</v>
      </c>
      <c r="N403" s="7">
        <v>3428.81</v>
      </c>
      <c r="O403" t="s">
        <v>20</v>
      </c>
    </row>
    <row r="404" spans="1:15" x14ac:dyDescent="0.3">
      <c r="A404" t="s">
        <v>429</v>
      </c>
      <c r="B404" t="s">
        <v>15</v>
      </c>
      <c r="C404">
        <v>46</v>
      </c>
      <c r="D404" t="s">
        <v>20</v>
      </c>
      <c r="E404">
        <v>32</v>
      </c>
      <c r="F404" t="str">
        <f t="shared" si="6"/>
        <v>25-48 Months</v>
      </c>
      <c r="G404" t="s">
        <v>17</v>
      </c>
      <c r="H404" t="s">
        <v>20</v>
      </c>
      <c r="I404" t="s">
        <v>30</v>
      </c>
      <c r="J404" t="s">
        <v>20</v>
      </c>
      <c r="K404" t="s">
        <v>16</v>
      </c>
      <c r="L404">
        <v>6</v>
      </c>
      <c r="M404" s="7">
        <v>44.52</v>
      </c>
      <c r="N404" s="7">
        <v>1313.3</v>
      </c>
      <c r="O404" t="s">
        <v>20</v>
      </c>
    </row>
    <row r="405" spans="1:15" x14ac:dyDescent="0.3">
      <c r="A405" t="s">
        <v>430</v>
      </c>
      <c r="B405" t="s">
        <v>15</v>
      </c>
      <c r="C405">
        <v>38</v>
      </c>
      <c r="D405" t="s">
        <v>20</v>
      </c>
      <c r="E405">
        <v>51</v>
      </c>
      <c r="F405" t="str">
        <f t="shared" si="6"/>
        <v>49+ Months</v>
      </c>
      <c r="G405" t="s">
        <v>17</v>
      </c>
      <c r="H405" t="s">
        <v>18</v>
      </c>
      <c r="I405" t="s">
        <v>19</v>
      </c>
      <c r="J405" t="s">
        <v>16</v>
      </c>
      <c r="K405" t="s">
        <v>20</v>
      </c>
      <c r="L405">
        <v>3</v>
      </c>
      <c r="M405" s="7">
        <v>76.48</v>
      </c>
      <c r="N405" s="7">
        <v>3920.62</v>
      </c>
      <c r="O405" t="s">
        <v>20</v>
      </c>
    </row>
    <row r="406" spans="1:15" x14ac:dyDescent="0.3">
      <c r="A406" t="s">
        <v>431</v>
      </c>
      <c r="B406" t="s">
        <v>22</v>
      </c>
      <c r="C406">
        <v>64</v>
      </c>
      <c r="D406" t="s">
        <v>16</v>
      </c>
      <c r="E406">
        <v>46</v>
      </c>
      <c r="F406" t="str">
        <f t="shared" si="6"/>
        <v>25-48 Months</v>
      </c>
      <c r="G406" t="s">
        <v>17</v>
      </c>
      <c r="H406" t="s">
        <v>20</v>
      </c>
      <c r="I406" t="s">
        <v>27</v>
      </c>
      <c r="J406" t="s">
        <v>20</v>
      </c>
      <c r="K406" t="s">
        <v>20</v>
      </c>
      <c r="L406">
        <v>6</v>
      </c>
      <c r="M406" s="7">
        <v>57.88</v>
      </c>
      <c r="N406" s="7">
        <v>2544.71</v>
      </c>
      <c r="O406" t="s">
        <v>20</v>
      </c>
    </row>
    <row r="407" spans="1:15" x14ac:dyDescent="0.3">
      <c r="A407" t="s">
        <v>432</v>
      </c>
      <c r="B407" t="s">
        <v>22</v>
      </c>
      <c r="C407">
        <v>33</v>
      </c>
      <c r="D407" t="s">
        <v>20</v>
      </c>
      <c r="E407">
        <v>21</v>
      </c>
      <c r="F407" t="str">
        <f t="shared" si="6"/>
        <v>13-24 Months</v>
      </c>
      <c r="G407" t="s">
        <v>23</v>
      </c>
      <c r="H407" t="s">
        <v>20</v>
      </c>
      <c r="I407" t="s">
        <v>24</v>
      </c>
      <c r="J407" t="s">
        <v>20</v>
      </c>
      <c r="K407" t="s">
        <v>20</v>
      </c>
      <c r="L407">
        <v>3</v>
      </c>
      <c r="M407" s="7">
        <v>39.020000000000003</v>
      </c>
      <c r="N407" s="7">
        <v>795.83</v>
      </c>
      <c r="O407" t="s">
        <v>16</v>
      </c>
    </row>
    <row r="408" spans="1:15" x14ac:dyDescent="0.3">
      <c r="A408" t="s">
        <v>433</v>
      </c>
      <c r="B408" t="s">
        <v>22</v>
      </c>
      <c r="C408">
        <v>54</v>
      </c>
      <c r="D408" t="s">
        <v>20</v>
      </c>
      <c r="E408">
        <v>44</v>
      </c>
      <c r="F408" t="str">
        <f t="shared" si="6"/>
        <v>25-48 Months</v>
      </c>
      <c r="G408" t="s">
        <v>17</v>
      </c>
      <c r="H408" t="s">
        <v>36</v>
      </c>
      <c r="I408" t="s">
        <v>27</v>
      </c>
      <c r="J408" t="s">
        <v>20</v>
      </c>
      <c r="K408" t="s">
        <v>16</v>
      </c>
      <c r="L408">
        <v>5</v>
      </c>
      <c r="M408" s="7">
        <v>58.99</v>
      </c>
      <c r="N408" s="7">
        <v>2396.91</v>
      </c>
      <c r="O408" t="s">
        <v>20</v>
      </c>
    </row>
    <row r="409" spans="1:15" x14ac:dyDescent="0.3">
      <c r="A409" t="s">
        <v>434</v>
      </c>
      <c r="B409" t="s">
        <v>22</v>
      </c>
      <c r="C409">
        <v>37</v>
      </c>
      <c r="D409" t="s">
        <v>20</v>
      </c>
      <c r="E409">
        <v>11</v>
      </c>
      <c r="F409" t="str">
        <f t="shared" si="6"/>
        <v>7-12 Months</v>
      </c>
      <c r="G409" t="s">
        <v>17</v>
      </c>
      <c r="H409" t="s">
        <v>36</v>
      </c>
      <c r="I409" t="s">
        <v>19</v>
      </c>
      <c r="J409" t="s">
        <v>20</v>
      </c>
      <c r="K409" t="s">
        <v>20</v>
      </c>
      <c r="L409">
        <v>5</v>
      </c>
      <c r="M409" s="7">
        <v>66.069999999999993</v>
      </c>
      <c r="N409" s="7">
        <v>755.81</v>
      </c>
      <c r="O409" t="s">
        <v>16</v>
      </c>
    </row>
    <row r="410" spans="1:15" x14ac:dyDescent="0.3">
      <c r="A410" t="s">
        <v>435</v>
      </c>
      <c r="B410" t="s">
        <v>22</v>
      </c>
      <c r="C410">
        <v>23</v>
      </c>
      <c r="D410" t="s">
        <v>20</v>
      </c>
      <c r="E410">
        <v>68</v>
      </c>
      <c r="F410" t="str">
        <f t="shared" si="6"/>
        <v>49+ Months</v>
      </c>
      <c r="G410" t="s">
        <v>17</v>
      </c>
      <c r="H410" t="s">
        <v>36</v>
      </c>
      <c r="I410" t="s">
        <v>24</v>
      </c>
      <c r="J410" t="s">
        <v>20</v>
      </c>
      <c r="K410" t="s">
        <v>20</v>
      </c>
      <c r="L410">
        <v>5</v>
      </c>
      <c r="M410" s="7">
        <v>63.77</v>
      </c>
      <c r="N410" s="7">
        <v>4648.99</v>
      </c>
      <c r="O410" t="s">
        <v>20</v>
      </c>
    </row>
    <row r="411" spans="1:15" x14ac:dyDescent="0.3">
      <c r="A411" t="s">
        <v>436</v>
      </c>
      <c r="B411" t="s">
        <v>22</v>
      </c>
      <c r="C411">
        <v>36</v>
      </c>
      <c r="D411" t="s">
        <v>20</v>
      </c>
      <c r="E411">
        <v>1</v>
      </c>
      <c r="F411" t="str">
        <f t="shared" si="6"/>
        <v>0-6 Months</v>
      </c>
      <c r="G411" t="s">
        <v>17</v>
      </c>
      <c r="H411" t="s">
        <v>20</v>
      </c>
      <c r="I411" t="s">
        <v>27</v>
      </c>
      <c r="J411" t="s">
        <v>20</v>
      </c>
      <c r="K411" t="s">
        <v>16</v>
      </c>
      <c r="L411">
        <v>1</v>
      </c>
      <c r="M411" s="7">
        <v>30.18</v>
      </c>
      <c r="N411" s="7">
        <v>28.82</v>
      </c>
      <c r="O411" t="s">
        <v>16</v>
      </c>
    </row>
    <row r="412" spans="1:15" x14ac:dyDescent="0.3">
      <c r="A412" t="s">
        <v>437</v>
      </c>
      <c r="B412" t="s">
        <v>15</v>
      </c>
      <c r="C412">
        <v>74</v>
      </c>
      <c r="D412" t="s">
        <v>16</v>
      </c>
      <c r="E412">
        <v>63</v>
      </c>
      <c r="F412" t="str">
        <f t="shared" si="6"/>
        <v>49+ Months</v>
      </c>
      <c r="G412" t="s">
        <v>17</v>
      </c>
      <c r="H412" t="s">
        <v>20</v>
      </c>
      <c r="I412" t="s">
        <v>30</v>
      </c>
      <c r="J412" t="s">
        <v>16</v>
      </c>
      <c r="K412" t="s">
        <v>16</v>
      </c>
      <c r="L412">
        <v>4</v>
      </c>
      <c r="M412" s="7">
        <v>40.840000000000003</v>
      </c>
      <c r="N412" s="7">
        <v>2507.7800000000002</v>
      </c>
      <c r="O412" t="s">
        <v>20</v>
      </c>
    </row>
    <row r="413" spans="1:15" x14ac:dyDescent="0.3">
      <c r="A413" t="s">
        <v>438</v>
      </c>
      <c r="B413" t="s">
        <v>22</v>
      </c>
      <c r="C413">
        <v>22</v>
      </c>
      <c r="D413" t="s">
        <v>20</v>
      </c>
      <c r="E413">
        <v>24</v>
      </c>
      <c r="F413" t="str">
        <f t="shared" si="6"/>
        <v>13-24 Months</v>
      </c>
      <c r="G413" t="s">
        <v>17</v>
      </c>
      <c r="H413" t="s">
        <v>36</v>
      </c>
      <c r="I413" t="s">
        <v>24</v>
      </c>
      <c r="J413" t="s">
        <v>20</v>
      </c>
      <c r="K413" t="s">
        <v>20</v>
      </c>
      <c r="L413">
        <v>5</v>
      </c>
      <c r="M413" s="7">
        <v>75.08</v>
      </c>
      <c r="N413" s="7">
        <v>1717.28</v>
      </c>
      <c r="O413" t="s">
        <v>16</v>
      </c>
    </row>
    <row r="414" spans="1:15" x14ac:dyDescent="0.3">
      <c r="A414" t="s">
        <v>439</v>
      </c>
      <c r="B414" t="s">
        <v>22</v>
      </c>
      <c r="C414">
        <v>20</v>
      </c>
      <c r="D414" t="s">
        <v>20</v>
      </c>
      <c r="E414">
        <v>13</v>
      </c>
      <c r="F414" t="str">
        <f t="shared" si="6"/>
        <v>13-24 Months</v>
      </c>
      <c r="G414" t="s">
        <v>35</v>
      </c>
      <c r="H414" t="s">
        <v>36</v>
      </c>
      <c r="I414" t="s">
        <v>24</v>
      </c>
      <c r="J414" t="s">
        <v>16</v>
      </c>
      <c r="K414" t="s">
        <v>20</v>
      </c>
      <c r="L414">
        <v>1</v>
      </c>
      <c r="M414" s="7">
        <v>47.69</v>
      </c>
      <c r="N414" s="7">
        <v>662.63</v>
      </c>
      <c r="O414" t="s">
        <v>20</v>
      </c>
    </row>
    <row r="415" spans="1:15" x14ac:dyDescent="0.3">
      <c r="A415" t="s">
        <v>440</v>
      </c>
      <c r="B415" t="s">
        <v>15</v>
      </c>
      <c r="C415">
        <v>18</v>
      </c>
      <c r="D415" t="s">
        <v>20</v>
      </c>
      <c r="E415">
        <v>11</v>
      </c>
      <c r="F415" t="str">
        <f t="shared" si="6"/>
        <v>7-12 Months</v>
      </c>
      <c r="G415" t="s">
        <v>17</v>
      </c>
      <c r="H415" t="s">
        <v>36</v>
      </c>
      <c r="I415" t="s">
        <v>24</v>
      </c>
      <c r="J415" t="s">
        <v>20</v>
      </c>
      <c r="K415" t="s">
        <v>20</v>
      </c>
      <c r="L415">
        <v>2</v>
      </c>
      <c r="M415" s="7">
        <v>47.07</v>
      </c>
      <c r="N415" s="7">
        <v>477.12</v>
      </c>
      <c r="O415" t="s">
        <v>20</v>
      </c>
    </row>
    <row r="416" spans="1:15" x14ac:dyDescent="0.3">
      <c r="A416" t="s">
        <v>441</v>
      </c>
      <c r="B416" t="s">
        <v>15</v>
      </c>
      <c r="C416">
        <v>75</v>
      </c>
      <c r="D416" t="s">
        <v>16</v>
      </c>
      <c r="E416">
        <v>51</v>
      </c>
      <c r="F416" t="str">
        <f t="shared" si="6"/>
        <v>49+ Months</v>
      </c>
      <c r="G416" t="s">
        <v>17</v>
      </c>
      <c r="H416" t="s">
        <v>20</v>
      </c>
      <c r="I416" t="s">
        <v>30</v>
      </c>
      <c r="J416" t="s">
        <v>20</v>
      </c>
      <c r="K416" t="s">
        <v>20</v>
      </c>
      <c r="L416">
        <v>1</v>
      </c>
      <c r="M416" s="7">
        <v>23.56</v>
      </c>
      <c r="N416" s="7">
        <v>1217.68</v>
      </c>
      <c r="O416" t="s">
        <v>20</v>
      </c>
    </row>
    <row r="417" spans="1:15" x14ac:dyDescent="0.3">
      <c r="A417" t="s">
        <v>442</v>
      </c>
      <c r="B417" t="s">
        <v>15</v>
      </c>
      <c r="C417">
        <v>55</v>
      </c>
      <c r="D417" t="s">
        <v>20</v>
      </c>
      <c r="E417">
        <v>17</v>
      </c>
      <c r="F417" t="str">
        <f t="shared" si="6"/>
        <v>13-24 Months</v>
      </c>
      <c r="G417" t="s">
        <v>23</v>
      </c>
      <c r="H417" t="s">
        <v>36</v>
      </c>
      <c r="I417" t="s">
        <v>24</v>
      </c>
      <c r="J417" t="s">
        <v>20</v>
      </c>
      <c r="K417" t="s">
        <v>20</v>
      </c>
      <c r="L417">
        <v>3</v>
      </c>
      <c r="M417" s="7">
        <v>61.31</v>
      </c>
      <c r="N417" s="7">
        <v>1104.0999999999999</v>
      </c>
      <c r="O417" t="s">
        <v>16</v>
      </c>
    </row>
    <row r="418" spans="1:15" x14ac:dyDescent="0.3">
      <c r="A418" t="s">
        <v>443</v>
      </c>
      <c r="B418" t="s">
        <v>15</v>
      </c>
      <c r="C418">
        <v>32</v>
      </c>
      <c r="D418" t="s">
        <v>20</v>
      </c>
      <c r="E418">
        <v>24</v>
      </c>
      <c r="F418" t="str">
        <f t="shared" si="6"/>
        <v>13-24 Months</v>
      </c>
      <c r="G418" t="s">
        <v>17</v>
      </c>
      <c r="H418" t="s">
        <v>20</v>
      </c>
      <c r="I418" t="s">
        <v>24</v>
      </c>
      <c r="J418" t="s">
        <v>20</v>
      </c>
      <c r="K418" t="s">
        <v>16</v>
      </c>
      <c r="L418">
        <v>5</v>
      </c>
      <c r="M418" s="7">
        <v>36.69</v>
      </c>
      <c r="N418" s="7">
        <v>836.36</v>
      </c>
      <c r="O418" t="s">
        <v>20</v>
      </c>
    </row>
    <row r="419" spans="1:15" x14ac:dyDescent="0.3">
      <c r="A419" t="s">
        <v>444</v>
      </c>
      <c r="B419" t="s">
        <v>22</v>
      </c>
      <c r="C419">
        <v>51</v>
      </c>
      <c r="D419" t="s">
        <v>20</v>
      </c>
      <c r="E419">
        <v>19</v>
      </c>
      <c r="F419" t="str">
        <f t="shared" si="6"/>
        <v>13-24 Months</v>
      </c>
      <c r="G419" t="s">
        <v>23</v>
      </c>
      <c r="H419" t="s">
        <v>36</v>
      </c>
      <c r="I419" t="s">
        <v>24</v>
      </c>
      <c r="J419" t="s">
        <v>20</v>
      </c>
      <c r="K419" t="s">
        <v>20</v>
      </c>
      <c r="L419">
        <v>2</v>
      </c>
      <c r="M419" s="7">
        <v>60.5</v>
      </c>
      <c r="N419" s="7">
        <v>1166.05</v>
      </c>
      <c r="O419" t="s">
        <v>20</v>
      </c>
    </row>
    <row r="420" spans="1:15" x14ac:dyDescent="0.3">
      <c r="A420" t="s">
        <v>445</v>
      </c>
      <c r="B420" t="s">
        <v>22</v>
      </c>
      <c r="C420">
        <v>52</v>
      </c>
      <c r="D420" t="s">
        <v>20</v>
      </c>
      <c r="E420">
        <v>37</v>
      </c>
      <c r="F420" t="str">
        <f t="shared" si="6"/>
        <v>25-48 Months</v>
      </c>
      <c r="G420" t="s">
        <v>23</v>
      </c>
      <c r="H420" t="s">
        <v>18</v>
      </c>
      <c r="I420" t="s">
        <v>30</v>
      </c>
      <c r="J420" t="s">
        <v>20</v>
      </c>
      <c r="K420" t="s">
        <v>20</v>
      </c>
      <c r="L420">
        <v>4</v>
      </c>
      <c r="M420" s="7">
        <v>65.58</v>
      </c>
      <c r="N420" s="7">
        <v>2252.0100000000002</v>
      </c>
      <c r="O420" t="s">
        <v>20</v>
      </c>
    </row>
    <row r="421" spans="1:15" x14ac:dyDescent="0.3">
      <c r="A421" t="s">
        <v>446</v>
      </c>
      <c r="B421" t="s">
        <v>22</v>
      </c>
      <c r="C421">
        <v>66</v>
      </c>
      <c r="D421" t="s">
        <v>16</v>
      </c>
      <c r="E421">
        <v>8</v>
      </c>
      <c r="F421" t="str">
        <f t="shared" si="6"/>
        <v>7-12 Months</v>
      </c>
      <c r="G421" t="s">
        <v>17</v>
      </c>
      <c r="H421" t="s">
        <v>18</v>
      </c>
      <c r="I421" t="s">
        <v>27</v>
      </c>
      <c r="J421" t="s">
        <v>20</v>
      </c>
      <c r="K421" t="s">
        <v>20</v>
      </c>
      <c r="L421">
        <v>8</v>
      </c>
      <c r="M421" s="7">
        <v>103.58</v>
      </c>
      <c r="N421" s="7">
        <v>870.35</v>
      </c>
      <c r="O421" t="s">
        <v>20</v>
      </c>
    </row>
    <row r="422" spans="1:15" x14ac:dyDescent="0.3">
      <c r="A422" t="s">
        <v>447</v>
      </c>
      <c r="B422" t="s">
        <v>22</v>
      </c>
      <c r="C422">
        <v>42</v>
      </c>
      <c r="D422" t="s">
        <v>20</v>
      </c>
      <c r="E422">
        <v>28</v>
      </c>
      <c r="F422" t="str">
        <f t="shared" si="6"/>
        <v>25-48 Months</v>
      </c>
      <c r="G422" t="s">
        <v>17</v>
      </c>
      <c r="H422" t="s">
        <v>18</v>
      </c>
      <c r="I422" t="s">
        <v>27</v>
      </c>
      <c r="J422" t="s">
        <v>20</v>
      </c>
      <c r="K422" t="s">
        <v>16</v>
      </c>
      <c r="L422">
        <v>4</v>
      </c>
      <c r="M422" s="7">
        <v>84.58</v>
      </c>
      <c r="N422" s="7">
        <v>2282.77</v>
      </c>
      <c r="O422" t="s">
        <v>16</v>
      </c>
    </row>
    <row r="423" spans="1:15" x14ac:dyDescent="0.3">
      <c r="A423" t="s">
        <v>448</v>
      </c>
      <c r="B423" t="s">
        <v>22</v>
      </c>
      <c r="C423">
        <v>41</v>
      </c>
      <c r="D423" t="s">
        <v>20</v>
      </c>
      <c r="E423">
        <v>5</v>
      </c>
      <c r="F423" t="str">
        <f t="shared" si="6"/>
        <v>0-6 Months</v>
      </c>
      <c r="G423" t="s">
        <v>17</v>
      </c>
      <c r="H423" t="s">
        <v>18</v>
      </c>
      <c r="I423" t="s">
        <v>24</v>
      </c>
      <c r="J423" t="s">
        <v>20</v>
      </c>
      <c r="K423" t="s">
        <v>20</v>
      </c>
      <c r="L423">
        <v>7</v>
      </c>
      <c r="M423" s="7">
        <v>87.92</v>
      </c>
      <c r="N423" s="7">
        <v>473.98</v>
      </c>
      <c r="O423" t="s">
        <v>16</v>
      </c>
    </row>
    <row r="424" spans="1:15" x14ac:dyDescent="0.3">
      <c r="A424" t="s">
        <v>449</v>
      </c>
      <c r="B424" t="s">
        <v>22</v>
      </c>
      <c r="C424">
        <v>29</v>
      </c>
      <c r="D424" t="s">
        <v>20</v>
      </c>
      <c r="E424">
        <v>17</v>
      </c>
      <c r="F424" t="str">
        <f t="shared" si="6"/>
        <v>13-24 Months</v>
      </c>
      <c r="G424" t="s">
        <v>17</v>
      </c>
      <c r="H424" t="s">
        <v>18</v>
      </c>
      <c r="I424" t="s">
        <v>27</v>
      </c>
      <c r="J424" t="s">
        <v>16</v>
      </c>
      <c r="K424" t="s">
        <v>20</v>
      </c>
      <c r="L424">
        <v>4</v>
      </c>
      <c r="M424" s="7">
        <v>73.75</v>
      </c>
      <c r="N424" s="7">
        <v>1338.41</v>
      </c>
      <c r="O424" t="s">
        <v>16</v>
      </c>
    </row>
    <row r="425" spans="1:15" x14ac:dyDescent="0.3">
      <c r="A425" t="s">
        <v>450</v>
      </c>
      <c r="B425" t="s">
        <v>15</v>
      </c>
      <c r="C425">
        <v>35</v>
      </c>
      <c r="D425" t="s">
        <v>20</v>
      </c>
      <c r="E425">
        <v>36</v>
      </c>
      <c r="F425" t="str">
        <f t="shared" si="6"/>
        <v>25-48 Months</v>
      </c>
      <c r="G425" t="s">
        <v>17</v>
      </c>
      <c r="H425" t="s">
        <v>36</v>
      </c>
      <c r="I425" t="s">
        <v>30</v>
      </c>
      <c r="J425" t="s">
        <v>20</v>
      </c>
      <c r="K425" t="s">
        <v>16</v>
      </c>
      <c r="L425">
        <v>4</v>
      </c>
      <c r="M425" s="7">
        <v>67.63</v>
      </c>
      <c r="N425" s="7">
        <v>2525.2600000000002</v>
      </c>
      <c r="O425" t="s">
        <v>20</v>
      </c>
    </row>
    <row r="426" spans="1:15" x14ac:dyDescent="0.3">
      <c r="A426" t="s">
        <v>451</v>
      </c>
      <c r="B426" t="s">
        <v>22</v>
      </c>
      <c r="C426">
        <v>32</v>
      </c>
      <c r="D426" t="s">
        <v>20</v>
      </c>
      <c r="E426">
        <v>19</v>
      </c>
      <c r="F426" t="str">
        <f t="shared" si="6"/>
        <v>13-24 Months</v>
      </c>
      <c r="G426" t="s">
        <v>17</v>
      </c>
      <c r="H426" t="s">
        <v>18</v>
      </c>
      <c r="I426" t="s">
        <v>27</v>
      </c>
      <c r="J426" t="s">
        <v>20</v>
      </c>
      <c r="K426" t="s">
        <v>20</v>
      </c>
      <c r="L426">
        <v>4</v>
      </c>
      <c r="M426" s="7">
        <v>91.6</v>
      </c>
      <c r="N426" s="7">
        <v>1739.52</v>
      </c>
      <c r="O426" t="s">
        <v>20</v>
      </c>
    </row>
    <row r="427" spans="1:15" x14ac:dyDescent="0.3">
      <c r="A427" t="s">
        <v>452</v>
      </c>
      <c r="B427" t="s">
        <v>15</v>
      </c>
      <c r="C427">
        <v>61</v>
      </c>
      <c r="D427" t="s">
        <v>16</v>
      </c>
      <c r="E427">
        <v>64</v>
      </c>
      <c r="F427" t="str">
        <f t="shared" si="6"/>
        <v>49+ Months</v>
      </c>
      <c r="G427" t="s">
        <v>17</v>
      </c>
      <c r="H427" t="s">
        <v>18</v>
      </c>
      <c r="I427" t="s">
        <v>19</v>
      </c>
      <c r="J427" t="s">
        <v>16</v>
      </c>
      <c r="K427" t="s">
        <v>20</v>
      </c>
      <c r="L427">
        <v>3</v>
      </c>
      <c r="M427" s="7">
        <v>70.7</v>
      </c>
      <c r="N427" s="7">
        <v>4717.8</v>
      </c>
      <c r="O427" t="s">
        <v>20</v>
      </c>
    </row>
    <row r="428" spans="1:15" x14ac:dyDescent="0.3">
      <c r="A428" t="s">
        <v>453</v>
      </c>
      <c r="B428" t="s">
        <v>15</v>
      </c>
      <c r="C428">
        <v>33</v>
      </c>
      <c r="D428" t="s">
        <v>20</v>
      </c>
      <c r="E428">
        <v>11</v>
      </c>
      <c r="F428" t="str">
        <f t="shared" si="6"/>
        <v>7-12 Months</v>
      </c>
      <c r="G428" t="s">
        <v>17</v>
      </c>
      <c r="H428" t="s">
        <v>36</v>
      </c>
      <c r="I428" t="s">
        <v>19</v>
      </c>
      <c r="J428" t="s">
        <v>20</v>
      </c>
      <c r="K428" t="s">
        <v>20</v>
      </c>
      <c r="L428">
        <v>6</v>
      </c>
      <c r="M428" s="7">
        <v>71.06</v>
      </c>
      <c r="N428" s="7">
        <v>735.46</v>
      </c>
      <c r="O428" t="s">
        <v>20</v>
      </c>
    </row>
    <row r="429" spans="1:15" x14ac:dyDescent="0.3">
      <c r="A429" t="s">
        <v>454</v>
      </c>
      <c r="B429" t="s">
        <v>22</v>
      </c>
      <c r="C429">
        <v>44</v>
      </c>
      <c r="D429" t="s">
        <v>20</v>
      </c>
      <c r="E429">
        <v>54</v>
      </c>
      <c r="F429" t="str">
        <f t="shared" si="6"/>
        <v>49+ Months</v>
      </c>
      <c r="G429" t="s">
        <v>23</v>
      </c>
      <c r="H429" t="s">
        <v>20</v>
      </c>
      <c r="I429" t="s">
        <v>27</v>
      </c>
      <c r="J429" t="s">
        <v>20</v>
      </c>
      <c r="K429" t="s">
        <v>20</v>
      </c>
      <c r="L429">
        <v>1</v>
      </c>
      <c r="M429" s="7">
        <v>35.86</v>
      </c>
      <c r="N429" s="7">
        <v>1877.63</v>
      </c>
      <c r="O429" t="s">
        <v>20</v>
      </c>
    </row>
    <row r="430" spans="1:15" x14ac:dyDescent="0.3">
      <c r="A430" t="s">
        <v>455</v>
      </c>
      <c r="B430" t="s">
        <v>15</v>
      </c>
      <c r="C430">
        <v>25</v>
      </c>
      <c r="D430" t="s">
        <v>20</v>
      </c>
      <c r="E430">
        <v>45</v>
      </c>
      <c r="F430" t="str">
        <f t="shared" si="6"/>
        <v>25-48 Months</v>
      </c>
      <c r="G430" t="s">
        <v>23</v>
      </c>
      <c r="H430" t="s">
        <v>36</v>
      </c>
      <c r="I430" t="s">
        <v>24</v>
      </c>
      <c r="J430" t="s">
        <v>20</v>
      </c>
      <c r="K430" t="s">
        <v>20</v>
      </c>
      <c r="L430">
        <v>4</v>
      </c>
      <c r="M430" s="7">
        <v>63.22</v>
      </c>
      <c r="N430" s="7">
        <v>2629.55</v>
      </c>
      <c r="O430" t="s">
        <v>20</v>
      </c>
    </row>
    <row r="431" spans="1:15" x14ac:dyDescent="0.3">
      <c r="A431" t="s">
        <v>456</v>
      </c>
      <c r="B431" t="s">
        <v>22</v>
      </c>
      <c r="C431">
        <v>63</v>
      </c>
      <c r="D431" t="s">
        <v>16</v>
      </c>
      <c r="E431">
        <v>47</v>
      </c>
      <c r="F431" t="str">
        <f t="shared" si="6"/>
        <v>25-48 Months</v>
      </c>
      <c r="G431" t="s">
        <v>17</v>
      </c>
      <c r="H431" t="s">
        <v>20</v>
      </c>
      <c r="I431" t="s">
        <v>30</v>
      </c>
      <c r="J431" t="s">
        <v>20</v>
      </c>
      <c r="K431" t="s">
        <v>16</v>
      </c>
      <c r="L431">
        <v>2</v>
      </c>
      <c r="M431" s="7">
        <v>33.380000000000003</v>
      </c>
      <c r="N431" s="7">
        <v>1605.26</v>
      </c>
      <c r="O431" t="s">
        <v>16</v>
      </c>
    </row>
    <row r="432" spans="1:15" x14ac:dyDescent="0.3">
      <c r="A432" t="s">
        <v>457</v>
      </c>
      <c r="B432" t="s">
        <v>15</v>
      </c>
      <c r="C432">
        <v>42</v>
      </c>
      <c r="D432" t="s">
        <v>20</v>
      </c>
      <c r="E432">
        <v>12</v>
      </c>
      <c r="F432" t="str">
        <f t="shared" si="6"/>
        <v>7-12 Months</v>
      </c>
      <c r="G432" t="s">
        <v>17</v>
      </c>
      <c r="H432" t="s">
        <v>36</v>
      </c>
      <c r="I432" t="s">
        <v>27</v>
      </c>
      <c r="J432" t="s">
        <v>20</v>
      </c>
      <c r="K432" t="s">
        <v>20</v>
      </c>
      <c r="L432">
        <v>4</v>
      </c>
      <c r="M432" s="7">
        <v>56.27</v>
      </c>
      <c r="N432" s="7">
        <v>708.25</v>
      </c>
      <c r="O432" t="s">
        <v>20</v>
      </c>
    </row>
    <row r="433" spans="1:15" x14ac:dyDescent="0.3">
      <c r="A433" t="s">
        <v>458</v>
      </c>
      <c r="B433" t="s">
        <v>22</v>
      </c>
      <c r="C433">
        <v>34</v>
      </c>
      <c r="D433" t="s">
        <v>20</v>
      </c>
      <c r="E433">
        <v>21</v>
      </c>
      <c r="F433" t="str">
        <f t="shared" si="6"/>
        <v>13-24 Months</v>
      </c>
      <c r="G433" t="s">
        <v>35</v>
      </c>
      <c r="H433" t="s">
        <v>18</v>
      </c>
      <c r="I433" t="s">
        <v>27</v>
      </c>
      <c r="J433" t="s">
        <v>20</v>
      </c>
      <c r="K433" t="s">
        <v>20</v>
      </c>
      <c r="L433">
        <v>5</v>
      </c>
      <c r="M433" s="7">
        <v>84.95</v>
      </c>
      <c r="N433" s="7">
        <v>1911.33</v>
      </c>
      <c r="O433" t="s">
        <v>20</v>
      </c>
    </row>
    <row r="434" spans="1:15" x14ac:dyDescent="0.3">
      <c r="A434" t="s">
        <v>459</v>
      </c>
      <c r="B434" t="s">
        <v>15</v>
      </c>
      <c r="C434">
        <v>46</v>
      </c>
      <c r="D434" t="s">
        <v>20</v>
      </c>
      <c r="E434">
        <v>11</v>
      </c>
      <c r="F434" t="str">
        <f t="shared" si="6"/>
        <v>7-12 Months</v>
      </c>
      <c r="G434" t="s">
        <v>23</v>
      </c>
      <c r="H434" t="s">
        <v>36</v>
      </c>
      <c r="I434" t="s">
        <v>27</v>
      </c>
      <c r="J434" t="s">
        <v>20</v>
      </c>
      <c r="K434" t="s">
        <v>20</v>
      </c>
      <c r="L434">
        <v>6</v>
      </c>
      <c r="M434" s="7">
        <v>52.4</v>
      </c>
      <c r="N434" s="7">
        <v>593.6</v>
      </c>
      <c r="O434" t="s">
        <v>20</v>
      </c>
    </row>
    <row r="435" spans="1:15" x14ac:dyDescent="0.3">
      <c r="A435" t="s">
        <v>460</v>
      </c>
      <c r="B435" t="s">
        <v>22</v>
      </c>
      <c r="C435">
        <v>70</v>
      </c>
      <c r="D435" t="s">
        <v>16</v>
      </c>
      <c r="E435">
        <v>5</v>
      </c>
      <c r="F435" t="str">
        <f t="shared" si="6"/>
        <v>0-6 Months</v>
      </c>
      <c r="G435" t="s">
        <v>35</v>
      </c>
      <c r="H435" t="s">
        <v>36</v>
      </c>
      <c r="I435" t="s">
        <v>30</v>
      </c>
      <c r="J435" t="s">
        <v>16</v>
      </c>
      <c r="K435" t="s">
        <v>20</v>
      </c>
      <c r="L435">
        <v>5</v>
      </c>
      <c r="M435" s="7">
        <v>72.39</v>
      </c>
      <c r="N435" s="7">
        <v>375.39</v>
      </c>
      <c r="O435" t="s">
        <v>20</v>
      </c>
    </row>
    <row r="436" spans="1:15" x14ac:dyDescent="0.3">
      <c r="A436" t="s">
        <v>461</v>
      </c>
      <c r="B436" t="s">
        <v>22</v>
      </c>
      <c r="C436">
        <v>25</v>
      </c>
      <c r="D436" t="s">
        <v>20</v>
      </c>
      <c r="E436">
        <v>56</v>
      </c>
      <c r="F436" t="str">
        <f t="shared" si="6"/>
        <v>49+ Months</v>
      </c>
      <c r="G436" t="s">
        <v>17</v>
      </c>
      <c r="H436" t="s">
        <v>18</v>
      </c>
      <c r="I436" t="s">
        <v>24</v>
      </c>
      <c r="J436" t="s">
        <v>16</v>
      </c>
      <c r="K436" t="s">
        <v>20</v>
      </c>
      <c r="L436">
        <v>2</v>
      </c>
      <c r="M436" s="7">
        <v>59.05</v>
      </c>
      <c r="N436" s="7">
        <v>3516.03</v>
      </c>
      <c r="O436" t="s">
        <v>20</v>
      </c>
    </row>
    <row r="437" spans="1:15" x14ac:dyDescent="0.3">
      <c r="A437" t="s">
        <v>462</v>
      </c>
      <c r="B437" t="s">
        <v>22</v>
      </c>
      <c r="C437">
        <v>32</v>
      </c>
      <c r="D437" t="s">
        <v>20</v>
      </c>
      <c r="E437">
        <v>20</v>
      </c>
      <c r="F437" t="str">
        <f t="shared" si="6"/>
        <v>13-24 Months</v>
      </c>
      <c r="G437" t="s">
        <v>23</v>
      </c>
      <c r="H437" t="s">
        <v>18</v>
      </c>
      <c r="I437" t="s">
        <v>24</v>
      </c>
      <c r="J437" t="s">
        <v>20</v>
      </c>
      <c r="K437" t="s">
        <v>16</v>
      </c>
      <c r="L437">
        <v>3</v>
      </c>
      <c r="M437" s="7">
        <v>69.13</v>
      </c>
      <c r="N437" s="7">
        <v>1479.13</v>
      </c>
      <c r="O437" t="s">
        <v>16</v>
      </c>
    </row>
    <row r="438" spans="1:15" x14ac:dyDescent="0.3">
      <c r="A438" t="s">
        <v>463</v>
      </c>
      <c r="B438" t="s">
        <v>22</v>
      </c>
      <c r="C438">
        <v>44</v>
      </c>
      <c r="D438" t="s">
        <v>20</v>
      </c>
      <c r="E438">
        <v>41</v>
      </c>
      <c r="F438" t="str">
        <f t="shared" si="6"/>
        <v>25-48 Months</v>
      </c>
      <c r="G438" t="s">
        <v>17</v>
      </c>
      <c r="H438" t="s">
        <v>36</v>
      </c>
      <c r="I438" t="s">
        <v>19</v>
      </c>
      <c r="J438" t="s">
        <v>20</v>
      </c>
      <c r="K438" t="s">
        <v>16</v>
      </c>
      <c r="L438">
        <v>5</v>
      </c>
      <c r="M438" s="7">
        <v>60.64</v>
      </c>
      <c r="N438" s="7">
        <v>2482.7800000000002</v>
      </c>
      <c r="O438" t="s">
        <v>20</v>
      </c>
    </row>
    <row r="439" spans="1:15" x14ac:dyDescent="0.3">
      <c r="A439" t="s">
        <v>464</v>
      </c>
      <c r="B439" t="s">
        <v>22</v>
      </c>
      <c r="C439">
        <v>63</v>
      </c>
      <c r="D439" t="s">
        <v>16</v>
      </c>
      <c r="E439">
        <v>46</v>
      </c>
      <c r="F439" t="str">
        <f t="shared" si="6"/>
        <v>25-48 Months</v>
      </c>
      <c r="G439" t="s">
        <v>17</v>
      </c>
      <c r="H439" t="s">
        <v>18</v>
      </c>
      <c r="I439" t="s">
        <v>19</v>
      </c>
      <c r="J439" t="s">
        <v>16</v>
      </c>
      <c r="K439" t="s">
        <v>16</v>
      </c>
      <c r="L439">
        <v>6</v>
      </c>
      <c r="M439" s="7">
        <v>80.010000000000005</v>
      </c>
      <c r="N439" s="7">
        <v>3450.67</v>
      </c>
      <c r="O439" t="s">
        <v>20</v>
      </c>
    </row>
    <row r="440" spans="1:15" x14ac:dyDescent="0.3">
      <c r="A440" t="s">
        <v>465</v>
      </c>
      <c r="B440" t="s">
        <v>15</v>
      </c>
      <c r="C440">
        <v>67</v>
      </c>
      <c r="D440" t="s">
        <v>16</v>
      </c>
      <c r="E440">
        <v>12</v>
      </c>
      <c r="F440" t="str">
        <f t="shared" si="6"/>
        <v>7-12 Months</v>
      </c>
      <c r="G440" t="s">
        <v>17</v>
      </c>
      <c r="H440" t="s">
        <v>36</v>
      </c>
      <c r="I440" t="s">
        <v>24</v>
      </c>
      <c r="J440" t="s">
        <v>20</v>
      </c>
      <c r="K440" t="s">
        <v>16</v>
      </c>
      <c r="L440">
        <v>4</v>
      </c>
      <c r="M440" s="7">
        <v>51.1</v>
      </c>
      <c r="N440" s="7">
        <v>609.91</v>
      </c>
      <c r="O440" t="s">
        <v>20</v>
      </c>
    </row>
    <row r="441" spans="1:15" x14ac:dyDescent="0.3">
      <c r="A441" t="s">
        <v>466</v>
      </c>
      <c r="B441" t="s">
        <v>15</v>
      </c>
      <c r="C441">
        <v>69</v>
      </c>
      <c r="D441" t="s">
        <v>16</v>
      </c>
      <c r="E441">
        <v>70</v>
      </c>
      <c r="F441" t="str">
        <f t="shared" si="6"/>
        <v>49+ Months</v>
      </c>
      <c r="G441" t="s">
        <v>17</v>
      </c>
      <c r="H441" t="s">
        <v>18</v>
      </c>
      <c r="I441" t="s">
        <v>24</v>
      </c>
      <c r="J441" t="s">
        <v>16</v>
      </c>
      <c r="K441" t="s">
        <v>20</v>
      </c>
      <c r="L441">
        <v>1</v>
      </c>
      <c r="M441" s="7">
        <v>76.87</v>
      </c>
      <c r="N441" s="7">
        <v>5429.18</v>
      </c>
      <c r="O441" t="s">
        <v>20</v>
      </c>
    </row>
    <row r="442" spans="1:15" x14ac:dyDescent="0.3">
      <c r="A442" t="s">
        <v>467</v>
      </c>
      <c r="B442" t="s">
        <v>15</v>
      </c>
      <c r="C442">
        <v>24</v>
      </c>
      <c r="D442" t="s">
        <v>20</v>
      </c>
      <c r="E442">
        <v>17</v>
      </c>
      <c r="F442" t="str">
        <f t="shared" si="6"/>
        <v>13-24 Months</v>
      </c>
      <c r="G442" t="s">
        <v>17</v>
      </c>
      <c r="H442" t="s">
        <v>36</v>
      </c>
      <c r="I442" t="s">
        <v>30</v>
      </c>
      <c r="J442" t="s">
        <v>20</v>
      </c>
      <c r="K442" t="s">
        <v>20</v>
      </c>
      <c r="L442">
        <v>3</v>
      </c>
      <c r="M442" s="7">
        <v>67.569999999999993</v>
      </c>
      <c r="N442" s="7">
        <v>1172.8699999999999</v>
      </c>
      <c r="O442" t="s">
        <v>16</v>
      </c>
    </row>
    <row r="443" spans="1:15" x14ac:dyDescent="0.3">
      <c r="A443" t="s">
        <v>468</v>
      </c>
      <c r="B443" t="s">
        <v>22</v>
      </c>
      <c r="C443">
        <v>20</v>
      </c>
      <c r="D443" t="s">
        <v>20</v>
      </c>
      <c r="E443">
        <v>19</v>
      </c>
      <c r="F443" t="str">
        <f t="shared" si="6"/>
        <v>13-24 Months</v>
      </c>
      <c r="G443" t="s">
        <v>17</v>
      </c>
      <c r="H443" t="s">
        <v>36</v>
      </c>
      <c r="I443" t="s">
        <v>27</v>
      </c>
      <c r="J443" t="s">
        <v>16</v>
      </c>
      <c r="K443" t="s">
        <v>20</v>
      </c>
      <c r="L443">
        <v>6</v>
      </c>
      <c r="M443" s="7">
        <v>77.84</v>
      </c>
      <c r="N443" s="7">
        <v>1594.74</v>
      </c>
      <c r="O443" t="s">
        <v>20</v>
      </c>
    </row>
    <row r="444" spans="1:15" x14ac:dyDescent="0.3">
      <c r="A444" t="s">
        <v>469</v>
      </c>
      <c r="B444" t="s">
        <v>15</v>
      </c>
      <c r="C444">
        <v>46</v>
      </c>
      <c r="D444" t="s">
        <v>20</v>
      </c>
      <c r="E444">
        <v>26</v>
      </c>
      <c r="F444" t="str">
        <f t="shared" si="6"/>
        <v>25-48 Months</v>
      </c>
      <c r="G444" t="s">
        <v>23</v>
      </c>
      <c r="H444" t="s">
        <v>18</v>
      </c>
      <c r="I444" t="s">
        <v>27</v>
      </c>
      <c r="J444" t="s">
        <v>16</v>
      </c>
      <c r="K444" t="s">
        <v>16</v>
      </c>
      <c r="L444">
        <v>4</v>
      </c>
      <c r="M444" s="7">
        <v>84.85</v>
      </c>
      <c r="N444" s="7">
        <v>2353.4899999999998</v>
      </c>
      <c r="O444" t="s">
        <v>20</v>
      </c>
    </row>
    <row r="445" spans="1:15" x14ac:dyDescent="0.3">
      <c r="A445" t="s">
        <v>470</v>
      </c>
      <c r="B445" t="s">
        <v>22</v>
      </c>
      <c r="C445">
        <v>61</v>
      </c>
      <c r="D445" t="s">
        <v>16</v>
      </c>
      <c r="E445">
        <v>48</v>
      </c>
      <c r="F445" t="str">
        <f t="shared" si="6"/>
        <v>25-48 Months</v>
      </c>
      <c r="G445" t="s">
        <v>35</v>
      </c>
      <c r="H445" t="s">
        <v>18</v>
      </c>
      <c r="I445" t="s">
        <v>30</v>
      </c>
      <c r="J445" t="s">
        <v>16</v>
      </c>
      <c r="K445" t="s">
        <v>20</v>
      </c>
      <c r="L445">
        <v>4</v>
      </c>
      <c r="M445" s="7">
        <v>96.25</v>
      </c>
      <c r="N445" s="7">
        <v>4543.3900000000003</v>
      </c>
      <c r="O445" t="s">
        <v>20</v>
      </c>
    </row>
    <row r="446" spans="1:15" x14ac:dyDescent="0.3">
      <c r="A446" t="s">
        <v>471</v>
      </c>
      <c r="B446" t="s">
        <v>22</v>
      </c>
      <c r="C446">
        <v>70</v>
      </c>
      <c r="D446" t="s">
        <v>16</v>
      </c>
      <c r="E446">
        <v>52</v>
      </c>
      <c r="F446" t="str">
        <f t="shared" si="6"/>
        <v>49+ Months</v>
      </c>
      <c r="G446" t="s">
        <v>17</v>
      </c>
      <c r="H446" t="s">
        <v>36</v>
      </c>
      <c r="I446" t="s">
        <v>27</v>
      </c>
      <c r="J446" t="s">
        <v>20</v>
      </c>
      <c r="K446" t="s">
        <v>20</v>
      </c>
      <c r="L446">
        <v>6</v>
      </c>
      <c r="M446" s="7">
        <v>65.14</v>
      </c>
      <c r="N446" s="7">
        <v>3177.79</v>
      </c>
      <c r="O446" t="s">
        <v>20</v>
      </c>
    </row>
    <row r="447" spans="1:15" x14ac:dyDescent="0.3">
      <c r="A447" t="s">
        <v>472</v>
      </c>
      <c r="B447" t="s">
        <v>15</v>
      </c>
      <c r="C447">
        <v>41</v>
      </c>
      <c r="D447" t="s">
        <v>20</v>
      </c>
      <c r="E447">
        <v>70</v>
      </c>
      <c r="F447" t="str">
        <f t="shared" si="6"/>
        <v>49+ Months</v>
      </c>
      <c r="G447" t="s">
        <v>17</v>
      </c>
      <c r="H447" t="s">
        <v>20</v>
      </c>
      <c r="I447" t="s">
        <v>30</v>
      </c>
      <c r="J447" t="s">
        <v>20</v>
      </c>
      <c r="K447" t="s">
        <v>16</v>
      </c>
      <c r="L447">
        <v>6</v>
      </c>
      <c r="M447" s="7">
        <v>46.46</v>
      </c>
      <c r="N447" s="7">
        <v>3103.79</v>
      </c>
      <c r="O447" t="s">
        <v>20</v>
      </c>
    </row>
    <row r="448" spans="1:15" x14ac:dyDescent="0.3">
      <c r="A448" t="s">
        <v>473</v>
      </c>
      <c r="B448" t="s">
        <v>15</v>
      </c>
      <c r="C448">
        <v>75</v>
      </c>
      <c r="D448" t="s">
        <v>16</v>
      </c>
      <c r="E448">
        <v>55</v>
      </c>
      <c r="F448" t="str">
        <f t="shared" si="6"/>
        <v>49+ Months</v>
      </c>
      <c r="G448" t="s">
        <v>17</v>
      </c>
      <c r="H448" t="s">
        <v>20</v>
      </c>
      <c r="I448" t="s">
        <v>27</v>
      </c>
      <c r="J448" t="s">
        <v>16</v>
      </c>
      <c r="K448" t="s">
        <v>20</v>
      </c>
      <c r="L448">
        <v>2</v>
      </c>
      <c r="M448" s="7">
        <v>33.08</v>
      </c>
      <c r="N448" s="7">
        <v>1724.44</v>
      </c>
      <c r="O448" t="s">
        <v>20</v>
      </c>
    </row>
    <row r="449" spans="1:15" x14ac:dyDescent="0.3">
      <c r="A449" t="s">
        <v>474</v>
      </c>
      <c r="B449" t="s">
        <v>22</v>
      </c>
      <c r="C449">
        <v>20</v>
      </c>
      <c r="D449" t="s">
        <v>20</v>
      </c>
      <c r="E449">
        <v>33</v>
      </c>
      <c r="F449" t="str">
        <f t="shared" si="6"/>
        <v>25-48 Months</v>
      </c>
      <c r="G449" t="s">
        <v>23</v>
      </c>
      <c r="H449" t="s">
        <v>36</v>
      </c>
      <c r="I449" t="s">
        <v>30</v>
      </c>
      <c r="J449" t="s">
        <v>20</v>
      </c>
      <c r="K449" t="s">
        <v>20</v>
      </c>
      <c r="L449">
        <v>5</v>
      </c>
      <c r="M449" s="7">
        <v>73</v>
      </c>
      <c r="N449" s="7">
        <v>2353.5</v>
      </c>
      <c r="O449" t="s">
        <v>20</v>
      </c>
    </row>
    <row r="450" spans="1:15" x14ac:dyDescent="0.3">
      <c r="A450" t="s">
        <v>475</v>
      </c>
      <c r="B450" t="s">
        <v>15</v>
      </c>
      <c r="C450">
        <v>37</v>
      </c>
      <c r="D450" t="s">
        <v>20</v>
      </c>
      <c r="E450">
        <v>62</v>
      </c>
      <c r="F450" t="str">
        <f t="shared" ref="F450:F513" si="7">IF(E450&lt;=6,"0-6 Months",
 IF(E450&lt;=12,"7-12 Months",
 IF(E450&lt;=24,"13-24 Months",
 IF(E450&lt;=48,"25-48 Months","49+ Months"))))</f>
        <v>49+ Months</v>
      </c>
      <c r="G450" t="s">
        <v>17</v>
      </c>
      <c r="H450" t="s">
        <v>36</v>
      </c>
      <c r="I450" t="s">
        <v>27</v>
      </c>
      <c r="J450" t="s">
        <v>16</v>
      </c>
      <c r="K450" t="s">
        <v>20</v>
      </c>
      <c r="L450">
        <v>5</v>
      </c>
      <c r="M450" s="7">
        <v>67.099999999999994</v>
      </c>
      <c r="N450" s="7">
        <v>4410.8</v>
      </c>
      <c r="O450" t="s">
        <v>20</v>
      </c>
    </row>
    <row r="451" spans="1:15" x14ac:dyDescent="0.3">
      <c r="A451" t="s">
        <v>476</v>
      </c>
      <c r="B451" t="s">
        <v>22</v>
      </c>
      <c r="C451">
        <v>63</v>
      </c>
      <c r="D451" t="s">
        <v>16</v>
      </c>
      <c r="E451">
        <v>23</v>
      </c>
      <c r="F451" t="str">
        <f t="shared" si="7"/>
        <v>13-24 Months</v>
      </c>
      <c r="G451" t="s">
        <v>35</v>
      </c>
      <c r="H451" t="s">
        <v>18</v>
      </c>
      <c r="I451" t="s">
        <v>27</v>
      </c>
      <c r="J451" t="s">
        <v>20</v>
      </c>
      <c r="K451" t="s">
        <v>20</v>
      </c>
      <c r="L451">
        <v>5</v>
      </c>
      <c r="M451" s="7">
        <v>95.09</v>
      </c>
      <c r="N451" s="7">
        <v>2165.36</v>
      </c>
      <c r="O451" t="s">
        <v>20</v>
      </c>
    </row>
    <row r="452" spans="1:15" x14ac:dyDescent="0.3">
      <c r="A452" t="s">
        <v>477</v>
      </c>
      <c r="B452" t="s">
        <v>22</v>
      </c>
      <c r="C452">
        <v>32</v>
      </c>
      <c r="D452" t="s">
        <v>20</v>
      </c>
      <c r="E452">
        <v>15</v>
      </c>
      <c r="F452" t="str">
        <f t="shared" si="7"/>
        <v>13-24 Months</v>
      </c>
      <c r="G452" t="s">
        <v>17</v>
      </c>
      <c r="H452" t="s">
        <v>18</v>
      </c>
      <c r="I452" t="s">
        <v>27</v>
      </c>
      <c r="J452" t="s">
        <v>20</v>
      </c>
      <c r="K452" t="s">
        <v>20</v>
      </c>
      <c r="L452">
        <v>3</v>
      </c>
      <c r="M452" s="7">
        <v>75.459999999999994</v>
      </c>
      <c r="N452" s="7">
        <v>1144.08</v>
      </c>
      <c r="O452" t="s">
        <v>16</v>
      </c>
    </row>
    <row r="453" spans="1:15" x14ac:dyDescent="0.3">
      <c r="A453" t="s">
        <v>478</v>
      </c>
      <c r="B453" t="s">
        <v>22</v>
      </c>
      <c r="C453">
        <v>42</v>
      </c>
      <c r="D453" t="s">
        <v>20</v>
      </c>
      <c r="E453">
        <v>27</v>
      </c>
      <c r="F453" t="str">
        <f t="shared" si="7"/>
        <v>25-48 Months</v>
      </c>
      <c r="G453" t="s">
        <v>17</v>
      </c>
      <c r="H453" t="s">
        <v>18</v>
      </c>
      <c r="I453" t="s">
        <v>19</v>
      </c>
      <c r="J453" t="s">
        <v>20</v>
      </c>
      <c r="K453" t="s">
        <v>16</v>
      </c>
      <c r="L453">
        <v>5</v>
      </c>
      <c r="M453" s="7">
        <v>72.510000000000005</v>
      </c>
      <c r="N453" s="7">
        <v>1857.27</v>
      </c>
      <c r="O453" t="s">
        <v>20</v>
      </c>
    </row>
    <row r="454" spans="1:15" x14ac:dyDescent="0.3">
      <c r="A454" t="s">
        <v>479</v>
      </c>
      <c r="B454" t="s">
        <v>22</v>
      </c>
      <c r="C454">
        <v>47</v>
      </c>
      <c r="D454" t="s">
        <v>20</v>
      </c>
      <c r="E454">
        <v>64</v>
      </c>
      <c r="F454" t="str">
        <f t="shared" si="7"/>
        <v>49+ Months</v>
      </c>
      <c r="G454" t="s">
        <v>23</v>
      </c>
      <c r="H454" t="s">
        <v>36</v>
      </c>
      <c r="I454" t="s">
        <v>24</v>
      </c>
      <c r="J454" t="s">
        <v>20</v>
      </c>
      <c r="K454" t="s">
        <v>20</v>
      </c>
      <c r="L454">
        <v>8</v>
      </c>
      <c r="M454" s="7">
        <v>70.290000000000006</v>
      </c>
      <c r="N454" s="7">
        <v>4493.41</v>
      </c>
      <c r="O454" t="s">
        <v>20</v>
      </c>
    </row>
    <row r="455" spans="1:15" x14ac:dyDescent="0.3">
      <c r="A455" t="s">
        <v>480</v>
      </c>
      <c r="B455" t="s">
        <v>22</v>
      </c>
      <c r="C455">
        <v>31</v>
      </c>
      <c r="D455" t="s">
        <v>20</v>
      </c>
      <c r="E455">
        <v>51</v>
      </c>
      <c r="F455" t="str">
        <f t="shared" si="7"/>
        <v>49+ Months</v>
      </c>
      <c r="G455" t="s">
        <v>35</v>
      </c>
      <c r="H455" t="s">
        <v>18</v>
      </c>
      <c r="I455" t="s">
        <v>24</v>
      </c>
      <c r="J455" t="s">
        <v>16</v>
      </c>
      <c r="K455" t="s">
        <v>20</v>
      </c>
      <c r="L455">
        <v>7</v>
      </c>
      <c r="M455" s="7">
        <v>98.17</v>
      </c>
      <c r="N455" s="7">
        <v>5305.97</v>
      </c>
      <c r="O455" t="s">
        <v>20</v>
      </c>
    </row>
    <row r="456" spans="1:15" x14ac:dyDescent="0.3">
      <c r="A456" t="s">
        <v>481</v>
      </c>
      <c r="B456" t="s">
        <v>15</v>
      </c>
      <c r="C456">
        <v>24</v>
      </c>
      <c r="D456" t="s">
        <v>20</v>
      </c>
      <c r="E456">
        <v>53</v>
      </c>
      <c r="F456" t="str">
        <f t="shared" si="7"/>
        <v>49+ Months</v>
      </c>
      <c r="G456" t="s">
        <v>17</v>
      </c>
      <c r="H456" t="s">
        <v>18</v>
      </c>
      <c r="I456" t="s">
        <v>24</v>
      </c>
      <c r="J456" t="s">
        <v>20</v>
      </c>
      <c r="K456" t="s">
        <v>20</v>
      </c>
      <c r="L456">
        <v>2</v>
      </c>
      <c r="M456" s="7">
        <v>67.540000000000006</v>
      </c>
      <c r="N456" s="7">
        <v>3736.24</v>
      </c>
      <c r="O456" t="s">
        <v>20</v>
      </c>
    </row>
    <row r="457" spans="1:15" x14ac:dyDescent="0.3">
      <c r="A457" t="s">
        <v>482</v>
      </c>
      <c r="B457" t="s">
        <v>15</v>
      </c>
      <c r="C457">
        <v>34</v>
      </c>
      <c r="D457" t="s">
        <v>20</v>
      </c>
      <c r="E457">
        <v>51</v>
      </c>
      <c r="F457" t="str">
        <f t="shared" si="7"/>
        <v>49+ Months</v>
      </c>
      <c r="G457" t="s">
        <v>17</v>
      </c>
      <c r="H457" t="s">
        <v>36</v>
      </c>
      <c r="I457" t="s">
        <v>24</v>
      </c>
      <c r="J457" t="s">
        <v>20</v>
      </c>
      <c r="K457" t="s">
        <v>20</v>
      </c>
      <c r="L457">
        <v>4</v>
      </c>
      <c r="M457" s="7">
        <v>59.67</v>
      </c>
      <c r="N457" s="7">
        <v>2839.25</v>
      </c>
      <c r="O457" t="s">
        <v>20</v>
      </c>
    </row>
    <row r="458" spans="1:15" x14ac:dyDescent="0.3">
      <c r="A458" t="s">
        <v>483</v>
      </c>
      <c r="B458" t="s">
        <v>22</v>
      </c>
      <c r="C458">
        <v>61</v>
      </c>
      <c r="D458" t="s">
        <v>16</v>
      </c>
      <c r="E458">
        <v>47</v>
      </c>
      <c r="F458" t="str">
        <f t="shared" si="7"/>
        <v>25-48 Months</v>
      </c>
      <c r="G458" t="s">
        <v>35</v>
      </c>
      <c r="H458" t="s">
        <v>36</v>
      </c>
      <c r="I458" t="s">
        <v>24</v>
      </c>
      <c r="J458" t="s">
        <v>20</v>
      </c>
      <c r="K458" t="s">
        <v>20</v>
      </c>
      <c r="L458">
        <v>5</v>
      </c>
      <c r="M458" s="7">
        <v>64.73</v>
      </c>
      <c r="N458" s="7">
        <v>3218.56</v>
      </c>
      <c r="O458" t="s">
        <v>20</v>
      </c>
    </row>
    <row r="459" spans="1:15" x14ac:dyDescent="0.3">
      <c r="A459" t="s">
        <v>484</v>
      </c>
      <c r="B459" t="s">
        <v>22</v>
      </c>
      <c r="C459">
        <v>37</v>
      </c>
      <c r="D459" t="s">
        <v>20</v>
      </c>
      <c r="E459">
        <v>4</v>
      </c>
      <c r="F459" t="str">
        <f t="shared" si="7"/>
        <v>0-6 Months</v>
      </c>
      <c r="G459" t="s">
        <v>17</v>
      </c>
      <c r="H459" t="s">
        <v>18</v>
      </c>
      <c r="I459" t="s">
        <v>19</v>
      </c>
      <c r="J459" t="s">
        <v>16</v>
      </c>
      <c r="K459" t="s">
        <v>20</v>
      </c>
      <c r="L459">
        <v>6</v>
      </c>
      <c r="M459" s="7">
        <v>99.66</v>
      </c>
      <c r="N459" s="7">
        <v>384.21</v>
      </c>
      <c r="O459" t="s">
        <v>16</v>
      </c>
    </row>
    <row r="460" spans="1:15" x14ac:dyDescent="0.3">
      <c r="A460" t="s">
        <v>485</v>
      </c>
      <c r="B460" t="s">
        <v>15</v>
      </c>
      <c r="C460">
        <v>53</v>
      </c>
      <c r="D460" t="s">
        <v>20</v>
      </c>
      <c r="E460">
        <v>7</v>
      </c>
      <c r="F460" t="str">
        <f t="shared" si="7"/>
        <v>7-12 Months</v>
      </c>
      <c r="G460" t="s">
        <v>35</v>
      </c>
      <c r="H460" t="s">
        <v>18</v>
      </c>
      <c r="I460" t="s">
        <v>30</v>
      </c>
      <c r="J460" t="s">
        <v>20</v>
      </c>
      <c r="K460" t="s">
        <v>16</v>
      </c>
      <c r="L460">
        <v>5</v>
      </c>
      <c r="M460" s="7">
        <v>89.16</v>
      </c>
      <c r="N460" s="7">
        <v>640.66999999999996</v>
      </c>
      <c r="O460" t="s">
        <v>20</v>
      </c>
    </row>
    <row r="461" spans="1:15" x14ac:dyDescent="0.3">
      <c r="A461" t="s">
        <v>486</v>
      </c>
      <c r="B461" t="s">
        <v>15</v>
      </c>
      <c r="C461">
        <v>26</v>
      </c>
      <c r="D461" t="s">
        <v>20</v>
      </c>
      <c r="E461">
        <v>35</v>
      </c>
      <c r="F461" t="str">
        <f t="shared" si="7"/>
        <v>25-48 Months</v>
      </c>
      <c r="G461" t="s">
        <v>17</v>
      </c>
      <c r="H461" t="s">
        <v>18</v>
      </c>
      <c r="I461" t="s">
        <v>30</v>
      </c>
      <c r="J461" t="s">
        <v>20</v>
      </c>
      <c r="K461" t="s">
        <v>20</v>
      </c>
      <c r="L461">
        <v>7</v>
      </c>
      <c r="M461" s="7">
        <v>95.78</v>
      </c>
      <c r="N461" s="7">
        <v>3162.63</v>
      </c>
      <c r="O461" t="s">
        <v>20</v>
      </c>
    </row>
    <row r="462" spans="1:15" x14ac:dyDescent="0.3">
      <c r="A462" t="s">
        <v>487</v>
      </c>
      <c r="B462" t="s">
        <v>22</v>
      </c>
      <c r="C462">
        <v>55</v>
      </c>
      <c r="D462" t="s">
        <v>20</v>
      </c>
      <c r="E462">
        <v>48</v>
      </c>
      <c r="F462" t="str">
        <f t="shared" si="7"/>
        <v>25-48 Months</v>
      </c>
      <c r="G462" t="s">
        <v>23</v>
      </c>
      <c r="H462" t="s">
        <v>18</v>
      </c>
      <c r="I462" t="s">
        <v>24</v>
      </c>
      <c r="J462" t="s">
        <v>20</v>
      </c>
      <c r="K462" t="s">
        <v>16</v>
      </c>
      <c r="L462">
        <v>6</v>
      </c>
      <c r="M462" s="7">
        <v>88.11</v>
      </c>
      <c r="N462" s="7">
        <v>4347.46</v>
      </c>
      <c r="O462" t="s">
        <v>20</v>
      </c>
    </row>
    <row r="463" spans="1:15" x14ac:dyDescent="0.3">
      <c r="A463" t="s">
        <v>488</v>
      </c>
      <c r="B463" t="s">
        <v>15</v>
      </c>
      <c r="C463">
        <v>65</v>
      </c>
      <c r="D463" t="s">
        <v>16</v>
      </c>
      <c r="E463">
        <v>72</v>
      </c>
      <c r="F463" t="str">
        <f t="shared" si="7"/>
        <v>49+ Months</v>
      </c>
      <c r="G463" t="s">
        <v>23</v>
      </c>
      <c r="H463" t="s">
        <v>36</v>
      </c>
      <c r="I463" t="s">
        <v>30</v>
      </c>
      <c r="J463" t="s">
        <v>16</v>
      </c>
      <c r="K463" t="s">
        <v>16</v>
      </c>
      <c r="L463">
        <v>4</v>
      </c>
      <c r="M463" s="7">
        <v>53.18</v>
      </c>
      <c r="N463" s="7">
        <v>3544.52</v>
      </c>
      <c r="O463" t="s">
        <v>20</v>
      </c>
    </row>
    <row r="464" spans="1:15" x14ac:dyDescent="0.3">
      <c r="A464" t="s">
        <v>489</v>
      </c>
      <c r="B464" t="s">
        <v>22</v>
      </c>
      <c r="C464">
        <v>74</v>
      </c>
      <c r="D464" t="s">
        <v>16</v>
      </c>
      <c r="E464">
        <v>45</v>
      </c>
      <c r="F464" t="str">
        <f t="shared" si="7"/>
        <v>25-48 Months</v>
      </c>
      <c r="G464" t="s">
        <v>17</v>
      </c>
      <c r="H464" t="s">
        <v>18</v>
      </c>
      <c r="I464" t="s">
        <v>30</v>
      </c>
      <c r="J464" t="s">
        <v>20</v>
      </c>
      <c r="K464" t="s">
        <v>20</v>
      </c>
      <c r="L464">
        <v>8</v>
      </c>
      <c r="M464" s="7">
        <v>96.7</v>
      </c>
      <c r="N464" s="7">
        <v>4421.57</v>
      </c>
      <c r="O464" t="s">
        <v>16</v>
      </c>
    </row>
    <row r="465" spans="1:15" x14ac:dyDescent="0.3">
      <c r="A465" t="s">
        <v>490</v>
      </c>
      <c r="B465" t="s">
        <v>15</v>
      </c>
      <c r="C465">
        <v>39</v>
      </c>
      <c r="D465" t="s">
        <v>20</v>
      </c>
      <c r="E465">
        <v>72</v>
      </c>
      <c r="F465" t="str">
        <f t="shared" si="7"/>
        <v>49+ Months</v>
      </c>
      <c r="G465" t="s">
        <v>35</v>
      </c>
      <c r="H465" t="s">
        <v>36</v>
      </c>
      <c r="I465" t="s">
        <v>30</v>
      </c>
      <c r="J465" t="s">
        <v>20</v>
      </c>
      <c r="K465" t="s">
        <v>20</v>
      </c>
      <c r="L465">
        <v>4</v>
      </c>
      <c r="M465" s="7">
        <v>74.23</v>
      </c>
      <c r="N465" s="7">
        <v>5469.36</v>
      </c>
      <c r="O465" t="s">
        <v>20</v>
      </c>
    </row>
    <row r="466" spans="1:15" x14ac:dyDescent="0.3">
      <c r="A466" t="s">
        <v>491</v>
      </c>
      <c r="B466" t="s">
        <v>22</v>
      </c>
      <c r="C466">
        <v>71</v>
      </c>
      <c r="D466" t="s">
        <v>16</v>
      </c>
      <c r="E466">
        <v>19</v>
      </c>
      <c r="F466" t="str">
        <f t="shared" si="7"/>
        <v>13-24 Months</v>
      </c>
      <c r="G466" t="s">
        <v>17</v>
      </c>
      <c r="H466" t="s">
        <v>20</v>
      </c>
      <c r="I466" t="s">
        <v>27</v>
      </c>
      <c r="J466" t="s">
        <v>20</v>
      </c>
      <c r="K466" t="s">
        <v>20</v>
      </c>
      <c r="L466">
        <v>5</v>
      </c>
      <c r="M466" s="7">
        <v>48.59</v>
      </c>
      <c r="N466" s="7">
        <v>885.47</v>
      </c>
      <c r="O466" t="s">
        <v>16</v>
      </c>
    </row>
    <row r="467" spans="1:15" x14ac:dyDescent="0.3">
      <c r="A467" t="s">
        <v>492</v>
      </c>
      <c r="B467" t="s">
        <v>15</v>
      </c>
      <c r="C467">
        <v>70</v>
      </c>
      <c r="D467" t="s">
        <v>16</v>
      </c>
      <c r="E467">
        <v>63</v>
      </c>
      <c r="F467" t="str">
        <f t="shared" si="7"/>
        <v>49+ Months</v>
      </c>
      <c r="G467" t="s">
        <v>17</v>
      </c>
      <c r="H467" t="s">
        <v>18</v>
      </c>
      <c r="I467" t="s">
        <v>24</v>
      </c>
      <c r="J467" t="s">
        <v>16</v>
      </c>
      <c r="K467" t="s">
        <v>16</v>
      </c>
      <c r="L467">
        <v>3</v>
      </c>
      <c r="M467" s="7">
        <v>71.14</v>
      </c>
      <c r="N467" s="7">
        <v>4795.17</v>
      </c>
      <c r="O467" t="s">
        <v>20</v>
      </c>
    </row>
    <row r="468" spans="1:15" x14ac:dyDescent="0.3">
      <c r="A468" t="s">
        <v>493</v>
      </c>
      <c r="B468" t="s">
        <v>22</v>
      </c>
      <c r="C468">
        <v>70</v>
      </c>
      <c r="D468" t="s">
        <v>16</v>
      </c>
      <c r="E468">
        <v>38</v>
      </c>
      <c r="F468" t="str">
        <f t="shared" si="7"/>
        <v>25-48 Months</v>
      </c>
      <c r="G468" t="s">
        <v>23</v>
      </c>
      <c r="H468" t="s">
        <v>20</v>
      </c>
      <c r="I468" t="s">
        <v>24</v>
      </c>
      <c r="J468" t="s">
        <v>20</v>
      </c>
      <c r="K468" t="s">
        <v>16</v>
      </c>
      <c r="L468">
        <v>6</v>
      </c>
      <c r="M468" s="7">
        <v>46.07</v>
      </c>
      <c r="N468" s="7">
        <v>1623.48</v>
      </c>
      <c r="O468" t="s">
        <v>20</v>
      </c>
    </row>
    <row r="469" spans="1:15" x14ac:dyDescent="0.3">
      <c r="A469" t="s">
        <v>494</v>
      </c>
      <c r="B469" t="s">
        <v>15</v>
      </c>
      <c r="C469">
        <v>19</v>
      </c>
      <c r="D469" t="s">
        <v>20</v>
      </c>
      <c r="E469">
        <v>67</v>
      </c>
      <c r="F469" t="str">
        <f t="shared" si="7"/>
        <v>49+ Months</v>
      </c>
      <c r="G469" t="s">
        <v>17</v>
      </c>
      <c r="H469" t="s">
        <v>18</v>
      </c>
      <c r="I469" t="s">
        <v>19</v>
      </c>
      <c r="J469" t="s">
        <v>20</v>
      </c>
      <c r="K469" t="s">
        <v>16</v>
      </c>
      <c r="L469">
        <v>3</v>
      </c>
      <c r="M469" s="7">
        <v>84.93</v>
      </c>
      <c r="N469" s="7">
        <v>6046.94</v>
      </c>
      <c r="O469" t="s">
        <v>20</v>
      </c>
    </row>
    <row r="470" spans="1:15" x14ac:dyDescent="0.3">
      <c r="A470" t="s">
        <v>495</v>
      </c>
      <c r="B470" t="s">
        <v>15</v>
      </c>
      <c r="C470">
        <v>41</v>
      </c>
      <c r="D470" t="s">
        <v>20</v>
      </c>
      <c r="E470">
        <v>59</v>
      </c>
      <c r="F470" t="str">
        <f t="shared" si="7"/>
        <v>49+ Months</v>
      </c>
      <c r="G470" t="s">
        <v>23</v>
      </c>
      <c r="H470" t="s">
        <v>18</v>
      </c>
      <c r="I470" t="s">
        <v>24</v>
      </c>
      <c r="J470" t="s">
        <v>20</v>
      </c>
      <c r="K470" t="s">
        <v>16</v>
      </c>
      <c r="L470">
        <v>4</v>
      </c>
      <c r="M470" s="7">
        <v>75.27</v>
      </c>
      <c r="N470" s="7">
        <v>4357.01</v>
      </c>
      <c r="O470" t="s">
        <v>20</v>
      </c>
    </row>
    <row r="471" spans="1:15" x14ac:dyDescent="0.3">
      <c r="A471" t="s">
        <v>496</v>
      </c>
      <c r="B471" t="s">
        <v>22</v>
      </c>
      <c r="C471">
        <v>25</v>
      </c>
      <c r="D471" t="s">
        <v>20</v>
      </c>
      <c r="E471">
        <v>69</v>
      </c>
      <c r="F471" t="str">
        <f t="shared" si="7"/>
        <v>49+ Months</v>
      </c>
      <c r="G471" t="s">
        <v>17</v>
      </c>
      <c r="H471" t="s">
        <v>18</v>
      </c>
      <c r="I471" t="s">
        <v>30</v>
      </c>
      <c r="J471" t="s">
        <v>16</v>
      </c>
      <c r="K471" t="s">
        <v>16</v>
      </c>
      <c r="L471">
        <v>2</v>
      </c>
      <c r="M471" s="7">
        <v>69.59</v>
      </c>
      <c r="N471" s="7">
        <v>4966.0600000000004</v>
      </c>
      <c r="O471" t="s">
        <v>20</v>
      </c>
    </row>
    <row r="472" spans="1:15" x14ac:dyDescent="0.3">
      <c r="A472" t="s">
        <v>497</v>
      </c>
      <c r="B472" t="s">
        <v>15</v>
      </c>
      <c r="C472">
        <v>28</v>
      </c>
      <c r="D472" t="s">
        <v>20</v>
      </c>
      <c r="E472">
        <v>13</v>
      </c>
      <c r="F472" t="str">
        <f t="shared" si="7"/>
        <v>13-24 Months</v>
      </c>
      <c r="G472" t="s">
        <v>17</v>
      </c>
      <c r="H472" t="s">
        <v>18</v>
      </c>
      <c r="I472" t="s">
        <v>19</v>
      </c>
      <c r="J472" t="s">
        <v>16</v>
      </c>
      <c r="K472" t="s">
        <v>20</v>
      </c>
      <c r="L472">
        <v>1</v>
      </c>
      <c r="M472" s="7">
        <v>59.01</v>
      </c>
      <c r="N472" s="7">
        <v>785.73</v>
      </c>
      <c r="O472" t="s">
        <v>20</v>
      </c>
    </row>
    <row r="473" spans="1:15" x14ac:dyDescent="0.3">
      <c r="A473" t="s">
        <v>498</v>
      </c>
      <c r="B473" t="s">
        <v>22</v>
      </c>
      <c r="C473">
        <v>30</v>
      </c>
      <c r="D473" t="s">
        <v>20</v>
      </c>
      <c r="E473">
        <v>47</v>
      </c>
      <c r="F473" t="str">
        <f t="shared" si="7"/>
        <v>25-48 Months</v>
      </c>
      <c r="G473" t="s">
        <v>17</v>
      </c>
      <c r="H473" t="s">
        <v>18</v>
      </c>
      <c r="I473" t="s">
        <v>24</v>
      </c>
      <c r="J473" t="s">
        <v>20</v>
      </c>
      <c r="K473" t="s">
        <v>20</v>
      </c>
      <c r="L473">
        <v>4</v>
      </c>
      <c r="M473" s="7">
        <v>77.05</v>
      </c>
      <c r="N473" s="7">
        <v>3429.13</v>
      </c>
      <c r="O473" t="s">
        <v>20</v>
      </c>
    </row>
    <row r="474" spans="1:15" x14ac:dyDescent="0.3">
      <c r="A474" t="s">
        <v>499</v>
      </c>
      <c r="B474" t="s">
        <v>15</v>
      </c>
      <c r="C474">
        <v>34</v>
      </c>
      <c r="D474" t="s">
        <v>20</v>
      </c>
      <c r="E474">
        <v>61</v>
      </c>
      <c r="F474" t="str">
        <f t="shared" si="7"/>
        <v>49+ Months</v>
      </c>
      <c r="G474" t="s">
        <v>17</v>
      </c>
      <c r="H474" t="s">
        <v>18</v>
      </c>
      <c r="I474" t="s">
        <v>24</v>
      </c>
      <c r="J474" t="s">
        <v>20</v>
      </c>
      <c r="K474" t="s">
        <v>20</v>
      </c>
      <c r="L474">
        <v>4</v>
      </c>
      <c r="M474" s="7">
        <v>82.31</v>
      </c>
      <c r="N474" s="7">
        <v>4875.5</v>
      </c>
      <c r="O474" t="s">
        <v>20</v>
      </c>
    </row>
    <row r="475" spans="1:15" x14ac:dyDescent="0.3">
      <c r="A475" t="s">
        <v>500</v>
      </c>
      <c r="B475" t="s">
        <v>22</v>
      </c>
      <c r="C475">
        <v>25</v>
      </c>
      <c r="D475" t="s">
        <v>20</v>
      </c>
      <c r="E475">
        <v>31</v>
      </c>
      <c r="F475" t="str">
        <f t="shared" si="7"/>
        <v>25-48 Months</v>
      </c>
      <c r="G475" t="s">
        <v>17</v>
      </c>
      <c r="H475" t="s">
        <v>36</v>
      </c>
      <c r="I475" t="s">
        <v>24</v>
      </c>
      <c r="J475" t="s">
        <v>20</v>
      </c>
      <c r="K475" t="s">
        <v>20</v>
      </c>
      <c r="L475">
        <v>2</v>
      </c>
      <c r="M475" s="7">
        <v>48.92</v>
      </c>
      <c r="N475" s="7">
        <v>1523.72</v>
      </c>
      <c r="O475" t="s">
        <v>20</v>
      </c>
    </row>
    <row r="476" spans="1:15" x14ac:dyDescent="0.3">
      <c r="A476" t="s">
        <v>501</v>
      </c>
      <c r="B476" t="s">
        <v>15</v>
      </c>
      <c r="C476">
        <v>38</v>
      </c>
      <c r="D476" t="s">
        <v>20</v>
      </c>
      <c r="E476">
        <v>22</v>
      </c>
      <c r="F476" t="str">
        <f t="shared" si="7"/>
        <v>13-24 Months</v>
      </c>
      <c r="G476" t="s">
        <v>23</v>
      </c>
      <c r="H476" t="s">
        <v>20</v>
      </c>
      <c r="I476" t="s">
        <v>30</v>
      </c>
      <c r="J476" t="s">
        <v>16</v>
      </c>
      <c r="K476" t="s">
        <v>16</v>
      </c>
      <c r="L476">
        <v>6</v>
      </c>
      <c r="M476" s="7">
        <v>49.17</v>
      </c>
      <c r="N476" s="7">
        <v>1141.71</v>
      </c>
      <c r="O476" t="s">
        <v>20</v>
      </c>
    </row>
    <row r="477" spans="1:15" x14ac:dyDescent="0.3">
      <c r="A477" t="s">
        <v>502</v>
      </c>
      <c r="B477" t="s">
        <v>22</v>
      </c>
      <c r="C477">
        <v>35</v>
      </c>
      <c r="D477" t="s">
        <v>20</v>
      </c>
      <c r="E477">
        <v>43</v>
      </c>
      <c r="F477" t="str">
        <f t="shared" si="7"/>
        <v>25-48 Months</v>
      </c>
      <c r="G477" t="s">
        <v>35</v>
      </c>
      <c r="H477" t="s">
        <v>36</v>
      </c>
      <c r="I477" t="s">
        <v>30</v>
      </c>
      <c r="J477" t="s">
        <v>20</v>
      </c>
      <c r="K477" t="s">
        <v>20</v>
      </c>
      <c r="L477">
        <v>4</v>
      </c>
      <c r="M477" s="7">
        <v>50.93</v>
      </c>
      <c r="N477" s="7">
        <v>2349.37</v>
      </c>
      <c r="O477" t="s">
        <v>16</v>
      </c>
    </row>
    <row r="478" spans="1:15" x14ac:dyDescent="0.3">
      <c r="A478" t="s">
        <v>503</v>
      </c>
      <c r="B478" t="s">
        <v>15</v>
      </c>
      <c r="C478">
        <v>47</v>
      </c>
      <c r="D478" t="s">
        <v>20</v>
      </c>
      <c r="E478">
        <v>67</v>
      </c>
      <c r="F478" t="str">
        <f t="shared" si="7"/>
        <v>49+ Months</v>
      </c>
      <c r="G478" t="s">
        <v>35</v>
      </c>
      <c r="H478" t="s">
        <v>18</v>
      </c>
      <c r="I478" t="s">
        <v>24</v>
      </c>
      <c r="J478" t="s">
        <v>20</v>
      </c>
      <c r="K478" t="s">
        <v>16</v>
      </c>
      <c r="L478">
        <v>3</v>
      </c>
      <c r="M478" s="7">
        <v>71.099999999999994</v>
      </c>
      <c r="N478" s="7">
        <v>4398.29</v>
      </c>
      <c r="O478" t="s">
        <v>20</v>
      </c>
    </row>
    <row r="479" spans="1:15" x14ac:dyDescent="0.3">
      <c r="A479" t="s">
        <v>504</v>
      </c>
      <c r="B479" t="s">
        <v>22</v>
      </c>
      <c r="C479">
        <v>35</v>
      </c>
      <c r="D479" t="s">
        <v>20</v>
      </c>
      <c r="E479">
        <v>54</v>
      </c>
      <c r="F479" t="str">
        <f t="shared" si="7"/>
        <v>49+ Months</v>
      </c>
      <c r="G479" t="s">
        <v>17</v>
      </c>
      <c r="H479" t="s">
        <v>36</v>
      </c>
      <c r="I479" t="s">
        <v>24</v>
      </c>
      <c r="J479" t="s">
        <v>20</v>
      </c>
      <c r="K479" t="s">
        <v>20</v>
      </c>
      <c r="L479">
        <v>4</v>
      </c>
      <c r="M479" s="7">
        <v>73.930000000000007</v>
      </c>
      <c r="N479" s="7">
        <v>3898.04</v>
      </c>
      <c r="O479" t="s">
        <v>16</v>
      </c>
    </row>
    <row r="480" spans="1:15" x14ac:dyDescent="0.3">
      <c r="A480" t="s">
        <v>505</v>
      </c>
      <c r="B480" t="s">
        <v>15</v>
      </c>
      <c r="C480">
        <v>63</v>
      </c>
      <c r="D480" t="s">
        <v>16</v>
      </c>
      <c r="E480">
        <v>10</v>
      </c>
      <c r="F480" t="str">
        <f t="shared" si="7"/>
        <v>7-12 Months</v>
      </c>
      <c r="G480" t="s">
        <v>17</v>
      </c>
      <c r="H480" t="s">
        <v>36</v>
      </c>
      <c r="I480" t="s">
        <v>24</v>
      </c>
      <c r="J480" t="s">
        <v>20</v>
      </c>
      <c r="K480" t="s">
        <v>20</v>
      </c>
      <c r="L480">
        <v>7</v>
      </c>
      <c r="M480" s="7">
        <v>70.06</v>
      </c>
      <c r="N480" s="7">
        <v>719.45</v>
      </c>
      <c r="O480" t="s">
        <v>16</v>
      </c>
    </row>
    <row r="481" spans="1:15" x14ac:dyDescent="0.3">
      <c r="A481" t="s">
        <v>506</v>
      </c>
      <c r="B481" t="s">
        <v>22</v>
      </c>
      <c r="C481">
        <v>64</v>
      </c>
      <c r="D481" t="s">
        <v>16</v>
      </c>
      <c r="E481">
        <v>42</v>
      </c>
      <c r="F481" t="str">
        <f t="shared" si="7"/>
        <v>25-48 Months</v>
      </c>
      <c r="G481" t="s">
        <v>17</v>
      </c>
      <c r="H481" t="s">
        <v>20</v>
      </c>
      <c r="I481" t="s">
        <v>24</v>
      </c>
      <c r="J481" t="s">
        <v>20</v>
      </c>
      <c r="K481" t="s">
        <v>20</v>
      </c>
      <c r="L481">
        <v>2</v>
      </c>
      <c r="M481" s="7">
        <v>35.54</v>
      </c>
      <c r="N481" s="7">
        <v>1499.3</v>
      </c>
      <c r="O481" t="s">
        <v>16</v>
      </c>
    </row>
    <row r="482" spans="1:15" x14ac:dyDescent="0.3">
      <c r="A482" t="s">
        <v>507</v>
      </c>
      <c r="B482" t="s">
        <v>22</v>
      </c>
      <c r="C482">
        <v>48</v>
      </c>
      <c r="D482" t="s">
        <v>20</v>
      </c>
      <c r="E482">
        <v>64</v>
      </c>
      <c r="F482" t="str">
        <f t="shared" si="7"/>
        <v>49+ Months</v>
      </c>
      <c r="G482" t="s">
        <v>17</v>
      </c>
      <c r="H482" t="s">
        <v>20</v>
      </c>
      <c r="I482" t="s">
        <v>27</v>
      </c>
      <c r="J482" t="s">
        <v>20</v>
      </c>
      <c r="K482" t="s">
        <v>16</v>
      </c>
      <c r="L482">
        <v>2</v>
      </c>
      <c r="M482" s="7">
        <v>27.39</v>
      </c>
      <c r="N482" s="7">
        <v>1877.22</v>
      </c>
      <c r="O482" t="s">
        <v>20</v>
      </c>
    </row>
    <row r="483" spans="1:15" x14ac:dyDescent="0.3">
      <c r="A483" t="s">
        <v>508</v>
      </c>
      <c r="B483" t="s">
        <v>22</v>
      </c>
      <c r="C483">
        <v>55</v>
      </c>
      <c r="D483" t="s">
        <v>20</v>
      </c>
      <c r="E483">
        <v>21</v>
      </c>
      <c r="F483" t="str">
        <f t="shared" si="7"/>
        <v>13-24 Months</v>
      </c>
      <c r="G483" t="s">
        <v>17</v>
      </c>
      <c r="H483" t="s">
        <v>20</v>
      </c>
      <c r="I483" t="s">
        <v>24</v>
      </c>
      <c r="J483" t="s">
        <v>20</v>
      </c>
      <c r="K483" t="s">
        <v>20</v>
      </c>
      <c r="L483">
        <v>2</v>
      </c>
      <c r="M483" s="7">
        <v>33.36</v>
      </c>
      <c r="N483" s="7">
        <v>646.41999999999996</v>
      </c>
      <c r="O483" t="s">
        <v>16</v>
      </c>
    </row>
    <row r="484" spans="1:15" x14ac:dyDescent="0.3">
      <c r="A484" t="s">
        <v>509</v>
      </c>
      <c r="B484" t="s">
        <v>15</v>
      </c>
      <c r="C484">
        <v>49</v>
      </c>
      <c r="D484" t="s">
        <v>20</v>
      </c>
      <c r="E484">
        <v>66</v>
      </c>
      <c r="F484" t="str">
        <f t="shared" si="7"/>
        <v>49+ Months</v>
      </c>
      <c r="G484" t="s">
        <v>17</v>
      </c>
      <c r="H484" t="s">
        <v>18</v>
      </c>
      <c r="I484" t="s">
        <v>30</v>
      </c>
      <c r="J484" t="s">
        <v>16</v>
      </c>
      <c r="K484" t="s">
        <v>16</v>
      </c>
      <c r="L484">
        <v>6</v>
      </c>
      <c r="M484" s="7">
        <v>85.11</v>
      </c>
      <c r="N484" s="7">
        <v>5561.3</v>
      </c>
      <c r="O484" t="s">
        <v>20</v>
      </c>
    </row>
    <row r="485" spans="1:15" x14ac:dyDescent="0.3">
      <c r="A485" t="s">
        <v>510</v>
      </c>
      <c r="B485" t="s">
        <v>22</v>
      </c>
      <c r="C485">
        <v>28</v>
      </c>
      <c r="D485" t="s">
        <v>20</v>
      </c>
      <c r="E485">
        <v>41</v>
      </c>
      <c r="F485" t="str">
        <f t="shared" si="7"/>
        <v>25-48 Months</v>
      </c>
      <c r="G485" t="s">
        <v>17</v>
      </c>
      <c r="H485" t="s">
        <v>36</v>
      </c>
      <c r="I485" t="s">
        <v>27</v>
      </c>
      <c r="J485" t="s">
        <v>16</v>
      </c>
      <c r="K485" t="s">
        <v>16</v>
      </c>
      <c r="L485">
        <v>3</v>
      </c>
      <c r="M485" s="7">
        <v>62.7</v>
      </c>
      <c r="N485" s="7">
        <v>2640.13</v>
      </c>
      <c r="O485" t="s">
        <v>20</v>
      </c>
    </row>
    <row r="486" spans="1:15" x14ac:dyDescent="0.3">
      <c r="A486" t="s">
        <v>511</v>
      </c>
      <c r="B486" t="s">
        <v>15</v>
      </c>
      <c r="C486">
        <v>62</v>
      </c>
      <c r="D486" t="s">
        <v>16</v>
      </c>
      <c r="E486">
        <v>24</v>
      </c>
      <c r="F486" t="str">
        <f t="shared" si="7"/>
        <v>13-24 Months</v>
      </c>
      <c r="G486" t="s">
        <v>35</v>
      </c>
      <c r="H486" t="s">
        <v>18</v>
      </c>
      <c r="I486" t="s">
        <v>24</v>
      </c>
      <c r="J486" t="s">
        <v>20</v>
      </c>
      <c r="K486" t="s">
        <v>16</v>
      </c>
      <c r="L486">
        <v>5</v>
      </c>
      <c r="M486" s="7">
        <v>90.37</v>
      </c>
      <c r="N486" s="7">
        <v>2070.88</v>
      </c>
      <c r="O486" t="s">
        <v>16</v>
      </c>
    </row>
    <row r="487" spans="1:15" x14ac:dyDescent="0.3">
      <c r="A487" t="s">
        <v>512</v>
      </c>
      <c r="B487" t="s">
        <v>22</v>
      </c>
      <c r="C487">
        <v>42</v>
      </c>
      <c r="D487" t="s">
        <v>20</v>
      </c>
      <c r="E487">
        <v>35</v>
      </c>
      <c r="F487" t="str">
        <f t="shared" si="7"/>
        <v>25-48 Months</v>
      </c>
      <c r="G487" t="s">
        <v>17</v>
      </c>
      <c r="H487" t="s">
        <v>20</v>
      </c>
      <c r="I487" t="s">
        <v>19</v>
      </c>
      <c r="J487" t="s">
        <v>20</v>
      </c>
      <c r="K487" t="s">
        <v>20</v>
      </c>
      <c r="L487">
        <v>1</v>
      </c>
      <c r="M487" s="7">
        <v>37.11</v>
      </c>
      <c r="N487" s="7">
        <v>1345.79</v>
      </c>
      <c r="O487" t="s">
        <v>20</v>
      </c>
    </row>
    <row r="488" spans="1:15" x14ac:dyDescent="0.3">
      <c r="A488" t="s">
        <v>513</v>
      </c>
      <c r="B488" t="s">
        <v>15</v>
      </c>
      <c r="C488">
        <v>50</v>
      </c>
      <c r="D488" t="s">
        <v>20</v>
      </c>
      <c r="E488">
        <v>56</v>
      </c>
      <c r="F488" t="str">
        <f t="shared" si="7"/>
        <v>49+ Months</v>
      </c>
      <c r="G488" t="s">
        <v>17</v>
      </c>
      <c r="H488" t="s">
        <v>18</v>
      </c>
      <c r="I488" t="s">
        <v>27</v>
      </c>
      <c r="J488" t="s">
        <v>16</v>
      </c>
      <c r="K488" t="s">
        <v>20</v>
      </c>
      <c r="L488">
        <v>4</v>
      </c>
      <c r="M488" s="7">
        <v>79.56</v>
      </c>
      <c r="N488" s="7">
        <v>4156.84</v>
      </c>
      <c r="O488" t="s">
        <v>20</v>
      </c>
    </row>
    <row r="489" spans="1:15" x14ac:dyDescent="0.3">
      <c r="A489" t="s">
        <v>514</v>
      </c>
      <c r="B489" t="s">
        <v>22</v>
      </c>
      <c r="C489">
        <v>55</v>
      </c>
      <c r="D489" t="s">
        <v>20</v>
      </c>
      <c r="E489">
        <v>30</v>
      </c>
      <c r="F489" t="str">
        <f t="shared" si="7"/>
        <v>25-48 Months</v>
      </c>
      <c r="G489" t="s">
        <v>17</v>
      </c>
      <c r="H489" t="s">
        <v>18</v>
      </c>
      <c r="I489" t="s">
        <v>27</v>
      </c>
      <c r="J489" t="s">
        <v>16</v>
      </c>
      <c r="K489" t="s">
        <v>16</v>
      </c>
      <c r="L489">
        <v>1</v>
      </c>
      <c r="M489" s="7">
        <v>81.28</v>
      </c>
      <c r="N489" s="7">
        <v>2419.3000000000002</v>
      </c>
      <c r="O489" t="s">
        <v>20</v>
      </c>
    </row>
    <row r="490" spans="1:15" x14ac:dyDescent="0.3">
      <c r="A490" t="s">
        <v>515</v>
      </c>
      <c r="B490" t="s">
        <v>15</v>
      </c>
      <c r="C490">
        <v>58</v>
      </c>
      <c r="D490" t="s">
        <v>20</v>
      </c>
      <c r="E490">
        <v>57</v>
      </c>
      <c r="F490" t="str">
        <f t="shared" si="7"/>
        <v>49+ Months</v>
      </c>
      <c r="G490" t="s">
        <v>17</v>
      </c>
      <c r="H490" t="s">
        <v>18</v>
      </c>
      <c r="I490" t="s">
        <v>19</v>
      </c>
      <c r="J490" t="s">
        <v>20</v>
      </c>
      <c r="K490" t="s">
        <v>20</v>
      </c>
      <c r="L490">
        <v>4</v>
      </c>
      <c r="M490" s="7">
        <v>84.63</v>
      </c>
      <c r="N490" s="7">
        <v>4959.93</v>
      </c>
      <c r="O490" t="s">
        <v>16</v>
      </c>
    </row>
    <row r="491" spans="1:15" x14ac:dyDescent="0.3">
      <c r="A491" t="s">
        <v>516</v>
      </c>
      <c r="B491" t="s">
        <v>15</v>
      </c>
      <c r="C491">
        <v>25</v>
      </c>
      <c r="D491" t="s">
        <v>20</v>
      </c>
      <c r="E491">
        <v>47</v>
      </c>
      <c r="F491" t="str">
        <f t="shared" si="7"/>
        <v>25-48 Months</v>
      </c>
      <c r="G491" t="s">
        <v>35</v>
      </c>
      <c r="H491" t="s">
        <v>36</v>
      </c>
      <c r="I491" t="s">
        <v>27</v>
      </c>
      <c r="J491" t="s">
        <v>20</v>
      </c>
      <c r="K491" t="s">
        <v>20</v>
      </c>
      <c r="L491">
        <v>3</v>
      </c>
      <c r="M491" s="7">
        <v>44.99</v>
      </c>
      <c r="N491" s="7">
        <v>2035.62</v>
      </c>
      <c r="O491" t="s">
        <v>20</v>
      </c>
    </row>
    <row r="492" spans="1:15" x14ac:dyDescent="0.3">
      <c r="A492" t="s">
        <v>517</v>
      </c>
      <c r="B492" t="s">
        <v>22</v>
      </c>
      <c r="C492">
        <v>28</v>
      </c>
      <c r="D492" t="s">
        <v>20</v>
      </c>
      <c r="E492">
        <v>35</v>
      </c>
      <c r="F492" t="str">
        <f t="shared" si="7"/>
        <v>25-48 Months</v>
      </c>
      <c r="G492" t="s">
        <v>17</v>
      </c>
      <c r="H492" t="s">
        <v>18</v>
      </c>
      <c r="I492" t="s">
        <v>27</v>
      </c>
      <c r="J492" t="s">
        <v>20</v>
      </c>
      <c r="K492" t="s">
        <v>20</v>
      </c>
      <c r="L492">
        <v>2</v>
      </c>
      <c r="M492" s="7">
        <v>81.8</v>
      </c>
      <c r="N492" s="7">
        <v>2667.79</v>
      </c>
      <c r="O492" t="s">
        <v>20</v>
      </c>
    </row>
    <row r="493" spans="1:15" x14ac:dyDescent="0.3">
      <c r="A493" t="s">
        <v>518</v>
      </c>
      <c r="B493" t="s">
        <v>15</v>
      </c>
      <c r="C493">
        <v>39</v>
      </c>
      <c r="D493" t="s">
        <v>20</v>
      </c>
      <c r="E493">
        <v>19</v>
      </c>
      <c r="F493" t="str">
        <f t="shared" si="7"/>
        <v>13-24 Months</v>
      </c>
      <c r="G493" t="s">
        <v>17</v>
      </c>
      <c r="H493" t="s">
        <v>18</v>
      </c>
      <c r="I493" t="s">
        <v>19</v>
      </c>
      <c r="J493" t="s">
        <v>20</v>
      </c>
      <c r="K493" t="s">
        <v>20</v>
      </c>
      <c r="L493">
        <v>4</v>
      </c>
      <c r="M493" s="7">
        <v>78.959999999999994</v>
      </c>
      <c r="N493" s="7">
        <v>1609.94</v>
      </c>
      <c r="O493" t="s">
        <v>20</v>
      </c>
    </row>
    <row r="494" spans="1:15" x14ac:dyDescent="0.3">
      <c r="A494" t="s">
        <v>519</v>
      </c>
      <c r="B494" t="s">
        <v>15</v>
      </c>
      <c r="C494">
        <v>68</v>
      </c>
      <c r="D494" t="s">
        <v>16</v>
      </c>
      <c r="E494">
        <v>8</v>
      </c>
      <c r="F494" t="str">
        <f t="shared" si="7"/>
        <v>7-12 Months</v>
      </c>
      <c r="G494" t="s">
        <v>17</v>
      </c>
      <c r="H494" t="s">
        <v>20</v>
      </c>
      <c r="I494" t="s">
        <v>27</v>
      </c>
      <c r="J494" t="s">
        <v>20</v>
      </c>
      <c r="K494" t="s">
        <v>20</v>
      </c>
      <c r="L494">
        <v>2</v>
      </c>
      <c r="M494" s="7">
        <v>40.97</v>
      </c>
      <c r="N494" s="7">
        <v>349.46</v>
      </c>
      <c r="O494" t="s">
        <v>20</v>
      </c>
    </row>
    <row r="495" spans="1:15" x14ac:dyDescent="0.3">
      <c r="A495" t="s">
        <v>520</v>
      </c>
      <c r="B495" t="s">
        <v>22</v>
      </c>
      <c r="C495">
        <v>41</v>
      </c>
      <c r="D495" t="s">
        <v>20</v>
      </c>
      <c r="E495">
        <v>26</v>
      </c>
      <c r="F495" t="str">
        <f t="shared" si="7"/>
        <v>25-48 Months</v>
      </c>
      <c r="G495" t="s">
        <v>17</v>
      </c>
      <c r="H495" t="s">
        <v>20</v>
      </c>
      <c r="I495" t="s">
        <v>19</v>
      </c>
      <c r="J495" t="s">
        <v>20</v>
      </c>
      <c r="K495" t="s">
        <v>20</v>
      </c>
      <c r="L495">
        <v>2</v>
      </c>
      <c r="M495" s="7">
        <v>25.63</v>
      </c>
      <c r="N495" s="7">
        <v>711.84</v>
      </c>
      <c r="O495" t="s">
        <v>20</v>
      </c>
    </row>
    <row r="496" spans="1:15" x14ac:dyDescent="0.3">
      <c r="A496" t="s">
        <v>521</v>
      </c>
      <c r="B496" t="s">
        <v>15</v>
      </c>
      <c r="C496">
        <v>58</v>
      </c>
      <c r="D496" t="s">
        <v>20</v>
      </c>
      <c r="E496">
        <v>71</v>
      </c>
      <c r="F496" t="str">
        <f t="shared" si="7"/>
        <v>49+ Months</v>
      </c>
      <c r="G496" t="s">
        <v>17</v>
      </c>
      <c r="H496" t="s">
        <v>18</v>
      </c>
      <c r="I496" t="s">
        <v>30</v>
      </c>
      <c r="J496" t="s">
        <v>16</v>
      </c>
      <c r="K496" t="s">
        <v>20</v>
      </c>
      <c r="L496">
        <v>3</v>
      </c>
      <c r="M496" s="7">
        <v>74.5</v>
      </c>
      <c r="N496" s="7">
        <v>5694.47</v>
      </c>
      <c r="O496" t="s">
        <v>20</v>
      </c>
    </row>
    <row r="497" spans="1:15" x14ac:dyDescent="0.3">
      <c r="A497" t="s">
        <v>522</v>
      </c>
      <c r="B497" t="s">
        <v>15</v>
      </c>
      <c r="C497">
        <v>34</v>
      </c>
      <c r="D497" t="s">
        <v>20</v>
      </c>
      <c r="E497">
        <v>30</v>
      </c>
      <c r="F497" t="str">
        <f t="shared" si="7"/>
        <v>25-48 Months</v>
      </c>
      <c r="G497" t="s">
        <v>35</v>
      </c>
      <c r="H497" t="s">
        <v>18</v>
      </c>
      <c r="I497" t="s">
        <v>27</v>
      </c>
      <c r="J497" t="s">
        <v>20</v>
      </c>
      <c r="K497" t="s">
        <v>20</v>
      </c>
      <c r="L497">
        <v>5</v>
      </c>
      <c r="M497" s="7">
        <v>88.25</v>
      </c>
      <c r="N497" s="7">
        <v>2513.94</v>
      </c>
      <c r="O497" t="s">
        <v>16</v>
      </c>
    </row>
    <row r="498" spans="1:15" x14ac:dyDescent="0.3">
      <c r="A498" t="s">
        <v>523</v>
      </c>
      <c r="B498" t="s">
        <v>15</v>
      </c>
      <c r="C498">
        <v>29</v>
      </c>
      <c r="D498" t="s">
        <v>20</v>
      </c>
      <c r="E498">
        <v>7</v>
      </c>
      <c r="F498" t="str">
        <f t="shared" si="7"/>
        <v>7-12 Months</v>
      </c>
      <c r="G498" t="s">
        <v>35</v>
      </c>
      <c r="H498" t="s">
        <v>20</v>
      </c>
      <c r="I498" t="s">
        <v>27</v>
      </c>
      <c r="J498" t="s">
        <v>20</v>
      </c>
      <c r="K498" t="s">
        <v>20</v>
      </c>
      <c r="L498">
        <v>3</v>
      </c>
      <c r="M498" s="7">
        <v>38.71</v>
      </c>
      <c r="N498" s="7">
        <v>256.13</v>
      </c>
      <c r="O498" t="s">
        <v>20</v>
      </c>
    </row>
    <row r="499" spans="1:15" x14ac:dyDescent="0.3">
      <c r="A499" t="s">
        <v>524</v>
      </c>
      <c r="B499" t="s">
        <v>22</v>
      </c>
      <c r="C499">
        <v>74</v>
      </c>
      <c r="D499" t="s">
        <v>16</v>
      </c>
      <c r="E499">
        <v>67</v>
      </c>
      <c r="F499" t="str">
        <f t="shared" si="7"/>
        <v>49+ Months</v>
      </c>
      <c r="G499" t="s">
        <v>23</v>
      </c>
      <c r="H499" t="s">
        <v>20</v>
      </c>
      <c r="I499" t="s">
        <v>19</v>
      </c>
      <c r="J499" t="s">
        <v>16</v>
      </c>
      <c r="K499" t="s">
        <v>16</v>
      </c>
      <c r="L499">
        <v>2</v>
      </c>
      <c r="M499" s="7">
        <v>31.95</v>
      </c>
      <c r="N499" s="7">
        <v>1981.12</v>
      </c>
      <c r="O499" t="s">
        <v>20</v>
      </c>
    </row>
    <row r="500" spans="1:15" x14ac:dyDescent="0.3">
      <c r="A500" t="s">
        <v>525</v>
      </c>
      <c r="B500" t="s">
        <v>15</v>
      </c>
      <c r="C500">
        <v>63</v>
      </c>
      <c r="D500" t="s">
        <v>16</v>
      </c>
      <c r="E500">
        <v>65</v>
      </c>
      <c r="F500" t="str">
        <f t="shared" si="7"/>
        <v>49+ Months</v>
      </c>
      <c r="G500" t="s">
        <v>17</v>
      </c>
      <c r="H500" t="s">
        <v>36</v>
      </c>
      <c r="I500" t="s">
        <v>24</v>
      </c>
      <c r="J500" t="s">
        <v>20</v>
      </c>
      <c r="K500" t="s">
        <v>16</v>
      </c>
      <c r="L500">
        <v>1</v>
      </c>
      <c r="M500" s="7">
        <v>29.79</v>
      </c>
      <c r="N500" s="7">
        <v>2057.7399999999998</v>
      </c>
      <c r="O500" t="s">
        <v>20</v>
      </c>
    </row>
    <row r="501" spans="1:15" x14ac:dyDescent="0.3">
      <c r="A501" t="s">
        <v>526</v>
      </c>
      <c r="B501" t="s">
        <v>22</v>
      </c>
      <c r="C501">
        <v>49</v>
      </c>
      <c r="D501" t="s">
        <v>20</v>
      </c>
      <c r="E501">
        <v>36</v>
      </c>
      <c r="F501" t="str">
        <f t="shared" si="7"/>
        <v>25-48 Months</v>
      </c>
      <c r="G501" t="s">
        <v>35</v>
      </c>
      <c r="H501" t="s">
        <v>36</v>
      </c>
      <c r="I501" t="s">
        <v>30</v>
      </c>
      <c r="J501" t="s">
        <v>20</v>
      </c>
      <c r="K501" t="s">
        <v>16</v>
      </c>
      <c r="L501">
        <v>4</v>
      </c>
      <c r="M501" s="7">
        <v>53.82</v>
      </c>
      <c r="N501" s="7">
        <v>2015.88</v>
      </c>
      <c r="O501" t="s">
        <v>20</v>
      </c>
    </row>
    <row r="502" spans="1:15" x14ac:dyDescent="0.3">
      <c r="A502" t="s">
        <v>527</v>
      </c>
      <c r="B502" t="s">
        <v>15</v>
      </c>
      <c r="C502">
        <v>32</v>
      </c>
      <c r="D502" t="s">
        <v>20</v>
      </c>
      <c r="E502">
        <v>25</v>
      </c>
      <c r="F502" t="str">
        <f t="shared" si="7"/>
        <v>25-48 Months</v>
      </c>
      <c r="G502" t="s">
        <v>17</v>
      </c>
      <c r="H502" t="s">
        <v>18</v>
      </c>
      <c r="I502" t="s">
        <v>30</v>
      </c>
      <c r="J502" t="s">
        <v>20</v>
      </c>
      <c r="K502" t="s">
        <v>20</v>
      </c>
      <c r="L502">
        <v>2</v>
      </c>
      <c r="M502" s="7">
        <v>64.16</v>
      </c>
      <c r="N502" s="7">
        <v>1638.2</v>
      </c>
      <c r="O502" t="s">
        <v>20</v>
      </c>
    </row>
    <row r="503" spans="1:15" x14ac:dyDescent="0.3">
      <c r="A503" t="s">
        <v>528</v>
      </c>
      <c r="B503" t="s">
        <v>15</v>
      </c>
      <c r="C503">
        <v>33</v>
      </c>
      <c r="D503" t="s">
        <v>20</v>
      </c>
      <c r="E503">
        <v>37</v>
      </c>
      <c r="F503" t="str">
        <f t="shared" si="7"/>
        <v>25-48 Months</v>
      </c>
      <c r="G503" t="s">
        <v>17</v>
      </c>
      <c r="H503" t="s">
        <v>20</v>
      </c>
      <c r="I503" t="s">
        <v>30</v>
      </c>
      <c r="J503" t="s">
        <v>20</v>
      </c>
      <c r="K503" t="s">
        <v>16</v>
      </c>
      <c r="L503">
        <v>2</v>
      </c>
      <c r="M503" s="7">
        <v>20</v>
      </c>
      <c r="N503" s="7">
        <v>790.64</v>
      </c>
      <c r="O503" t="s">
        <v>20</v>
      </c>
    </row>
    <row r="504" spans="1:15" x14ac:dyDescent="0.3">
      <c r="A504" t="s">
        <v>529</v>
      </c>
      <c r="B504" t="s">
        <v>15</v>
      </c>
      <c r="C504">
        <v>71</v>
      </c>
      <c r="D504" t="s">
        <v>16</v>
      </c>
      <c r="E504">
        <v>1</v>
      </c>
      <c r="F504" t="str">
        <f t="shared" si="7"/>
        <v>0-6 Months</v>
      </c>
      <c r="G504" t="s">
        <v>23</v>
      </c>
      <c r="H504" t="s">
        <v>36</v>
      </c>
      <c r="I504" t="s">
        <v>27</v>
      </c>
      <c r="J504" t="s">
        <v>20</v>
      </c>
      <c r="K504" t="s">
        <v>20</v>
      </c>
      <c r="L504">
        <v>2</v>
      </c>
      <c r="M504" s="7">
        <v>46.03</v>
      </c>
      <c r="N504" s="7">
        <v>46.58</v>
      </c>
      <c r="O504" t="s">
        <v>16</v>
      </c>
    </row>
    <row r="505" spans="1:15" x14ac:dyDescent="0.3">
      <c r="A505" t="s">
        <v>530</v>
      </c>
      <c r="B505" t="s">
        <v>22</v>
      </c>
      <c r="C505">
        <v>39</v>
      </c>
      <c r="D505" t="s">
        <v>20</v>
      </c>
      <c r="E505">
        <v>15</v>
      </c>
      <c r="F505" t="str">
        <f t="shared" si="7"/>
        <v>13-24 Months</v>
      </c>
      <c r="G505" t="s">
        <v>17</v>
      </c>
      <c r="H505" t="s">
        <v>36</v>
      </c>
      <c r="I505" t="s">
        <v>27</v>
      </c>
      <c r="J505" t="s">
        <v>20</v>
      </c>
      <c r="K505" t="s">
        <v>20</v>
      </c>
      <c r="L505">
        <v>6</v>
      </c>
      <c r="M505" s="7">
        <v>80.010000000000005</v>
      </c>
      <c r="N505" s="7">
        <v>1129.05</v>
      </c>
      <c r="O505" t="s">
        <v>20</v>
      </c>
    </row>
    <row r="506" spans="1:15" x14ac:dyDescent="0.3">
      <c r="A506" t="s">
        <v>531</v>
      </c>
      <c r="B506" t="s">
        <v>15</v>
      </c>
      <c r="C506">
        <v>45</v>
      </c>
      <c r="D506" t="s">
        <v>20</v>
      </c>
      <c r="E506">
        <v>37</v>
      </c>
      <c r="F506" t="str">
        <f t="shared" si="7"/>
        <v>25-48 Months</v>
      </c>
      <c r="G506" t="s">
        <v>17</v>
      </c>
      <c r="H506" t="s">
        <v>18</v>
      </c>
      <c r="I506" t="s">
        <v>19</v>
      </c>
      <c r="J506" t="s">
        <v>20</v>
      </c>
      <c r="K506" t="s">
        <v>20</v>
      </c>
      <c r="L506">
        <v>4</v>
      </c>
      <c r="M506" s="7">
        <v>87.1</v>
      </c>
      <c r="N506" s="7">
        <v>3056.08</v>
      </c>
      <c r="O506" t="s">
        <v>20</v>
      </c>
    </row>
    <row r="507" spans="1:15" x14ac:dyDescent="0.3">
      <c r="A507" t="s">
        <v>532</v>
      </c>
      <c r="B507" t="s">
        <v>15</v>
      </c>
      <c r="C507">
        <v>37</v>
      </c>
      <c r="D507" t="s">
        <v>20</v>
      </c>
      <c r="E507">
        <v>13</v>
      </c>
      <c r="F507" t="str">
        <f t="shared" si="7"/>
        <v>13-24 Months</v>
      </c>
      <c r="G507" t="s">
        <v>23</v>
      </c>
      <c r="H507" t="s">
        <v>20</v>
      </c>
      <c r="I507" t="s">
        <v>24</v>
      </c>
      <c r="J507" t="s">
        <v>16</v>
      </c>
      <c r="K507" t="s">
        <v>20</v>
      </c>
      <c r="L507">
        <v>3</v>
      </c>
      <c r="M507" s="7">
        <v>31.15</v>
      </c>
      <c r="N507" s="7">
        <v>381.12</v>
      </c>
      <c r="O507" t="s">
        <v>20</v>
      </c>
    </row>
    <row r="508" spans="1:15" x14ac:dyDescent="0.3">
      <c r="A508" t="s">
        <v>533</v>
      </c>
      <c r="B508" t="s">
        <v>22</v>
      </c>
      <c r="C508">
        <v>50</v>
      </c>
      <c r="D508" t="s">
        <v>20</v>
      </c>
      <c r="E508">
        <v>8</v>
      </c>
      <c r="F508" t="str">
        <f t="shared" si="7"/>
        <v>7-12 Months</v>
      </c>
      <c r="G508" t="s">
        <v>17</v>
      </c>
      <c r="H508" t="s">
        <v>36</v>
      </c>
      <c r="I508" t="s">
        <v>19</v>
      </c>
      <c r="J508" t="s">
        <v>20</v>
      </c>
      <c r="K508" t="s">
        <v>20</v>
      </c>
      <c r="L508">
        <v>1</v>
      </c>
      <c r="M508" s="7">
        <v>42.88</v>
      </c>
      <c r="N508" s="7">
        <v>332.48</v>
      </c>
      <c r="O508" t="s">
        <v>16</v>
      </c>
    </row>
    <row r="509" spans="1:15" x14ac:dyDescent="0.3">
      <c r="A509" t="s">
        <v>534</v>
      </c>
      <c r="B509" t="s">
        <v>15</v>
      </c>
      <c r="C509">
        <v>27</v>
      </c>
      <c r="D509" t="s">
        <v>20</v>
      </c>
      <c r="E509">
        <v>5</v>
      </c>
      <c r="F509" t="str">
        <f t="shared" si="7"/>
        <v>0-6 Months</v>
      </c>
      <c r="G509" t="s">
        <v>23</v>
      </c>
      <c r="H509" t="s">
        <v>18</v>
      </c>
      <c r="I509" t="s">
        <v>30</v>
      </c>
      <c r="J509" t="s">
        <v>20</v>
      </c>
      <c r="K509" t="s">
        <v>20</v>
      </c>
      <c r="L509">
        <v>4</v>
      </c>
      <c r="M509" s="7">
        <v>74.900000000000006</v>
      </c>
      <c r="N509" s="7">
        <v>367.28</v>
      </c>
      <c r="O509" t="s">
        <v>20</v>
      </c>
    </row>
    <row r="510" spans="1:15" x14ac:dyDescent="0.3">
      <c r="A510" t="s">
        <v>535</v>
      </c>
      <c r="B510" t="s">
        <v>22</v>
      </c>
      <c r="C510">
        <v>57</v>
      </c>
      <c r="D510" t="s">
        <v>20</v>
      </c>
      <c r="E510">
        <v>60</v>
      </c>
      <c r="F510" t="str">
        <f t="shared" si="7"/>
        <v>49+ Months</v>
      </c>
      <c r="G510" t="s">
        <v>17</v>
      </c>
      <c r="H510" t="s">
        <v>36</v>
      </c>
      <c r="I510" t="s">
        <v>30</v>
      </c>
      <c r="J510" t="s">
        <v>16</v>
      </c>
      <c r="K510" t="s">
        <v>20</v>
      </c>
      <c r="L510">
        <v>2</v>
      </c>
      <c r="M510" s="7">
        <v>56.29</v>
      </c>
      <c r="N510" s="7">
        <v>3537.81</v>
      </c>
      <c r="O510" t="s">
        <v>16</v>
      </c>
    </row>
    <row r="511" spans="1:15" x14ac:dyDescent="0.3">
      <c r="A511" t="s">
        <v>536</v>
      </c>
      <c r="B511" t="s">
        <v>22</v>
      </c>
      <c r="C511">
        <v>49</v>
      </c>
      <c r="D511" t="s">
        <v>20</v>
      </c>
      <c r="E511">
        <v>1</v>
      </c>
      <c r="F511" t="str">
        <f t="shared" si="7"/>
        <v>0-6 Months</v>
      </c>
      <c r="G511" t="s">
        <v>35</v>
      </c>
      <c r="H511" t="s">
        <v>36</v>
      </c>
      <c r="I511" t="s">
        <v>30</v>
      </c>
      <c r="J511" t="s">
        <v>16</v>
      </c>
      <c r="K511" t="s">
        <v>16</v>
      </c>
      <c r="L511">
        <v>6</v>
      </c>
      <c r="M511" s="7">
        <v>69.83</v>
      </c>
      <c r="N511" s="7">
        <v>66.38</v>
      </c>
      <c r="O511" t="s">
        <v>20</v>
      </c>
    </row>
    <row r="512" spans="1:15" x14ac:dyDescent="0.3">
      <c r="A512" t="s">
        <v>537</v>
      </c>
      <c r="B512" t="s">
        <v>15</v>
      </c>
      <c r="C512">
        <v>67</v>
      </c>
      <c r="D512" t="s">
        <v>16</v>
      </c>
      <c r="E512">
        <v>36</v>
      </c>
      <c r="F512" t="str">
        <f t="shared" si="7"/>
        <v>25-48 Months</v>
      </c>
      <c r="G512" t="s">
        <v>35</v>
      </c>
      <c r="H512" t="s">
        <v>36</v>
      </c>
      <c r="I512" t="s">
        <v>19</v>
      </c>
      <c r="J512" t="s">
        <v>20</v>
      </c>
      <c r="K512" t="s">
        <v>20</v>
      </c>
      <c r="L512">
        <v>4</v>
      </c>
      <c r="M512" s="7">
        <v>54.02</v>
      </c>
      <c r="N512" s="7">
        <v>2014.84</v>
      </c>
      <c r="O512" t="s">
        <v>20</v>
      </c>
    </row>
    <row r="513" spans="1:15" x14ac:dyDescent="0.3">
      <c r="A513" t="s">
        <v>538</v>
      </c>
      <c r="B513" t="s">
        <v>22</v>
      </c>
      <c r="C513">
        <v>50</v>
      </c>
      <c r="D513" t="s">
        <v>20</v>
      </c>
      <c r="E513">
        <v>35</v>
      </c>
      <c r="F513" t="str">
        <f t="shared" si="7"/>
        <v>25-48 Months</v>
      </c>
      <c r="G513" t="s">
        <v>35</v>
      </c>
      <c r="H513" t="s">
        <v>36</v>
      </c>
      <c r="I513" t="s">
        <v>24</v>
      </c>
      <c r="J513" t="s">
        <v>20</v>
      </c>
      <c r="K513" t="s">
        <v>20</v>
      </c>
      <c r="L513">
        <v>2</v>
      </c>
      <c r="M513" s="7">
        <v>46.82</v>
      </c>
      <c r="N513" s="7">
        <v>1636.4</v>
      </c>
      <c r="O513" t="s">
        <v>20</v>
      </c>
    </row>
    <row r="514" spans="1:15" x14ac:dyDescent="0.3">
      <c r="A514" t="s">
        <v>539</v>
      </c>
      <c r="B514" t="s">
        <v>15</v>
      </c>
      <c r="C514">
        <v>19</v>
      </c>
      <c r="D514" t="s">
        <v>20</v>
      </c>
      <c r="E514">
        <v>66</v>
      </c>
      <c r="F514" t="str">
        <f t="shared" ref="F514:F577" si="8">IF(E514&lt;=6,"0-6 Months",
 IF(E514&lt;=12,"7-12 Months",
 IF(E514&lt;=24,"13-24 Months",
 IF(E514&lt;=48,"25-48 Months","49+ Months"))))</f>
        <v>49+ Months</v>
      </c>
      <c r="G514" t="s">
        <v>17</v>
      </c>
      <c r="H514" t="s">
        <v>36</v>
      </c>
      <c r="I514" t="s">
        <v>24</v>
      </c>
      <c r="J514" t="s">
        <v>16</v>
      </c>
      <c r="K514" t="s">
        <v>20</v>
      </c>
      <c r="L514">
        <v>5</v>
      </c>
      <c r="M514" s="7">
        <v>70.569999999999993</v>
      </c>
      <c r="N514" s="7">
        <v>5029.9799999999996</v>
      </c>
      <c r="O514" t="s">
        <v>20</v>
      </c>
    </row>
    <row r="515" spans="1:15" x14ac:dyDescent="0.3">
      <c r="A515" t="s">
        <v>540</v>
      </c>
      <c r="B515" t="s">
        <v>22</v>
      </c>
      <c r="C515">
        <v>50</v>
      </c>
      <c r="D515" t="s">
        <v>20</v>
      </c>
      <c r="E515">
        <v>63</v>
      </c>
      <c r="F515" t="str">
        <f t="shared" si="8"/>
        <v>49+ Months</v>
      </c>
      <c r="G515" t="s">
        <v>17</v>
      </c>
      <c r="H515" t="s">
        <v>20</v>
      </c>
      <c r="I515" t="s">
        <v>19</v>
      </c>
      <c r="J515" t="s">
        <v>16</v>
      </c>
      <c r="K515" t="s">
        <v>20</v>
      </c>
      <c r="L515">
        <v>7</v>
      </c>
      <c r="M515" s="7">
        <v>63.67</v>
      </c>
      <c r="N515" s="7">
        <v>4188.72</v>
      </c>
      <c r="O515" t="s">
        <v>20</v>
      </c>
    </row>
    <row r="516" spans="1:15" x14ac:dyDescent="0.3">
      <c r="A516" t="s">
        <v>541</v>
      </c>
      <c r="B516" t="s">
        <v>22</v>
      </c>
      <c r="C516">
        <v>50</v>
      </c>
      <c r="D516" t="s">
        <v>20</v>
      </c>
      <c r="E516">
        <v>23</v>
      </c>
      <c r="F516" t="str">
        <f t="shared" si="8"/>
        <v>13-24 Months</v>
      </c>
      <c r="G516" t="s">
        <v>17</v>
      </c>
      <c r="H516" t="s">
        <v>18</v>
      </c>
      <c r="I516" t="s">
        <v>24</v>
      </c>
      <c r="J516" t="s">
        <v>20</v>
      </c>
      <c r="K516" t="s">
        <v>20</v>
      </c>
      <c r="L516">
        <v>3</v>
      </c>
      <c r="M516" s="7">
        <v>68.72</v>
      </c>
      <c r="N516" s="7">
        <v>1699.15</v>
      </c>
      <c r="O516" t="s">
        <v>16</v>
      </c>
    </row>
    <row r="517" spans="1:15" x14ac:dyDescent="0.3">
      <c r="A517" t="s">
        <v>542</v>
      </c>
      <c r="B517" t="s">
        <v>15</v>
      </c>
      <c r="C517">
        <v>58</v>
      </c>
      <c r="D517" t="s">
        <v>20</v>
      </c>
      <c r="E517">
        <v>9</v>
      </c>
      <c r="F517" t="str">
        <f t="shared" si="8"/>
        <v>7-12 Months</v>
      </c>
      <c r="G517" t="s">
        <v>17</v>
      </c>
      <c r="H517" t="s">
        <v>18</v>
      </c>
      <c r="I517" t="s">
        <v>19</v>
      </c>
      <c r="J517" t="s">
        <v>16</v>
      </c>
      <c r="K517" t="s">
        <v>16</v>
      </c>
      <c r="L517">
        <v>6</v>
      </c>
      <c r="M517" s="7">
        <v>86.18</v>
      </c>
      <c r="N517" s="7">
        <v>756.06</v>
      </c>
      <c r="O517" t="s">
        <v>16</v>
      </c>
    </row>
    <row r="518" spans="1:15" x14ac:dyDescent="0.3">
      <c r="A518" t="s">
        <v>543</v>
      </c>
      <c r="B518" t="s">
        <v>22</v>
      </c>
      <c r="C518">
        <v>30</v>
      </c>
      <c r="D518" t="s">
        <v>20</v>
      </c>
      <c r="E518">
        <v>34</v>
      </c>
      <c r="F518" t="str">
        <f t="shared" si="8"/>
        <v>25-48 Months</v>
      </c>
      <c r="G518" t="s">
        <v>17</v>
      </c>
      <c r="H518" t="s">
        <v>18</v>
      </c>
      <c r="I518" t="s">
        <v>24</v>
      </c>
      <c r="J518" t="s">
        <v>20</v>
      </c>
      <c r="K518" t="s">
        <v>20</v>
      </c>
      <c r="L518">
        <v>4</v>
      </c>
      <c r="M518" s="7">
        <v>79.900000000000006</v>
      </c>
      <c r="N518" s="7">
        <v>2552.7600000000002</v>
      </c>
      <c r="O518" t="s">
        <v>20</v>
      </c>
    </row>
    <row r="519" spans="1:15" x14ac:dyDescent="0.3">
      <c r="A519" t="s">
        <v>544</v>
      </c>
      <c r="B519" t="s">
        <v>22</v>
      </c>
      <c r="C519">
        <v>47</v>
      </c>
      <c r="D519" t="s">
        <v>20</v>
      </c>
      <c r="E519">
        <v>46</v>
      </c>
      <c r="F519" t="str">
        <f t="shared" si="8"/>
        <v>25-48 Months</v>
      </c>
      <c r="G519" t="s">
        <v>23</v>
      </c>
      <c r="H519" t="s">
        <v>36</v>
      </c>
      <c r="I519" t="s">
        <v>30</v>
      </c>
      <c r="J519" t="s">
        <v>20</v>
      </c>
      <c r="K519" t="s">
        <v>16</v>
      </c>
      <c r="L519">
        <v>2</v>
      </c>
      <c r="M519" s="7">
        <v>49.68</v>
      </c>
      <c r="N519" s="7">
        <v>2287.44</v>
      </c>
      <c r="O519" t="s">
        <v>16</v>
      </c>
    </row>
    <row r="520" spans="1:15" x14ac:dyDescent="0.3">
      <c r="A520" t="s">
        <v>545</v>
      </c>
      <c r="B520" t="s">
        <v>22</v>
      </c>
      <c r="C520">
        <v>50</v>
      </c>
      <c r="D520" t="s">
        <v>20</v>
      </c>
      <c r="E520">
        <v>4</v>
      </c>
      <c r="F520" t="str">
        <f t="shared" si="8"/>
        <v>0-6 Months</v>
      </c>
      <c r="G520" t="s">
        <v>17</v>
      </c>
      <c r="H520" t="s">
        <v>36</v>
      </c>
      <c r="I520" t="s">
        <v>24</v>
      </c>
      <c r="J520" t="s">
        <v>20</v>
      </c>
      <c r="K520" t="s">
        <v>16</v>
      </c>
      <c r="L520">
        <v>3</v>
      </c>
      <c r="M520" s="7">
        <v>62.91</v>
      </c>
      <c r="N520" s="7">
        <v>236.51</v>
      </c>
      <c r="O520" t="s">
        <v>16</v>
      </c>
    </row>
    <row r="521" spans="1:15" x14ac:dyDescent="0.3">
      <c r="A521" t="s">
        <v>546</v>
      </c>
      <c r="B521" t="s">
        <v>22</v>
      </c>
      <c r="C521">
        <v>30</v>
      </c>
      <c r="D521" t="s">
        <v>20</v>
      </c>
      <c r="E521">
        <v>30</v>
      </c>
      <c r="F521" t="str">
        <f t="shared" si="8"/>
        <v>25-48 Months</v>
      </c>
      <c r="G521" t="s">
        <v>35</v>
      </c>
      <c r="H521" t="s">
        <v>20</v>
      </c>
      <c r="I521" t="s">
        <v>27</v>
      </c>
      <c r="J521" t="s">
        <v>20</v>
      </c>
      <c r="K521" t="s">
        <v>20</v>
      </c>
      <c r="L521">
        <v>1</v>
      </c>
      <c r="M521" s="7">
        <v>27.93</v>
      </c>
      <c r="N521" s="7">
        <v>836.89</v>
      </c>
      <c r="O521" t="s">
        <v>20</v>
      </c>
    </row>
    <row r="522" spans="1:15" x14ac:dyDescent="0.3">
      <c r="A522" t="s">
        <v>547</v>
      </c>
      <c r="B522" t="s">
        <v>22</v>
      </c>
      <c r="C522">
        <v>69</v>
      </c>
      <c r="D522" t="s">
        <v>16</v>
      </c>
      <c r="E522">
        <v>72</v>
      </c>
      <c r="F522" t="str">
        <f t="shared" si="8"/>
        <v>49+ Months</v>
      </c>
      <c r="G522" t="s">
        <v>17</v>
      </c>
      <c r="H522" t="s">
        <v>36</v>
      </c>
      <c r="I522" t="s">
        <v>30</v>
      </c>
      <c r="J522" t="s">
        <v>16</v>
      </c>
      <c r="K522" t="s">
        <v>20</v>
      </c>
      <c r="L522">
        <v>5</v>
      </c>
      <c r="M522" s="7">
        <v>76.36</v>
      </c>
      <c r="N522" s="7">
        <v>5295.54</v>
      </c>
      <c r="O522" t="s">
        <v>20</v>
      </c>
    </row>
    <row r="523" spans="1:15" x14ac:dyDescent="0.3">
      <c r="A523" t="s">
        <v>548</v>
      </c>
      <c r="B523" t="s">
        <v>15</v>
      </c>
      <c r="C523">
        <v>43</v>
      </c>
      <c r="D523" t="s">
        <v>20</v>
      </c>
      <c r="E523">
        <v>3</v>
      </c>
      <c r="F523" t="str">
        <f t="shared" si="8"/>
        <v>0-6 Months</v>
      </c>
      <c r="G523" t="s">
        <v>17</v>
      </c>
      <c r="H523" t="s">
        <v>36</v>
      </c>
      <c r="I523" t="s">
        <v>30</v>
      </c>
      <c r="J523" t="s">
        <v>20</v>
      </c>
      <c r="K523" t="s">
        <v>16</v>
      </c>
      <c r="L523">
        <v>3</v>
      </c>
      <c r="M523" s="7">
        <v>63.41</v>
      </c>
      <c r="N523" s="7">
        <v>189.96</v>
      </c>
      <c r="O523" t="s">
        <v>20</v>
      </c>
    </row>
    <row r="524" spans="1:15" x14ac:dyDescent="0.3">
      <c r="A524" t="s">
        <v>549</v>
      </c>
      <c r="B524" t="s">
        <v>22</v>
      </c>
      <c r="C524">
        <v>39</v>
      </c>
      <c r="D524" t="s">
        <v>20</v>
      </c>
      <c r="E524">
        <v>14</v>
      </c>
      <c r="F524" t="str">
        <f t="shared" si="8"/>
        <v>13-24 Months</v>
      </c>
      <c r="G524" t="s">
        <v>17</v>
      </c>
      <c r="H524" t="s">
        <v>20</v>
      </c>
      <c r="I524" t="s">
        <v>30</v>
      </c>
      <c r="J524" t="s">
        <v>16</v>
      </c>
      <c r="K524" t="s">
        <v>20</v>
      </c>
      <c r="L524">
        <v>6</v>
      </c>
      <c r="M524" s="7">
        <v>44.2</v>
      </c>
      <c r="N524" s="7">
        <v>663.32</v>
      </c>
      <c r="O524" t="s">
        <v>16</v>
      </c>
    </row>
    <row r="525" spans="1:15" x14ac:dyDescent="0.3">
      <c r="A525" t="s">
        <v>550</v>
      </c>
      <c r="B525" t="s">
        <v>15</v>
      </c>
      <c r="C525">
        <v>56</v>
      </c>
      <c r="D525" t="s">
        <v>20</v>
      </c>
      <c r="E525">
        <v>60</v>
      </c>
      <c r="F525" t="str">
        <f t="shared" si="8"/>
        <v>49+ Months</v>
      </c>
      <c r="G525" t="s">
        <v>35</v>
      </c>
      <c r="H525" t="s">
        <v>18</v>
      </c>
      <c r="I525" t="s">
        <v>24</v>
      </c>
      <c r="J525" t="s">
        <v>20</v>
      </c>
      <c r="K525" t="s">
        <v>20</v>
      </c>
      <c r="L525">
        <v>1</v>
      </c>
      <c r="M525" s="7">
        <v>67.47</v>
      </c>
      <c r="N525" s="7">
        <v>3911.55</v>
      </c>
      <c r="O525" t="s">
        <v>20</v>
      </c>
    </row>
    <row r="526" spans="1:15" x14ac:dyDescent="0.3">
      <c r="A526" t="s">
        <v>551</v>
      </c>
      <c r="B526" t="s">
        <v>22</v>
      </c>
      <c r="C526">
        <v>19</v>
      </c>
      <c r="D526" t="s">
        <v>20</v>
      </c>
      <c r="E526">
        <v>45</v>
      </c>
      <c r="F526" t="str">
        <f t="shared" si="8"/>
        <v>25-48 Months</v>
      </c>
      <c r="G526" t="s">
        <v>23</v>
      </c>
      <c r="H526" t="s">
        <v>20</v>
      </c>
      <c r="I526" t="s">
        <v>19</v>
      </c>
      <c r="J526" t="s">
        <v>20</v>
      </c>
      <c r="K526" t="s">
        <v>20</v>
      </c>
      <c r="L526">
        <v>2</v>
      </c>
      <c r="M526" s="7">
        <v>26.16</v>
      </c>
      <c r="N526" s="7">
        <v>1270.1400000000001</v>
      </c>
      <c r="O526" t="s">
        <v>20</v>
      </c>
    </row>
    <row r="527" spans="1:15" x14ac:dyDescent="0.3">
      <c r="A527" t="s">
        <v>552</v>
      </c>
      <c r="B527" t="s">
        <v>15</v>
      </c>
      <c r="C527">
        <v>55</v>
      </c>
      <c r="D527" t="s">
        <v>20</v>
      </c>
      <c r="E527">
        <v>34</v>
      </c>
      <c r="F527" t="str">
        <f t="shared" si="8"/>
        <v>25-48 Months</v>
      </c>
      <c r="G527" t="s">
        <v>35</v>
      </c>
      <c r="H527" t="s">
        <v>18</v>
      </c>
      <c r="I527" t="s">
        <v>27</v>
      </c>
      <c r="J527" t="s">
        <v>16</v>
      </c>
      <c r="K527" t="s">
        <v>20</v>
      </c>
      <c r="L527">
        <v>2</v>
      </c>
      <c r="M527" s="7">
        <v>68.260000000000005</v>
      </c>
      <c r="N527" s="7">
        <v>2220.33</v>
      </c>
      <c r="O527" t="s">
        <v>20</v>
      </c>
    </row>
    <row r="528" spans="1:15" x14ac:dyDescent="0.3">
      <c r="A528" t="s">
        <v>553</v>
      </c>
      <c r="B528" t="s">
        <v>15</v>
      </c>
      <c r="C528">
        <v>56</v>
      </c>
      <c r="D528" t="s">
        <v>20</v>
      </c>
      <c r="E528">
        <v>45</v>
      </c>
      <c r="F528" t="str">
        <f t="shared" si="8"/>
        <v>25-48 Months</v>
      </c>
      <c r="G528" t="s">
        <v>35</v>
      </c>
      <c r="H528" t="s">
        <v>36</v>
      </c>
      <c r="I528" t="s">
        <v>27</v>
      </c>
      <c r="J528" t="s">
        <v>20</v>
      </c>
      <c r="K528" t="s">
        <v>20</v>
      </c>
      <c r="L528">
        <v>4</v>
      </c>
      <c r="M528" s="7">
        <v>65.09</v>
      </c>
      <c r="N528" s="7">
        <v>2792.26</v>
      </c>
      <c r="O528" t="s">
        <v>20</v>
      </c>
    </row>
    <row r="529" spans="1:15" x14ac:dyDescent="0.3">
      <c r="A529" t="s">
        <v>554</v>
      </c>
      <c r="B529" t="s">
        <v>22</v>
      </c>
      <c r="C529">
        <v>43</v>
      </c>
      <c r="D529" t="s">
        <v>20</v>
      </c>
      <c r="E529">
        <v>61</v>
      </c>
      <c r="F529" t="str">
        <f t="shared" si="8"/>
        <v>49+ Months</v>
      </c>
      <c r="G529" t="s">
        <v>17</v>
      </c>
      <c r="H529" t="s">
        <v>36</v>
      </c>
      <c r="I529" t="s">
        <v>27</v>
      </c>
      <c r="J529" t="s">
        <v>20</v>
      </c>
      <c r="K529" t="s">
        <v>16</v>
      </c>
      <c r="L529">
        <v>5</v>
      </c>
      <c r="M529" s="7">
        <v>64.72</v>
      </c>
      <c r="N529" s="7">
        <v>3976.21</v>
      </c>
      <c r="O529" t="s">
        <v>20</v>
      </c>
    </row>
    <row r="530" spans="1:15" x14ac:dyDescent="0.3">
      <c r="A530" t="s">
        <v>555</v>
      </c>
      <c r="B530" t="s">
        <v>22</v>
      </c>
      <c r="C530">
        <v>63</v>
      </c>
      <c r="D530" t="s">
        <v>16</v>
      </c>
      <c r="E530">
        <v>16</v>
      </c>
      <c r="F530" t="str">
        <f t="shared" si="8"/>
        <v>13-24 Months</v>
      </c>
      <c r="G530" t="s">
        <v>17</v>
      </c>
      <c r="H530" t="s">
        <v>36</v>
      </c>
      <c r="I530" t="s">
        <v>30</v>
      </c>
      <c r="J530" t="s">
        <v>20</v>
      </c>
      <c r="K530" t="s">
        <v>20</v>
      </c>
      <c r="L530">
        <v>2</v>
      </c>
      <c r="M530" s="7">
        <v>65.790000000000006</v>
      </c>
      <c r="N530" s="7">
        <v>1110.25</v>
      </c>
      <c r="O530" t="s">
        <v>16</v>
      </c>
    </row>
    <row r="531" spans="1:15" x14ac:dyDescent="0.3">
      <c r="A531" t="s">
        <v>556</v>
      </c>
      <c r="B531" t="s">
        <v>22</v>
      </c>
      <c r="C531">
        <v>75</v>
      </c>
      <c r="D531" t="s">
        <v>16</v>
      </c>
      <c r="E531">
        <v>66</v>
      </c>
      <c r="F531" t="str">
        <f t="shared" si="8"/>
        <v>49+ Months</v>
      </c>
      <c r="G531" t="s">
        <v>17</v>
      </c>
      <c r="H531" t="s">
        <v>18</v>
      </c>
      <c r="I531" t="s">
        <v>24</v>
      </c>
      <c r="J531" t="s">
        <v>20</v>
      </c>
      <c r="K531" t="s">
        <v>16</v>
      </c>
      <c r="L531">
        <v>5</v>
      </c>
      <c r="M531" s="7">
        <v>74.45</v>
      </c>
      <c r="N531" s="7">
        <v>5109.8599999999997</v>
      </c>
      <c r="O531" t="s">
        <v>20</v>
      </c>
    </row>
    <row r="532" spans="1:15" x14ac:dyDescent="0.3">
      <c r="A532" t="s">
        <v>557</v>
      </c>
      <c r="B532" t="s">
        <v>15</v>
      </c>
      <c r="C532">
        <v>67</v>
      </c>
      <c r="D532" t="s">
        <v>16</v>
      </c>
      <c r="E532">
        <v>40</v>
      </c>
      <c r="F532" t="str">
        <f t="shared" si="8"/>
        <v>25-48 Months</v>
      </c>
      <c r="G532" t="s">
        <v>23</v>
      </c>
      <c r="H532" t="s">
        <v>18</v>
      </c>
      <c r="I532" t="s">
        <v>24</v>
      </c>
      <c r="J532" t="s">
        <v>20</v>
      </c>
      <c r="K532" t="s">
        <v>20</v>
      </c>
      <c r="L532">
        <v>7</v>
      </c>
      <c r="M532" s="7">
        <v>90.77</v>
      </c>
      <c r="N532" s="7">
        <v>3760.66</v>
      </c>
      <c r="O532" t="s">
        <v>16</v>
      </c>
    </row>
    <row r="533" spans="1:15" x14ac:dyDescent="0.3">
      <c r="A533" t="s">
        <v>558</v>
      </c>
      <c r="B533" t="s">
        <v>22</v>
      </c>
      <c r="C533">
        <v>32</v>
      </c>
      <c r="D533" t="s">
        <v>20</v>
      </c>
      <c r="E533">
        <v>17</v>
      </c>
      <c r="F533" t="str">
        <f t="shared" si="8"/>
        <v>13-24 Months</v>
      </c>
      <c r="G533" t="s">
        <v>17</v>
      </c>
      <c r="H533" t="s">
        <v>36</v>
      </c>
      <c r="I533" t="s">
        <v>30</v>
      </c>
      <c r="J533" t="s">
        <v>20</v>
      </c>
      <c r="K533" t="s">
        <v>20</v>
      </c>
      <c r="L533">
        <v>4</v>
      </c>
      <c r="M533" s="7">
        <v>55.46</v>
      </c>
      <c r="N533" s="7">
        <v>910.03</v>
      </c>
      <c r="O533" t="s">
        <v>20</v>
      </c>
    </row>
    <row r="534" spans="1:15" x14ac:dyDescent="0.3">
      <c r="A534" t="s">
        <v>559</v>
      </c>
      <c r="B534" t="s">
        <v>15</v>
      </c>
      <c r="C534">
        <v>51</v>
      </c>
      <c r="D534" t="s">
        <v>20</v>
      </c>
      <c r="E534">
        <v>34</v>
      </c>
      <c r="F534" t="str">
        <f t="shared" si="8"/>
        <v>25-48 Months</v>
      </c>
      <c r="G534" t="s">
        <v>17</v>
      </c>
      <c r="H534" t="s">
        <v>20</v>
      </c>
      <c r="I534" t="s">
        <v>19</v>
      </c>
      <c r="J534" t="s">
        <v>20</v>
      </c>
      <c r="K534" t="s">
        <v>20</v>
      </c>
      <c r="L534">
        <v>5</v>
      </c>
      <c r="M534" s="7">
        <v>42.79</v>
      </c>
      <c r="N534" s="7">
        <v>1343.71</v>
      </c>
      <c r="O534" t="s">
        <v>20</v>
      </c>
    </row>
    <row r="535" spans="1:15" x14ac:dyDescent="0.3">
      <c r="A535" t="s">
        <v>560</v>
      </c>
      <c r="B535" t="s">
        <v>15</v>
      </c>
      <c r="C535">
        <v>59</v>
      </c>
      <c r="D535" t="s">
        <v>20</v>
      </c>
      <c r="E535">
        <v>16</v>
      </c>
      <c r="F535" t="str">
        <f t="shared" si="8"/>
        <v>13-24 Months</v>
      </c>
      <c r="G535" t="s">
        <v>35</v>
      </c>
      <c r="H535" t="s">
        <v>18</v>
      </c>
      <c r="I535" t="s">
        <v>24</v>
      </c>
      <c r="J535" t="s">
        <v>20</v>
      </c>
      <c r="K535" t="s">
        <v>16</v>
      </c>
      <c r="L535">
        <v>4</v>
      </c>
      <c r="M535" s="7">
        <v>79.290000000000006</v>
      </c>
      <c r="N535" s="7">
        <v>1199.98</v>
      </c>
      <c r="O535" t="s">
        <v>16</v>
      </c>
    </row>
    <row r="536" spans="1:15" x14ac:dyDescent="0.3">
      <c r="A536" t="s">
        <v>561</v>
      </c>
      <c r="B536" t="s">
        <v>15</v>
      </c>
      <c r="C536">
        <v>72</v>
      </c>
      <c r="D536" t="s">
        <v>16</v>
      </c>
      <c r="E536">
        <v>60</v>
      </c>
      <c r="F536" t="str">
        <f t="shared" si="8"/>
        <v>49+ Months</v>
      </c>
      <c r="G536" t="s">
        <v>35</v>
      </c>
      <c r="H536" t="s">
        <v>20</v>
      </c>
      <c r="I536" t="s">
        <v>27</v>
      </c>
      <c r="J536" t="s">
        <v>20</v>
      </c>
      <c r="K536" t="s">
        <v>16</v>
      </c>
      <c r="L536">
        <v>3</v>
      </c>
      <c r="M536" s="7">
        <v>32.26</v>
      </c>
      <c r="N536" s="7">
        <v>1888.98</v>
      </c>
      <c r="O536" t="s">
        <v>20</v>
      </c>
    </row>
    <row r="537" spans="1:15" x14ac:dyDescent="0.3">
      <c r="A537" t="s">
        <v>562</v>
      </c>
      <c r="B537" t="s">
        <v>22</v>
      </c>
      <c r="C537">
        <v>61</v>
      </c>
      <c r="D537" t="s">
        <v>16</v>
      </c>
      <c r="E537">
        <v>66</v>
      </c>
      <c r="F537" t="str">
        <f t="shared" si="8"/>
        <v>49+ Months</v>
      </c>
      <c r="G537" t="s">
        <v>23</v>
      </c>
      <c r="H537" t="s">
        <v>18</v>
      </c>
      <c r="I537" t="s">
        <v>19</v>
      </c>
      <c r="J537" t="s">
        <v>16</v>
      </c>
      <c r="K537" t="s">
        <v>20</v>
      </c>
      <c r="L537">
        <v>8</v>
      </c>
      <c r="M537" s="7">
        <v>101.71</v>
      </c>
      <c r="N537" s="7">
        <v>7219.48</v>
      </c>
      <c r="O537" t="s">
        <v>20</v>
      </c>
    </row>
    <row r="538" spans="1:15" x14ac:dyDescent="0.3">
      <c r="A538" t="s">
        <v>563</v>
      </c>
      <c r="B538" t="s">
        <v>22</v>
      </c>
      <c r="C538">
        <v>66</v>
      </c>
      <c r="D538" t="s">
        <v>16</v>
      </c>
      <c r="E538">
        <v>66</v>
      </c>
      <c r="F538" t="str">
        <f t="shared" si="8"/>
        <v>49+ Months</v>
      </c>
      <c r="G538" t="s">
        <v>23</v>
      </c>
      <c r="H538" t="s">
        <v>36</v>
      </c>
      <c r="I538" t="s">
        <v>24</v>
      </c>
      <c r="J538" t="s">
        <v>20</v>
      </c>
      <c r="K538" t="s">
        <v>20</v>
      </c>
      <c r="L538">
        <v>4</v>
      </c>
      <c r="M538" s="7">
        <v>71.260000000000005</v>
      </c>
      <c r="N538" s="7">
        <v>5019.04</v>
      </c>
      <c r="O538" t="s">
        <v>20</v>
      </c>
    </row>
    <row r="539" spans="1:15" x14ac:dyDescent="0.3">
      <c r="A539" t="s">
        <v>564</v>
      </c>
      <c r="B539" t="s">
        <v>15</v>
      </c>
      <c r="C539">
        <v>57</v>
      </c>
      <c r="D539" t="s">
        <v>20</v>
      </c>
      <c r="E539">
        <v>13</v>
      </c>
      <c r="F539" t="str">
        <f t="shared" si="8"/>
        <v>13-24 Months</v>
      </c>
      <c r="G539" t="s">
        <v>23</v>
      </c>
      <c r="H539" t="s">
        <v>36</v>
      </c>
      <c r="I539" t="s">
        <v>27</v>
      </c>
      <c r="J539" t="s">
        <v>20</v>
      </c>
      <c r="K539" t="s">
        <v>20</v>
      </c>
      <c r="L539">
        <v>4</v>
      </c>
      <c r="M539" s="7">
        <v>42.65</v>
      </c>
      <c r="N539" s="7">
        <v>527.89</v>
      </c>
      <c r="O539" t="s">
        <v>20</v>
      </c>
    </row>
    <row r="540" spans="1:15" x14ac:dyDescent="0.3">
      <c r="A540" t="s">
        <v>565</v>
      </c>
      <c r="B540" t="s">
        <v>15</v>
      </c>
      <c r="C540">
        <v>28</v>
      </c>
      <c r="D540" t="s">
        <v>20</v>
      </c>
      <c r="E540">
        <v>56</v>
      </c>
      <c r="F540" t="str">
        <f t="shared" si="8"/>
        <v>49+ Months</v>
      </c>
      <c r="G540" t="s">
        <v>17</v>
      </c>
      <c r="H540" t="s">
        <v>36</v>
      </c>
      <c r="I540" t="s">
        <v>27</v>
      </c>
      <c r="J540" t="s">
        <v>20</v>
      </c>
      <c r="K540" t="s">
        <v>16</v>
      </c>
      <c r="L540">
        <v>4</v>
      </c>
      <c r="M540" s="7">
        <v>68.75</v>
      </c>
      <c r="N540" s="7">
        <v>3988.98</v>
      </c>
      <c r="O540" t="s">
        <v>20</v>
      </c>
    </row>
    <row r="541" spans="1:15" x14ac:dyDescent="0.3">
      <c r="A541" t="s">
        <v>566</v>
      </c>
      <c r="B541" t="s">
        <v>22</v>
      </c>
      <c r="C541">
        <v>20</v>
      </c>
      <c r="D541" t="s">
        <v>20</v>
      </c>
      <c r="E541">
        <v>31</v>
      </c>
      <c r="F541" t="str">
        <f t="shared" si="8"/>
        <v>25-48 Months</v>
      </c>
      <c r="G541" t="s">
        <v>17</v>
      </c>
      <c r="H541" t="s">
        <v>20</v>
      </c>
      <c r="I541" t="s">
        <v>19</v>
      </c>
      <c r="J541" t="s">
        <v>20</v>
      </c>
      <c r="K541" t="s">
        <v>20</v>
      </c>
      <c r="L541">
        <v>5</v>
      </c>
      <c r="M541" s="7">
        <v>62.62</v>
      </c>
      <c r="N541" s="7">
        <v>1965.76</v>
      </c>
      <c r="O541" t="s">
        <v>16</v>
      </c>
    </row>
    <row r="542" spans="1:15" x14ac:dyDescent="0.3">
      <c r="A542" t="s">
        <v>567</v>
      </c>
      <c r="B542" t="s">
        <v>15</v>
      </c>
      <c r="C542">
        <v>23</v>
      </c>
      <c r="D542" t="s">
        <v>20</v>
      </c>
      <c r="E542">
        <v>34</v>
      </c>
      <c r="F542" t="str">
        <f t="shared" si="8"/>
        <v>25-48 Months</v>
      </c>
      <c r="G542" t="s">
        <v>23</v>
      </c>
      <c r="H542" t="s">
        <v>36</v>
      </c>
      <c r="I542" t="s">
        <v>27</v>
      </c>
      <c r="J542" t="s">
        <v>20</v>
      </c>
      <c r="K542" t="s">
        <v>16</v>
      </c>
      <c r="L542">
        <v>6</v>
      </c>
      <c r="M542" s="7">
        <v>68.33</v>
      </c>
      <c r="N542" s="7">
        <v>2155.89</v>
      </c>
      <c r="O542" t="s">
        <v>20</v>
      </c>
    </row>
    <row r="543" spans="1:15" x14ac:dyDescent="0.3">
      <c r="A543" t="s">
        <v>568</v>
      </c>
      <c r="B543" t="s">
        <v>22</v>
      </c>
      <c r="C543">
        <v>26</v>
      </c>
      <c r="D543" t="s">
        <v>20</v>
      </c>
      <c r="E543">
        <v>39</v>
      </c>
      <c r="F543" t="str">
        <f t="shared" si="8"/>
        <v>25-48 Months</v>
      </c>
      <c r="G543" t="s">
        <v>23</v>
      </c>
      <c r="H543" t="s">
        <v>36</v>
      </c>
      <c r="I543" t="s">
        <v>27</v>
      </c>
      <c r="J543" t="s">
        <v>20</v>
      </c>
      <c r="K543" t="s">
        <v>16</v>
      </c>
      <c r="L543">
        <v>4</v>
      </c>
      <c r="M543" s="7">
        <v>54.73</v>
      </c>
      <c r="N543" s="7">
        <v>2090.66</v>
      </c>
      <c r="O543" t="s">
        <v>20</v>
      </c>
    </row>
    <row r="544" spans="1:15" x14ac:dyDescent="0.3">
      <c r="A544" t="s">
        <v>569</v>
      </c>
      <c r="B544" t="s">
        <v>15</v>
      </c>
      <c r="C544">
        <v>23</v>
      </c>
      <c r="D544" t="s">
        <v>20</v>
      </c>
      <c r="E544">
        <v>67</v>
      </c>
      <c r="F544" t="str">
        <f t="shared" si="8"/>
        <v>49+ Months</v>
      </c>
      <c r="G544" t="s">
        <v>17</v>
      </c>
      <c r="H544" t="s">
        <v>18</v>
      </c>
      <c r="I544" t="s">
        <v>19</v>
      </c>
      <c r="J544" t="s">
        <v>20</v>
      </c>
      <c r="K544" t="s">
        <v>20</v>
      </c>
      <c r="L544">
        <v>6</v>
      </c>
      <c r="M544" s="7">
        <v>82.99</v>
      </c>
      <c r="N544" s="7">
        <v>5547.94</v>
      </c>
      <c r="O544" t="s">
        <v>20</v>
      </c>
    </row>
    <row r="545" spans="1:15" x14ac:dyDescent="0.3">
      <c r="A545" t="s">
        <v>570</v>
      </c>
      <c r="B545" t="s">
        <v>22</v>
      </c>
      <c r="C545">
        <v>26</v>
      </c>
      <c r="D545" t="s">
        <v>20</v>
      </c>
      <c r="E545">
        <v>8</v>
      </c>
      <c r="F545" t="str">
        <f t="shared" si="8"/>
        <v>7-12 Months</v>
      </c>
      <c r="G545" t="s">
        <v>35</v>
      </c>
      <c r="H545" t="s">
        <v>18</v>
      </c>
      <c r="I545" t="s">
        <v>24</v>
      </c>
      <c r="J545" t="s">
        <v>16</v>
      </c>
      <c r="K545" t="s">
        <v>20</v>
      </c>
      <c r="L545">
        <v>2</v>
      </c>
      <c r="M545" s="7">
        <v>68.849999999999994</v>
      </c>
      <c r="N545" s="7">
        <v>565.57000000000005</v>
      </c>
      <c r="O545" t="s">
        <v>16</v>
      </c>
    </row>
    <row r="546" spans="1:15" x14ac:dyDescent="0.3">
      <c r="A546" t="s">
        <v>571</v>
      </c>
      <c r="B546" t="s">
        <v>15</v>
      </c>
      <c r="C546">
        <v>56</v>
      </c>
      <c r="D546" t="s">
        <v>20</v>
      </c>
      <c r="E546">
        <v>55</v>
      </c>
      <c r="F546" t="str">
        <f t="shared" si="8"/>
        <v>49+ Months</v>
      </c>
      <c r="G546" t="s">
        <v>17</v>
      </c>
      <c r="H546" t="s">
        <v>18</v>
      </c>
      <c r="I546" t="s">
        <v>24</v>
      </c>
      <c r="J546" t="s">
        <v>16</v>
      </c>
      <c r="K546" t="s">
        <v>16</v>
      </c>
      <c r="L546">
        <v>5</v>
      </c>
      <c r="M546" s="7">
        <v>86.01</v>
      </c>
      <c r="N546" s="7">
        <v>4575.32</v>
      </c>
      <c r="O546" t="s">
        <v>20</v>
      </c>
    </row>
    <row r="547" spans="1:15" x14ac:dyDescent="0.3">
      <c r="A547" t="s">
        <v>572</v>
      </c>
      <c r="B547" t="s">
        <v>22</v>
      </c>
      <c r="C547">
        <v>48</v>
      </c>
      <c r="D547" t="s">
        <v>20</v>
      </c>
      <c r="E547">
        <v>27</v>
      </c>
      <c r="F547" t="str">
        <f t="shared" si="8"/>
        <v>25-48 Months</v>
      </c>
      <c r="G547" t="s">
        <v>17</v>
      </c>
      <c r="H547" t="s">
        <v>36</v>
      </c>
      <c r="I547" t="s">
        <v>30</v>
      </c>
      <c r="J547" t="s">
        <v>20</v>
      </c>
      <c r="K547" t="s">
        <v>16</v>
      </c>
      <c r="L547">
        <v>3</v>
      </c>
      <c r="M547" s="7">
        <v>52.01</v>
      </c>
      <c r="N547" s="7">
        <v>1501.74</v>
      </c>
      <c r="O547" t="s">
        <v>20</v>
      </c>
    </row>
    <row r="548" spans="1:15" x14ac:dyDescent="0.3">
      <c r="A548" t="s">
        <v>573</v>
      </c>
      <c r="B548" t="s">
        <v>15</v>
      </c>
      <c r="C548">
        <v>49</v>
      </c>
      <c r="D548" t="s">
        <v>20</v>
      </c>
      <c r="E548">
        <v>53</v>
      </c>
      <c r="F548" t="str">
        <f t="shared" si="8"/>
        <v>49+ Months</v>
      </c>
      <c r="G548" t="s">
        <v>23</v>
      </c>
      <c r="H548" t="s">
        <v>18</v>
      </c>
      <c r="I548" t="s">
        <v>19</v>
      </c>
      <c r="J548" t="s">
        <v>20</v>
      </c>
      <c r="K548" t="s">
        <v>20</v>
      </c>
      <c r="L548">
        <v>5</v>
      </c>
      <c r="M548" s="7">
        <v>82.44</v>
      </c>
      <c r="N548" s="7">
        <v>4335.68</v>
      </c>
      <c r="O548" t="s">
        <v>20</v>
      </c>
    </row>
    <row r="549" spans="1:15" x14ac:dyDescent="0.3">
      <c r="A549" t="s">
        <v>574</v>
      </c>
      <c r="B549" t="s">
        <v>22</v>
      </c>
      <c r="C549">
        <v>58</v>
      </c>
      <c r="D549" t="s">
        <v>20</v>
      </c>
      <c r="E549">
        <v>39</v>
      </c>
      <c r="F549" t="str">
        <f t="shared" si="8"/>
        <v>25-48 Months</v>
      </c>
      <c r="G549" t="s">
        <v>17</v>
      </c>
      <c r="H549" t="s">
        <v>18</v>
      </c>
      <c r="I549" t="s">
        <v>27</v>
      </c>
      <c r="J549" t="s">
        <v>20</v>
      </c>
      <c r="K549" t="s">
        <v>16</v>
      </c>
      <c r="L549">
        <v>1</v>
      </c>
      <c r="M549" s="7">
        <v>60.31</v>
      </c>
      <c r="N549" s="7">
        <v>2257.4499999999998</v>
      </c>
      <c r="O549" t="s">
        <v>20</v>
      </c>
    </row>
    <row r="550" spans="1:15" x14ac:dyDescent="0.3">
      <c r="A550" t="s">
        <v>575</v>
      </c>
      <c r="B550" t="s">
        <v>22</v>
      </c>
      <c r="C550">
        <v>67</v>
      </c>
      <c r="D550" t="s">
        <v>16</v>
      </c>
      <c r="E550">
        <v>65</v>
      </c>
      <c r="F550" t="str">
        <f t="shared" si="8"/>
        <v>49+ Months</v>
      </c>
      <c r="G550" t="s">
        <v>17</v>
      </c>
      <c r="H550" t="s">
        <v>18</v>
      </c>
      <c r="I550" t="s">
        <v>27</v>
      </c>
      <c r="J550" t="s">
        <v>16</v>
      </c>
      <c r="K550" t="s">
        <v>20</v>
      </c>
      <c r="L550">
        <v>4</v>
      </c>
      <c r="M550" s="7">
        <v>75.8</v>
      </c>
      <c r="N550" s="7">
        <v>4782.29</v>
      </c>
      <c r="O550" t="s">
        <v>20</v>
      </c>
    </row>
    <row r="551" spans="1:15" x14ac:dyDescent="0.3">
      <c r="A551" t="s">
        <v>576</v>
      </c>
      <c r="B551" t="s">
        <v>15</v>
      </c>
      <c r="C551">
        <v>29</v>
      </c>
      <c r="D551" t="s">
        <v>20</v>
      </c>
      <c r="E551">
        <v>17</v>
      </c>
      <c r="F551" t="str">
        <f t="shared" si="8"/>
        <v>13-24 Months</v>
      </c>
      <c r="G551" t="s">
        <v>17</v>
      </c>
      <c r="H551" t="s">
        <v>18</v>
      </c>
      <c r="I551" t="s">
        <v>27</v>
      </c>
      <c r="J551" t="s">
        <v>16</v>
      </c>
      <c r="K551" t="s">
        <v>20</v>
      </c>
      <c r="L551">
        <v>4</v>
      </c>
      <c r="M551" s="7">
        <v>76.11</v>
      </c>
      <c r="N551" s="7">
        <v>1346.02</v>
      </c>
      <c r="O551" t="s">
        <v>20</v>
      </c>
    </row>
    <row r="552" spans="1:15" x14ac:dyDescent="0.3">
      <c r="A552" t="s">
        <v>577</v>
      </c>
      <c r="B552" t="s">
        <v>15</v>
      </c>
      <c r="C552">
        <v>25</v>
      </c>
      <c r="D552" t="s">
        <v>20</v>
      </c>
      <c r="E552">
        <v>30</v>
      </c>
      <c r="F552" t="str">
        <f t="shared" si="8"/>
        <v>25-48 Months</v>
      </c>
      <c r="G552" t="s">
        <v>23</v>
      </c>
      <c r="H552" t="s">
        <v>18</v>
      </c>
      <c r="I552" t="s">
        <v>27</v>
      </c>
      <c r="J552" t="s">
        <v>16</v>
      </c>
      <c r="K552" t="s">
        <v>16</v>
      </c>
      <c r="L552">
        <v>4</v>
      </c>
      <c r="M552" s="7">
        <v>78.75</v>
      </c>
      <c r="N552" s="7">
        <v>2415.5300000000002</v>
      </c>
      <c r="O552" t="s">
        <v>20</v>
      </c>
    </row>
    <row r="553" spans="1:15" x14ac:dyDescent="0.3">
      <c r="A553" t="s">
        <v>578</v>
      </c>
      <c r="B553" t="s">
        <v>22</v>
      </c>
      <c r="C553">
        <v>25</v>
      </c>
      <c r="D553" t="s">
        <v>20</v>
      </c>
      <c r="E553">
        <v>53</v>
      </c>
      <c r="F553" t="str">
        <f t="shared" si="8"/>
        <v>49+ Months</v>
      </c>
      <c r="G553" t="s">
        <v>17</v>
      </c>
      <c r="H553" t="s">
        <v>20</v>
      </c>
      <c r="I553" t="s">
        <v>27</v>
      </c>
      <c r="J553" t="s">
        <v>20</v>
      </c>
      <c r="K553" t="s">
        <v>16</v>
      </c>
      <c r="L553">
        <v>1</v>
      </c>
      <c r="M553" s="7">
        <v>20</v>
      </c>
      <c r="N553" s="7">
        <v>1101.07</v>
      </c>
      <c r="O553" t="s">
        <v>20</v>
      </c>
    </row>
    <row r="554" spans="1:15" x14ac:dyDescent="0.3">
      <c r="A554" t="s">
        <v>579</v>
      </c>
      <c r="B554" t="s">
        <v>15</v>
      </c>
      <c r="C554">
        <v>67</v>
      </c>
      <c r="D554" t="s">
        <v>16</v>
      </c>
      <c r="E554">
        <v>13</v>
      </c>
      <c r="F554" t="str">
        <f t="shared" si="8"/>
        <v>13-24 Months</v>
      </c>
      <c r="G554" t="s">
        <v>23</v>
      </c>
      <c r="H554" t="s">
        <v>36</v>
      </c>
      <c r="I554" t="s">
        <v>24</v>
      </c>
      <c r="J554" t="s">
        <v>20</v>
      </c>
      <c r="K554" t="s">
        <v>20</v>
      </c>
      <c r="L554">
        <v>5</v>
      </c>
      <c r="M554" s="7">
        <v>60.69</v>
      </c>
      <c r="N554" s="7">
        <v>762.76</v>
      </c>
      <c r="O554" t="s">
        <v>20</v>
      </c>
    </row>
    <row r="555" spans="1:15" x14ac:dyDescent="0.3">
      <c r="A555" t="s">
        <v>580</v>
      </c>
      <c r="B555" t="s">
        <v>22</v>
      </c>
      <c r="C555">
        <v>45</v>
      </c>
      <c r="D555" t="s">
        <v>20</v>
      </c>
      <c r="E555">
        <v>21</v>
      </c>
      <c r="F555" t="str">
        <f t="shared" si="8"/>
        <v>13-24 Months</v>
      </c>
      <c r="G555" t="s">
        <v>23</v>
      </c>
      <c r="H555" t="s">
        <v>36</v>
      </c>
      <c r="I555" t="s">
        <v>24</v>
      </c>
      <c r="J555" t="s">
        <v>16</v>
      </c>
      <c r="K555" t="s">
        <v>20</v>
      </c>
      <c r="L555">
        <v>1</v>
      </c>
      <c r="M555" s="7">
        <v>45.5</v>
      </c>
      <c r="N555" s="7">
        <v>929.03</v>
      </c>
      <c r="O555" t="s">
        <v>20</v>
      </c>
    </row>
    <row r="556" spans="1:15" x14ac:dyDescent="0.3">
      <c r="A556" t="s">
        <v>581</v>
      </c>
      <c r="B556" t="s">
        <v>15</v>
      </c>
      <c r="C556">
        <v>37</v>
      </c>
      <c r="D556" t="s">
        <v>20</v>
      </c>
      <c r="E556">
        <v>19</v>
      </c>
      <c r="F556" t="str">
        <f t="shared" si="8"/>
        <v>13-24 Months</v>
      </c>
      <c r="G556" t="s">
        <v>17</v>
      </c>
      <c r="H556" t="s">
        <v>36</v>
      </c>
      <c r="I556" t="s">
        <v>30</v>
      </c>
      <c r="J556" t="s">
        <v>20</v>
      </c>
      <c r="K556" t="s">
        <v>20</v>
      </c>
      <c r="L556">
        <v>5</v>
      </c>
      <c r="M556" s="7">
        <v>64.290000000000006</v>
      </c>
      <c r="N556" s="7">
        <v>1201.32</v>
      </c>
      <c r="O556" t="s">
        <v>16</v>
      </c>
    </row>
    <row r="557" spans="1:15" x14ac:dyDescent="0.3">
      <c r="A557" t="s">
        <v>582</v>
      </c>
      <c r="B557" t="s">
        <v>22</v>
      </c>
      <c r="C557">
        <v>64</v>
      </c>
      <c r="D557" t="s">
        <v>16</v>
      </c>
      <c r="E557">
        <v>53</v>
      </c>
      <c r="F557" t="str">
        <f t="shared" si="8"/>
        <v>49+ Months</v>
      </c>
      <c r="G557" t="s">
        <v>35</v>
      </c>
      <c r="H557" t="s">
        <v>18</v>
      </c>
      <c r="I557" t="s">
        <v>19</v>
      </c>
      <c r="J557" t="s">
        <v>20</v>
      </c>
      <c r="K557" t="s">
        <v>20</v>
      </c>
      <c r="L557">
        <v>4</v>
      </c>
      <c r="M557" s="7">
        <v>88.79</v>
      </c>
      <c r="N557" s="7">
        <v>4471.3999999999996</v>
      </c>
      <c r="O557" t="s">
        <v>20</v>
      </c>
    </row>
    <row r="558" spans="1:15" x14ac:dyDescent="0.3">
      <c r="A558" t="s">
        <v>583</v>
      </c>
      <c r="B558" t="s">
        <v>22</v>
      </c>
      <c r="C558">
        <v>24</v>
      </c>
      <c r="D558" t="s">
        <v>20</v>
      </c>
      <c r="E558">
        <v>19</v>
      </c>
      <c r="F558" t="str">
        <f t="shared" si="8"/>
        <v>13-24 Months</v>
      </c>
      <c r="G558" t="s">
        <v>17</v>
      </c>
      <c r="H558" t="s">
        <v>20</v>
      </c>
      <c r="I558" t="s">
        <v>19</v>
      </c>
      <c r="J558" t="s">
        <v>16</v>
      </c>
      <c r="K558" t="s">
        <v>20</v>
      </c>
      <c r="L558">
        <v>6</v>
      </c>
      <c r="M558" s="7">
        <v>48.29</v>
      </c>
      <c r="N558" s="7">
        <v>945.56</v>
      </c>
      <c r="O558" t="s">
        <v>20</v>
      </c>
    </row>
    <row r="559" spans="1:15" x14ac:dyDescent="0.3">
      <c r="A559" t="s">
        <v>584</v>
      </c>
      <c r="B559" t="s">
        <v>22</v>
      </c>
      <c r="C559">
        <v>28</v>
      </c>
      <c r="D559" t="s">
        <v>20</v>
      </c>
      <c r="E559">
        <v>57</v>
      </c>
      <c r="F559" t="str">
        <f t="shared" si="8"/>
        <v>49+ Months</v>
      </c>
      <c r="G559" t="s">
        <v>35</v>
      </c>
      <c r="H559" t="s">
        <v>18</v>
      </c>
      <c r="I559" t="s">
        <v>30</v>
      </c>
      <c r="J559" t="s">
        <v>20</v>
      </c>
      <c r="K559" t="s">
        <v>20</v>
      </c>
      <c r="L559">
        <v>2</v>
      </c>
      <c r="M559" s="7">
        <v>62.48</v>
      </c>
      <c r="N559" s="7">
        <v>3464.12</v>
      </c>
      <c r="O559" t="s">
        <v>20</v>
      </c>
    </row>
    <row r="560" spans="1:15" x14ac:dyDescent="0.3">
      <c r="A560" t="s">
        <v>585</v>
      </c>
      <c r="B560" t="s">
        <v>22</v>
      </c>
      <c r="C560">
        <v>37</v>
      </c>
      <c r="D560" t="s">
        <v>20</v>
      </c>
      <c r="E560">
        <v>25</v>
      </c>
      <c r="F560" t="str">
        <f t="shared" si="8"/>
        <v>25-48 Months</v>
      </c>
      <c r="G560" t="s">
        <v>17</v>
      </c>
      <c r="H560" t="s">
        <v>18</v>
      </c>
      <c r="I560" t="s">
        <v>27</v>
      </c>
      <c r="J560" t="s">
        <v>20</v>
      </c>
      <c r="K560" t="s">
        <v>20</v>
      </c>
      <c r="L560">
        <v>5</v>
      </c>
      <c r="M560" s="7">
        <v>83.92</v>
      </c>
      <c r="N560" s="7">
        <v>2039.67</v>
      </c>
      <c r="O560" t="s">
        <v>16</v>
      </c>
    </row>
    <row r="561" spans="1:15" x14ac:dyDescent="0.3">
      <c r="A561" t="s">
        <v>586</v>
      </c>
      <c r="B561" t="s">
        <v>22</v>
      </c>
      <c r="C561">
        <v>33</v>
      </c>
      <c r="D561" t="s">
        <v>20</v>
      </c>
      <c r="E561">
        <v>31</v>
      </c>
      <c r="F561" t="str">
        <f t="shared" si="8"/>
        <v>25-48 Months</v>
      </c>
      <c r="G561" t="s">
        <v>35</v>
      </c>
      <c r="H561" t="s">
        <v>36</v>
      </c>
      <c r="I561" t="s">
        <v>19</v>
      </c>
      <c r="J561" t="s">
        <v>16</v>
      </c>
      <c r="K561" t="s">
        <v>16</v>
      </c>
      <c r="L561">
        <v>4</v>
      </c>
      <c r="M561" s="7">
        <v>54.04</v>
      </c>
      <c r="N561" s="7">
        <v>1613.42</v>
      </c>
      <c r="O561" t="s">
        <v>20</v>
      </c>
    </row>
    <row r="562" spans="1:15" x14ac:dyDescent="0.3">
      <c r="A562" t="s">
        <v>587</v>
      </c>
      <c r="B562" t="s">
        <v>22</v>
      </c>
      <c r="C562">
        <v>21</v>
      </c>
      <c r="D562" t="s">
        <v>20</v>
      </c>
      <c r="E562">
        <v>55</v>
      </c>
      <c r="F562" t="str">
        <f t="shared" si="8"/>
        <v>49+ Months</v>
      </c>
      <c r="G562" t="s">
        <v>17</v>
      </c>
      <c r="H562" t="s">
        <v>18</v>
      </c>
      <c r="I562" t="s">
        <v>27</v>
      </c>
      <c r="J562" t="s">
        <v>16</v>
      </c>
      <c r="K562" t="s">
        <v>20</v>
      </c>
      <c r="L562">
        <v>7</v>
      </c>
      <c r="M562" s="7">
        <v>85.86</v>
      </c>
      <c r="N562" s="7">
        <v>4686.66</v>
      </c>
      <c r="O562" t="s">
        <v>20</v>
      </c>
    </row>
    <row r="563" spans="1:15" x14ac:dyDescent="0.3">
      <c r="A563" t="s">
        <v>588</v>
      </c>
      <c r="B563" t="s">
        <v>15</v>
      </c>
      <c r="C563">
        <v>23</v>
      </c>
      <c r="D563" t="s">
        <v>20</v>
      </c>
      <c r="E563">
        <v>23</v>
      </c>
      <c r="F563" t="str">
        <f t="shared" si="8"/>
        <v>13-24 Months</v>
      </c>
      <c r="G563" t="s">
        <v>17</v>
      </c>
      <c r="H563" t="s">
        <v>36</v>
      </c>
      <c r="I563" t="s">
        <v>24</v>
      </c>
      <c r="J563" t="s">
        <v>20</v>
      </c>
      <c r="K563" t="s">
        <v>20</v>
      </c>
      <c r="L563">
        <v>5</v>
      </c>
      <c r="M563" s="7">
        <v>60.93</v>
      </c>
      <c r="N563" s="7">
        <v>1462.37</v>
      </c>
      <c r="O563" t="s">
        <v>16</v>
      </c>
    </row>
    <row r="564" spans="1:15" x14ac:dyDescent="0.3">
      <c r="A564" t="s">
        <v>589</v>
      </c>
      <c r="B564" t="s">
        <v>15</v>
      </c>
      <c r="C564">
        <v>75</v>
      </c>
      <c r="D564" t="s">
        <v>16</v>
      </c>
      <c r="E564">
        <v>32</v>
      </c>
      <c r="F564" t="str">
        <f t="shared" si="8"/>
        <v>25-48 Months</v>
      </c>
      <c r="G564" t="s">
        <v>17</v>
      </c>
      <c r="H564" t="s">
        <v>18</v>
      </c>
      <c r="I564" t="s">
        <v>30</v>
      </c>
      <c r="J564" t="s">
        <v>20</v>
      </c>
      <c r="K564" t="s">
        <v>20</v>
      </c>
      <c r="L564">
        <v>4</v>
      </c>
      <c r="M564" s="7">
        <v>75.36</v>
      </c>
      <c r="N564" s="7">
        <v>2541.0100000000002</v>
      </c>
      <c r="O564" t="s">
        <v>20</v>
      </c>
    </row>
    <row r="565" spans="1:15" x14ac:dyDescent="0.3">
      <c r="A565" t="s">
        <v>590</v>
      </c>
      <c r="B565" t="s">
        <v>15</v>
      </c>
      <c r="C565">
        <v>39</v>
      </c>
      <c r="D565" t="s">
        <v>20</v>
      </c>
      <c r="E565">
        <v>62</v>
      </c>
      <c r="F565" t="str">
        <f t="shared" si="8"/>
        <v>49+ Months</v>
      </c>
      <c r="G565" t="s">
        <v>17</v>
      </c>
      <c r="H565" t="s">
        <v>36</v>
      </c>
      <c r="I565" t="s">
        <v>24</v>
      </c>
      <c r="J565" t="s">
        <v>20</v>
      </c>
      <c r="K565" t="s">
        <v>20</v>
      </c>
      <c r="L565">
        <v>4</v>
      </c>
      <c r="M565" s="7">
        <v>51.54</v>
      </c>
      <c r="N565" s="7">
        <v>3351.17</v>
      </c>
      <c r="O565" t="s">
        <v>20</v>
      </c>
    </row>
    <row r="566" spans="1:15" x14ac:dyDescent="0.3">
      <c r="A566" t="s">
        <v>591</v>
      </c>
      <c r="B566" t="s">
        <v>22</v>
      </c>
      <c r="C566">
        <v>43</v>
      </c>
      <c r="D566" t="s">
        <v>20</v>
      </c>
      <c r="E566">
        <v>10</v>
      </c>
      <c r="F566" t="str">
        <f t="shared" si="8"/>
        <v>7-12 Months</v>
      </c>
      <c r="G566" t="s">
        <v>23</v>
      </c>
      <c r="H566" t="s">
        <v>36</v>
      </c>
      <c r="I566" t="s">
        <v>27</v>
      </c>
      <c r="J566" t="s">
        <v>20</v>
      </c>
      <c r="K566" t="s">
        <v>20</v>
      </c>
      <c r="L566">
        <v>3</v>
      </c>
      <c r="M566" s="7">
        <v>51.6</v>
      </c>
      <c r="N566" s="7">
        <v>526.01</v>
      </c>
      <c r="O566" t="s">
        <v>20</v>
      </c>
    </row>
    <row r="567" spans="1:15" x14ac:dyDescent="0.3">
      <c r="A567" t="s">
        <v>592</v>
      </c>
      <c r="B567" t="s">
        <v>22</v>
      </c>
      <c r="C567">
        <v>20</v>
      </c>
      <c r="D567" t="s">
        <v>20</v>
      </c>
      <c r="E567">
        <v>72</v>
      </c>
      <c r="F567" t="str">
        <f t="shared" si="8"/>
        <v>49+ Months</v>
      </c>
      <c r="G567" t="s">
        <v>17</v>
      </c>
      <c r="H567" t="s">
        <v>18</v>
      </c>
      <c r="I567" t="s">
        <v>24</v>
      </c>
      <c r="J567" t="s">
        <v>16</v>
      </c>
      <c r="K567" t="s">
        <v>20</v>
      </c>
      <c r="L567">
        <v>1</v>
      </c>
      <c r="M567" s="7">
        <v>70.19</v>
      </c>
      <c r="N567" s="7">
        <v>4876.1400000000003</v>
      </c>
      <c r="O567" t="s">
        <v>20</v>
      </c>
    </row>
    <row r="568" spans="1:15" x14ac:dyDescent="0.3">
      <c r="A568" t="s">
        <v>593</v>
      </c>
      <c r="B568" t="s">
        <v>22</v>
      </c>
      <c r="C568">
        <v>58</v>
      </c>
      <c r="D568" t="s">
        <v>20</v>
      </c>
      <c r="E568">
        <v>54</v>
      </c>
      <c r="F568" t="str">
        <f t="shared" si="8"/>
        <v>49+ Months</v>
      </c>
      <c r="G568" t="s">
        <v>23</v>
      </c>
      <c r="H568" t="s">
        <v>36</v>
      </c>
      <c r="I568" t="s">
        <v>30</v>
      </c>
      <c r="J568" t="s">
        <v>20</v>
      </c>
      <c r="K568" t="s">
        <v>16</v>
      </c>
      <c r="L568">
        <v>3</v>
      </c>
      <c r="M568" s="7">
        <v>55.28</v>
      </c>
      <c r="N568" s="7">
        <v>3097.29</v>
      </c>
      <c r="O568" t="s">
        <v>20</v>
      </c>
    </row>
    <row r="569" spans="1:15" x14ac:dyDescent="0.3">
      <c r="A569" t="s">
        <v>594</v>
      </c>
      <c r="B569" t="s">
        <v>22</v>
      </c>
      <c r="C569">
        <v>59</v>
      </c>
      <c r="D569" t="s">
        <v>20</v>
      </c>
      <c r="E569">
        <v>52</v>
      </c>
      <c r="F569" t="str">
        <f t="shared" si="8"/>
        <v>49+ Months</v>
      </c>
      <c r="G569" t="s">
        <v>17</v>
      </c>
      <c r="H569" t="s">
        <v>18</v>
      </c>
      <c r="I569" t="s">
        <v>24</v>
      </c>
      <c r="J569" t="s">
        <v>20</v>
      </c>
      <c r="K569" t="s">
        <v>16</v>
      </c>
      <c r="L569">
        <v>6</v>
      </c>
      <c r="M569" s="7">
        <v>80.05</v>
      </c>
      <c r="N569" s="7">
        <v>3855.81</v>
      </c>
      <c r="O569" t="s">
        <v>20</v>
      </c>
    </row>
    <row r="570" spans="1:15" x14ac:dyDescent="0.3">
      <c r="A570" t="s">
        <v>595</v>
      </c>
      <c r="B570" t="s">
        <v>15</v>
      </c>
      <c r="C570">
        <v>31</v>
      </c>
      <c r="D570" t="s">
        <v>20</v>
      </c>
      <c r="E570">
        <v>20</v>
      </c>
      <c r="F570" t="str">
        <f t="shared" si="8"/>
        <v>13-24 Months</v>
      </c>
      <c r="G570" t="s">
        <v>17</v>
      </c>
      <c r="H570" t="s">
        <v>36</v>
      </c>
      <c r="I570" t="s">
        <v>24</v>
      </c>
      <c r="J570" t="s">
        <v>20</v>
      </c>
      <c r="K570" t="s">
        <v>20</v>
      </c>
      <c r="L570">
        <v>4</v>
      </c>
      <c r="M570" s="7">
        <v>52.98</v>
      </c>
      <c r="N570" s="7">
        <v>1110.1500000000001</v>
      </c>
      <c r="O570" t="s">
        <v>20</v>
      </c>
    </row>
    <row r="571" spans="1:15" x14ac:dyDescent="0.3">
      <c r="A571" t="s">
        <v>596</v>
      </c>
      <c r="B571" t="s">
        <v>15</v>
      </c>
      <c r="C571">
        <v>28</v>
      </c>
      <c r="D571" t="s">
        <v>20</v>
      </c>
      <c r="E571">
        <v>32</v>
      </c>
      <c r="F571" t="str">
        <f t="shared" si="8"/>
        <v>25-48 Months</v>
      </c>
      <c r="G571" t="s">
        <v>23</v>
      </c>
      <c r="H571" t="s">
        <v>18</v>
      </c>
      <c r="I571" t="s">
        <v>19</v>
      </c>
      <c r="J571" t="s">
        <v>20</v>
      </c>
      <c r="K571" t="s">
        <v>16</v>
      </c>
      <c r="L571">
        <v>7</v>
      </c>
      <c r="M571" s="7">
        <v>91.86</v>
      </c>
      <c r="N571" s="7">
        <v>3071.32</v>
      </c>
      <c r="O571" t="s">
        <v>20</v>
      </c>
    </row>
    <row r="572" spans="1:15" x14ac:dyDescent="0.3">
      <c r="A572" t="s">
        <v>597</v>
      </c>
      <c r="B572" t="s">
        <v>22</v>
      </c>
      <c r="C572">
        <v>35</v>
      </c>
      <c r="D572" t="s">
        <v>20</v>
      </c>
      <c r="E572">
        <v>14</v>
      </c>
      <c r="F572" t="str">
        <f t="shared" si="8"/>
        <v>13-24 Months</v>
      </c>
      <c r="G572" t="s">
        <v>17</v>
      </c>
      <c r="H572" t="s">
        <v>36</v>
      </c>
      <c r="I572" t="s">
        <v>19</v>
      </c>
      <c r="J572" t="s">
        <v>20</v>
      </c>
      <c r="K572" t="s">
        <v>16</v>
      </c>
      <c r="L572">
        <v>7</v>
      </c>
      <c r="M572" s="7">
        <v>64.09</v>
      </c>
      <c r="N572" s="7">
        <v>921.67</v>
      </c>
      <c r="O572" t="s">
        <v>20</v>
      </c>
    </row>
    <row r="573" spans="1:15" x14ac:dyDescent="0.3">
      <c r="A573" t="s">
        <v>598</v>
      </c>
      <c r="B573" t="s">
        <v>15</v>
      </c>
      <c r="C573">
        <v>71</v>
      </c>
      <c r="D573" t="s">
        <v>16</v>
      </c>
      <c r="E573">
        <v>50</v>
      </c>
      <c r="F573" t="str">
        <f t="shared" si="8"/>
        <v>49+ Months</v>
      </c>
      <c r="G573" t="s">
        <v>23</v>
      </c>
      <c r="H573" t="s">
        <v>36</v>
      </c>
      <c r="I573" t="s">
        <v>24</v>
      </c>
      <c r="J573" t="s">
        <v>20</v>
      </c>
      <c r="K573" t="s">
        <v>20</v>
      </c>
      <c r="L573">
        <v>5</v>
      </c>
      <c r="M573" s="7">
        <v>56.72</v>
      </c>
      <c r="N573" s="7">
        <v>2653.55</v>
      </c>
      <c r="O573" t="s">
        <v>16</v>
      </c>
    </row>
    <row r="574" spans="1:15" x14ac:dyDescent="0.3">
      <c r="A574" t="s">
        <v>599</v>
      </c>
      <c r="B574" t="s">
        <v>15</v>
      </c>
      <c r="C574">
        <v>29</v>
      </c>
      <c r="D574" t="s">
        <v>20</v>
      </c>
      <c r="E574">
        <v>28</v>
      </c>
      <c r="F574" t="str">
        <f t="shared" si="8"/>
        <v>25-48 Months</v>
      </c>
      <c r="G574" t="s">
        <v>23</v>
      </c>
      <c r="H574" t="s">
        <v>18</v>
      </c>
      <c r="I574" t="s">
        <v>24</v>
      </c>
      <c r="J574" t="s">
        <v>20</v>
      </c>
      <c r="K574" t="s">
        <v>20</v>
      </c>
      <c r="L574">
        <v>5</v>
      </c>
      <c r="M574" s="7">
        <v>79</v>
      </c>
      <c r="N574" s="7">
        <v>2388.02</v>
      </c>
      <c r="O574" t="s">
        <v>20</v>
      </c>
    </row>
    <row r="575" spans="1:15" x14ac:dyDescent="0.3">
      <c r="A575" t="s">
        <v>600</v>
      </c>
      <c r="B575" t="s">
        <v>22</v>
      </c>
      <c r="C575">
        <v>40</v>
      </c>
      <c r="D575" t="s">
        <v>20</v>
      </c>
      <c r="E575">
        <v>53</v>
      </c>
      <c r="F575" t="str">
        <f t="shared" si="8"/>
        <v>49+ Months</v>
      </c>
      <c r="G575" t="s">
        <v>35</v>
      </c>
      <c r="H575" t="s">
        <v>20</v>
      </c>
      <c r="I575" t="s">
        <v>30</v>
      </c>
      <c r="J575" t="s">
        <v>20</v>
      </c>
      <c r="K575" t="s">
        <v>20</v>
      </c>
      <c r="L575">
        <v>3</v>
      </c>
      <c r="M575" s="7">
        <v>30.2</v>
      </c>
      <c r="N575" s="7">
        <v>1666.27</v>
      </c>
      <c r="O575" t="s">
        <v>20</v>
      </c>
    </row>
    <row r="576" spans="1:15" x14ac:dyDescent="0.3">
      <c r="A576" t="s">
        <v>601</v>
      </c>
      <c r="B576" t="s">
        <v>15</v>
      </c>
      <c r="C576">
        <v>29</v>
      </c>
      <c r="D576" t="s">
        <v>20</v>
      </c>
      <c r="E576">
        <v>24</v>
      </c>
      <c r="F576" t="str">
        <f t="shared" si="8"/>
        <v>13-24 Months</v>
      </c>
      <c r="G576" t="s">
        <v>17</v>
      </c>
      <c r="H576" t="s">
        <v>20</v>
      </c>
      <c r="I576" t="s">
        <v>30</v>
      </c>
      <c r="J576" t="s">
        <v>16</v>
      </c>
      <c r="K576" t="s">
        <v>16</v>
      </c>
      <c r="L576">
        <v>3</v>
      </c>
      <c r="M576" s="7">
        <v>37.71</v>
      </c>
      <c r="N576" s="7">
        <v>939.04</v>
      </c>
      <c r="O576" t="s">
        <v>20</v>
      </c>
    </row>
    <row r="577" spans="1:15" x14ac:dyDescent="0.3">
      <c r="A577" t="s">
        <v>602</v>
      </c>
      <c r="B577" t="s">
        <v>22</v>
      </c>
      <c r="C577">
        <v>30</v>
      </c>
      <c r="D577" t="s">
        <v>20</v>
      </c>
      <c r="E577">
        <v>22</v>
      </c>
      <c r="F577" t="str">
        <f t="shared" si="8"/>
        <v>13-24 Months</v>
      </c>
      <c r="G577" t="s">
        <v>23</v>
      </c>
      <c r="H577" t="s">
        <v>36</v>
      </c>
      <c r="I577" t="s">
        <v>24</v>
      </c>
      <c r="J577" t="s">
        <v>20</v>
      </c>
      <c r="K577" t="s">
        <v>16</v>
      </c>
      <c r="L577">
        <v>6</v>
      </c>
      <c r="M577" s="7">
        <v>64.849999999999994</v>
      </c>
      <c r="N577" s="7">
        <v>1327.18</v>
      </c>
      <c r="O577" t="s">
        <v>20</v>
      </c>
    </row>
    <row r="578" spans="1:15" x14ac:dyDescent="0.3">
      <c r="A578" t="s">
        <v>603</v>
      </c>
      <c r="B578" t="s">
        <v>15</v>
      </c>
      <c r="C578">
        <v>42</v>
      </c>
      <c r="D578" t="s">
        <v>20</v>
      </c>
      <c r="E578">
        <v>30</v>
      </c>
      <c r="F578" t="str">
        <f t="shared" ref="F578:F641" si="9">IF(E578&lt;=6,"0-6 Months",
 IF(E578&lt;=12,"7-12 Months",
 IF(E578&lt;=24,"13-24 Months",
 IF(E578&lt;=48,"25-48 Months","49+ Months"))))</f>
        <v>25-48 Months</v>
      </c>
      <c r="G578" t="s">
        <v>35</v>
      </c>
      <c r="H578" t="s">
        <v>36</v>
      </c>
      <c r="I578" t="s">
        <v>30</v>
      </c>
      <c r="J578" t="s">
        <v>20</v>
      </c>
      <c r="K578" t="s">
        <v>16</v>
      </c>
      <c r="L578">
        <v>2</v>
      </c>
      <c r="M578" s="7">
        <v>60.83</v>
      </c>
      <c r="N578" s="7">
        <v>1795.32</v>
      </c>
      <c r="O578" t="s">
        <v>20</v>
      </c>
    </row>
    <row r="579" spans="1:15" x14ac:dyDescent="0.3">
      <c r="A579" t="s">
        <v>604</v>
      </c>
      <c r="B579" t="s">
        <v>22</v>
      </c>
      <c r="C579">
        <v>62</v>
      </c>
      <c r="D579" t="s">
        <v>16</v>
      </c>
      <c r="E579">
        <v>63</v>
      </c>
      <c r="F579" t="str">
        <f t="shared" si="9"/>
        <v>49+ Months</v>
      </c>
      <c r="G579" t="s">
        <v>23</v>
      </c>
      <c r="H579" t="s">
        <v>18</v>
      </c>
      <c r="I579" t="s">
        <v>24</v>
      </c>
      <c r="J579" t="s">
        <v>20</v>
      </c>
      <c r="K579" t="s">
        <v>20</v>
      </c>
      <c r="L579">
        <v>6</v>
      </c>
      <c r="M579" s="7">
        <v>78.87</v>
      </c>
      <c r="N579" s="7">
        <v>4639.8100000000004</v>
      </c>
      <c r="O579" t="s">
        <v>20</v>
      </c>
    </row>
    <row r="580" spans="1:15" x14ac:dyDescent="0.3">
      <c r="A580" t="s">
        <v>605</v>
      </c>
      <c r="B580" t="s">
        <v>22</v>
      </c>
      <c r="C580">
        <v>68</v>
      </c>
      <c r="D580" t="s">
        <v>16</v>
      </c>
      <c r="E580">
        <v>4</v>
      </c>
      <c r="F580" t="str">
        <f t="shared" si="9"/>
        <v>0-6 Months</v>
      </c>
      <c r="G580" t="s">
        <v>17</v>
      </c>
      <c r="H580" t="s">
        <v>36</v>
      </c>
      <c r="I580" t="s">
        <v>30</v>
      </c>
      <c r="J580" t="s">
        <v>20</v>
      </c>
      <c r="K580" t="s">
        <v>16</v>
      </c>
      <c r="L580">
        <v>3</v>
      </c>
      <c r="M580" s="7">
        <v>63.06</v>
      </c>
      <c r="N580" s="7">
        <v>246.63</v>
      </c>
      <c r="O580" t="s">
        <v>20</v>
      </c>
    </row>
    <row r="581" spans="1:15" x14ac:dyDescent="0.3">
      <c r="A581" t="s">
        <v>606</v>
      </c>
      <c r="B581" t="s">
        <v>22</v>
      </c>
      <c r="C581">
        <v>75</v>
      </c>
      <c r="D581" t="s">
        <v>16</v>
      </c>
      <c r="E581">
        <v>59</v>
      </c>
      <c r="F581" t="str">
        <f t="shared" si="9"/>
        <v>49+ Months</v>
      </c>
      <c r="G581" t="s">
        <v>23</v>
      </c>
      <c r="H581" t="s">
        <v>18</v>
      </c>
      <c r="I581" t="s">
        <v>24</v>
      </c>
      <c r="J581" t="s">
        <v>16</v>
      </c>
      <c r="K581" t="s">
        <v>20</v>
      </c>
      <c r="L581">
        <v>8</v>
      </c>
      <c r="M581" s="7">
        <v>96.66</v>
      </c>
      <c r="N581" s="7">
        <v>5767.26</v>
      </c>
      <c r="O581" t="s">
        <v>20</v>
      </c>
    </row>
    <row r="582" spans="1:15" x14ac:dyDescent="0.3">
      <c r="A582" t="s">
        <v>607</v>
      </c>
      <c r="B582" t="s">
        <v>22</v>
      </c>
      <c r="C582">
        <v>36</v>
      </c>
      <c r="D582" t="s">
        <v>20</v>
      </c>
      <c r="E582">
        <v>8</v>
      </c>
      <c r="F582" t="str">
        <f t="shared" si="9"/>
        <v>7-12 Months</v>
      </c>
      <c r="G582" t="s">
        <v>23</v>
      </c>
      <c r="H582" t="s">
        <v>18</v>
      </c>
      <c r="I582" t="s">
        <v>30</v>
      </c>
      <c r="J582" t="s">
        <v>16</v>
      </c>
      <c r="K582" t="s">
        <v>16</v>
      </c>
      <c r="L582">
        <v>7</v>
      </c>
      <c r="M582" s="7">
        <v>101.44</v>
      </c>
      <c r="N582" s="7">
        <v>860.71</v>
      </c>
      <c r="O582" t="s">
        <v>20</v>
      </c>
    </row>
    <row r="583" spans="1:15" x14ac:dyDescent="0.3">
      <c r="A583" t="s">
        <v>608</v>
      </c>
      <c r="B583" t="s">
        <v>15</v>
      </c>
      <c r="C583">
        <v>72</v>
      </c>
      <c r="D583" t="s">
        <v>16</v>
      </c>
      <c r="E583">
        <v>12</v>
      </c>
      <c r="F583" t="str">
        <f t="shared" si="9"/>
        <v>7-12 Months</v>
      </c>
      <c r="G583" t="s">
        <v>23</v>
      </c>
      <c r="H583" t="s">
        <v>20</v>
      </c>
      <c r="I583" t="s">
        <v>24</v>
      </c>
      <c r="J583" t="s">
        <v>16</v>
      </c>
      <c r="K583" t="s">
        <v>20</v>
      </c>
      <c r="L583">
        <v>2</v>
      </c>
      <c r="M583" s="7">
        <v>42.49</v>
      </c>
      <c r="N583" s="7">
        <v>492.17</v>
      </c>
      <c r="O583" t="s">
        <v>20</v>
      </c>
    </row>
    <row r="584" spans="1:15" x14ac:dyDescent="0.3">
      <c r="A584" t="s">
        <v>609</v>
      </c>
      <c r="B584" t="s">
        <v>22</v>
      </c>
      <c r="C584">
        <v>63</v>
      </c>
      <c r="D584" t="s">
        <v>16</v>
      </c>
      <c r="E584">
        <v>31</v>
      </c>
      <c r="F584" t="str">
        <f t="shared" si="9"/>
        <v>25-48 Months</v>
      </c>
      <c r="G584" t="s">
        <v>17</v>
      </c>
      <c r="H584" t="s">
        <v>36</v>
      </c>
      <c r="I584" t="s">
        <v>27</v>
      </c>
      <c r="J584" t="s">
        <v>20</v>
      </c>
      <c r="K584" t="s">
        <v>20</v>
      </c>
      <c r="L584">
        <v>4</v>
      </c>
      <c r="M584" s="7">
        <v>56.01</v>
      </c>
      <c r="N584" s="7">
        <v>1770.6</v>
      </c>
      <c r="O584" t="s">
        <v>16</v>
      </c>
    </row>
    <row r="585" spans="1:15" x14ac:dyDescent="0.3">
      <c r="A585" t="s">
        <v>610</v>
      </c>
      <c r="B585" t="s">
        <v>22</v>
      </c>
      <c r="C585">
        <v>53</v>
      </c>
      <c r="D585" t="s">
        <v>20</v>
      </c>
      <c r="E585">
        <v>34</v>
      </c>
      <c r="F585" t="str">
        <f t="shared" si="9"/>
        <v>25-48 Months</v>
      </c>
      <c r="G585" t="s">
        <v>17</v>
      </c>
      <c r="H585" t="s">
        <v>18</v>
      </c>
      <c r="I585" t="s">
        <v>24</v>
      </c>
      <c r="J585" t="s">
        <v>20</v>
      </c>
      <c r="K585" t="s">
        <v>16</v>
      </c>
      <c r="L585">
        <v>3</v>
      </c>
      <c r="M585" s="7">
        <v>65.14</v>
      </c>
      <c r="N585" s="7">
        <v>2095.9299999999998</v>
      </c>
      <c r="O585" t="s">
        <v>20</v>
      </c>
    </row>
    <row r="586" spans="1:15" x14ac:dyDescent="0.3">
      <c r="A586" t="s">
        <v>611</v>
      </c>
      <c r="B586" t="s">
        <v>22</v>
      </c>
      <c r="C586">
        <v>62</v>
      </c>
      <c r="D586" t="s">
        <v>16</v>
      </c>
      <c r="E586">
        <v>49</v>
      </c>
      <c r="F586" t="str">
        <f t="shared" si="9"/>
        <v>49+ Months</v>
      </c>
      <c r="G586" t="s">
        <v>35</v>
      </c>
      <c r="H586" t="s">
        <v>18</v>
      </c>
      <c r="I586" t="s">
        <v>24</v>
      </c>
      <c r="J586" t="s">
        <v>16</v>
      </c>
      <c r="K586" t="s">
        <v>20</v>
      </c>
      <c r="L586">
        <v>3</v>
      </c>
      <c r="M586" s="7">
        <v>73.97</v>
      </c>
      <c r="N586" s="7">
        <v>3539.84</v>
      </c>
      <c r="O586" t="s">
        <v>20</v>
      </c>
    </row>
    <row r="587" spans="1:15" x14ac:dyDescent="0.3">
      <c r="A587" t="s">
        <v>612</v>
      </c>
      <c r="B587" t="s">
        <v>15</v>
      </c>
      <c r="C587">
        <v>25</v>
      </c>
      <c r="D587" t="s">
        <v>20</v>
      </c>
      <c r="E587">
        <v>57</v>
      </c>
      <c r="F587" t="str">
        <f t="shared" si="9"/>
        <v>49+ Months</v>
      </c>
      <c r="G587" t="s">
        <v>17</v>
      </c>
      <c r="H587" t="s">
        <v>36</v>
      </c>
      <c r="I587" t="s">
        <v>24</v>
      </c>
      <c r="J587" t="s">
        <v>16</v>
      </c>
      <c r="K587" t="s">
        <v>20</v>
      </c>
      <c r="L587">
        <v>3</v>
      </c>
      <c r="M587" s="7">
        <v>41.16</v>
      </c>
      <c r="N587" s="7">
        <v>2514</v>
      </c>
      <c r="O587" t="s">
        <v>20</v>
      </c>
    </row>
    <row r="588" spans="1:15" x14ac:dyDescent="0.3">
      <c r="A588" t="s">
        <v>613</v>
      </c>
      <c r="B588" t="s">
        <v>22</v>
      </c>
      <c r="C588">
        <v>46</v>
      </c>
      <c r="D588" t="s">
        <v>20</v>
      </c>
      <c r="E588">
        <v>26</v>
      </c>
      <c r="F588" t="str">
        <f t="shared" si="9"/>
        <v>25-48 Months</v>
      </c>
      <c r="G588" t="s">
        <v>23</v>
      </c>
      <c r="H588" t="s">
        <v>18</v>
      </c>
      <c r="I588" t="s">
        <v>27</v>
      </c>
      <c r="J588" t="s">
        <v>20</v>
      </c>
      <c r="K588" t="s">
        <v>20</v>
      </c>
      <c r="L588">
        <v>7</v>
      </c>
      <c r="M588" s="7">
        <v>95.62</v>
      </c>
      <c r="N588" s="7">
        <v>2584.63</v>
      </c>
      <c r="O588" t="s">
        <v>20</v>
      </c>
    </row>
    <row r="589" spans="1:15" x14ac:dyDescent="0.3">
      <c r="A589" t="s">
        <v>614</v>
      </c>
      <c r="B589" t="s">
        <v>15</v>
      </c>
      <c r="C589">
        <v>72</v>
      </c>
      <c r="D589" t="s">
        <v>16</v>
      </c>
      <c r="E589">
        <v>18</v>
      </c>
      <c r="F589" t="str">
        <f t="shared" si="9"/>
        <v>13-24 Months</v>
      </c>
      <c r="G589" t="s">
        <v>17</v>
      </c>
      <c r="H589" t="s">
        <v>18</v>
      </c>
      <c r="I589" t="s">
        <v>30</v>
      </c>
      <c r="J589" t="s">
        <v>16</v>
      </c>
      <c r="K589" t="s">
        <v>20</v>
      </c>
      <c r="L589">
        <v>2</v>
      </c>
      <c r="M589" s="7">
        <v>72.06</v>
      </c>
      <c r="N589" s="7">
        <v>1306.5899999999999</v>
      </c>
      <c r="O589" t="s">
        <v>20</v>
      </c>
    </row>
    <row r="590" spans="1:15" x14ac:dyDescent="0.3">
      <c r="A590" t="s">
        <v>615</v>
      </c>
      <c r="B590" t="s">
        <v>22</v>
      </c>
      <c r="C590">
        <v>70</v>
      </c>
      <c r="D590" t="s">
        <v>16</v>
      </c>
      <c r="E590">
        <v>38</v>
      </c>
      <c r="F590" t="str">
        <f t="shared" si="9"/>
        <v>25-48 Months</v>
      </c>
      <c r="G590" t="s">
        <v>17</v>
      </c>
      <c r="H590" t="s">
        <v>18</v>
      </c>
      <c r="I590" t="s">
        <v>30</v>
      </c>
      <c r="J590" t="s">
        <v>20</v>
      </c>
      <c r="K590" t="s">
        <v>20</v>
      </c>
      <c r="L590">
        <v>1</v>
      </c>
      <c r="M590" s="7">
        <v>62.81</v>
      </c>
      <c r="N590" s="7">
        <v>2291.96</v>
      </c>
      <c r="O590" t="s">
        <v>16</v>
      </c>
    </row>
    <row r="591" spans="1:15" x14ac:dyDescent="0.3">
      <c r="A591" t="s">
        <v>616</v>
      </c>
      <c r="B591" t="s">
        <v>15</v>
      </c>
      <c r="C591">
        <v>72</v>
      </c>
      <c r="D591" t="s">
        <v>16</v>
      </c>
      <c r="E591">
        <v>50</v>
      </c>
      <c r="F591" t="str">
        <f t="shared" si="9"/>
        <v>49+ Months</v>
      </c>
      <c r="G591" t="s">
        <v>17</v>
      </c>
      <c r="H591" t="s">
        <v>36</v>
      </c>
      <c r="I591" t="s">
        <v>27</v>
      </c>
      <c r="J591" t="s">
        <v>20</v>
      </c>
      <c r="K591" t="s">
        <v>20</v>
      </c>
      <c r="L591">
        <v>6</v>
      </c>
      <c r="M591" s="7">
        <v>63.85</v>
      </c>
      <c r="N591" s="7">
        <v>3131.05</v>
      </c>
      <c r="O591" t="s">
        <v>16</v>
      </c>
    </row>
    <row r="592" spans="1:15" x14ac:dyDescent="0.3">
      <c r="A592" t="s">
        <v>617</v>
      </c>
      <c r="B592" t="s">
        <v>15</v>
      </c>
      <c r="C592">
        <v>49</v>
      </c>
      <c r="D592" t="s">
        <v>20</v>
      </c>
      <c r="E592">
        <v>8</v>
      </c>
      <c r="F592" t="str">
        <f t="shared" si="9"/>
        <v>7-12 Months</v>
      </c>
      <c r="G592" t="s">
        <v>17</v>
      </c>
      <c r="H592" t="s">
        <v>36</v>
      </c>
      <c r="I592" t="s">
        <v>27</v>
      </c>
      <c r="J592" t="s">
        <v>16</v>
      </c>
      <c r="K592" t="s">
        <v>20</v>
      </c>
      <c r="L592">
        <v>5</v>
      </c>
      <c r="M592" s="7">
        <v>55.85</v>
      </c>
      <c r="N592" s="7">
        <v>422.26</v>
      </c>
      <c r="O592" t="s">
        <v>16</v>
      </c>
    </row>
    <row r="593" spans="1:15" x14ac:dyDescent="0.3">
      <c r="A593" t="s">
        <v>618</v>
      </c>
      <c r="B593" t="s">
        <v>22</v>
      </c>
      <c r="C593">
        <v>68</v>
      </c>
      <c r="D593" t="s">
        <v>16</v>
      </c>
      <c r="E593">
        <v>41</v>
      </c>
      <c r="F593" t="str">
        <f t="shared" si="9"/>
        <v>25-48 Months</v>
      </c>
      <c r="G593" t="s">
        <v>35</v>
      </c>
      <c r="H593" t="s">
        <v>18</v>
      </c>
      <c r="I593" t="s">
        <v>30</v>
      </c>
      <c r="J593" t="s">
        <v>16</v>
      </c>
      <c r="K593" t="s">
        <v>20</v>
      </c>
      <c r="L593">
        <v>4</v>
      </c>
      <c r="M593" s="7">
        <v>78.78</v>
      </c>
      <c r="N593" s="7">
        <v>3154.25</v>
      </c>
      <c r="O593" t="s">
        <v>20</v>
      </c>
    </row>
    <row r="594" spans="1:15" x14ac:dyDescent="0.3">
      <c r="A594" t="s">
        <v>619</v>
      </c>
      <c r="B594" t="s">
        <v>15</v>
      </c>
      <c r="C594">
        <v>61</v>
      </c>
      <c r="D594" t="s">
        <v>16</v>
      </c>
      <c r="E594">
        <v>6</v>
      </c>
      <c r="F594" t="str">
        <f t="shared" si="9"/>
        <v>0-6 Months</v>
      </c>
      <c r="G594" t="s">
        <v>35</v>
      </c>
      <c r="H594" t="s">
        <v>36</v>
      </c>
      <c r="I594" t="s">
        <v>24</v>
      </c>
      <c r="J594" t="s">
        <v>16</v>
      </c>
      <c r="K594" t="s">
        <v>16</v>
      </c>
      <c r="L594">
        <v>6</v>
      </c>
      <c r="M594" s="7">
        <v>60.06</v>
      </c>
      <c r="N594" s="7">
        <v>340.22</v>
      </c>
      <c r="O594" t="s">
        <v>16</v>
      </c>
    </row>
    <row r="595" spans="1:15" x14ac:dyDescent="0.3">
      <c r="A595" t="s">
        <v>620</v>
      </c>
      <c r="B595" t="s">
        <v>22</v>
      </c>
      <c r="C595">
        <v>35</v>
      </c>
      <c r="D595" t="s">
        <v>20</v>
      </c>
      <c r="E595">
        <v>69</v>
      </c>
      <c r="F595" t="str">
        <f t="shared" si="9"/>
        <v>49+ Months</v>
      </c>
      <c r="G595" t="s">
        <v>23</v>
      </c>
      <c r="H595" t="s">
        <v>18</v>
      </c>
      <c r="I595" t="s">
        <v>27</v>
      </c>
      <c r="J595" t="s">
        <v>20</v>
      </c>
      <c r="K595" t="s">
        <v>20</v>
      </c>
      <c r="L595">
        <v>1</v>
      </c>
      <c r="M595" s="7">
        <v>66.739999999999995</v>
      </c>
      <c r="N595" s="7">
        <v>4822.6499999999996</v>
      </c>
      <c r="O595" t="s">
        <v>20</v>
      </c>
    </row>
    <row r="596" spans="1:15" x14ac:dyDescent="0.3">
      <c r="A596" t="s">
        <v>621</v>
      </c>
      <c r="B596" t="s">
        <v>22</v>
      </c>
      <c r="C596">
        <v>23</v>
      </c>
      <c r="D596" t="s">
        <v>20</v>
      </c>
      <c r="E596">
        <v>44</v>
      </c>
      <c r="F596" t="str">
        <f t="shared" si="9"/>
        <v>25-48 Months</v>
      </c>
      <c r="G596" t="s">
        <v>17</v>
      </c>
      <c r="H596" t="s">
        <v>36</v>
      </c>
      <c r="I596" t="s">
        <v>24</v>
      </c>
      <c r="J596" t="s">
        <v>16</v>
      </c>
      <c r="K596" t="s">
        <v>20</v>
      </c>
      <c r="L596">
        <v>5</v>
      </c>
      <c r="M596" s="7">
        <v>65.47</v>
      </c>
      <c r="N596" s="7">
        <v>2687.45</v>
      </c>
      <c r="O596" t="s">
        <v>16</v>
      </c>
    </row>
    <row r="597" spans="1:15" x14ac:dyDescent="0.3">
      <c r="A597" t="s">
        <v>622</v>
      </c>
      <c r="B597" t="s">
        <v>22</v>
      </c>
      <c r="C597">
        <v>35</v>
      </c>
      <c r="D597" t="s">
        <v>20</v>
      </c>
      <c r="E597">
        <v>64</v>
      </c>
      <c r="F597" t="str">
        <f t="shared" si="9"/>
        <v>49+ Months</v>
      </c>
      <c r="G597" t="s">
        <v>23</v>
      </c>
      <c r="H597" t="s">
        <v>20</v>
      </c>
      <c r="I597" t="s">
        <v>30</v>
      </c>
      <c r="J597" t="s">
        <v>20</v>
      </c>
      <c r="K597" t="s">
        <v>20</v>
      </c>
      <c r="L597">
        <v>2</v>
      </c>
      <c r="M597" s="7">
        <v>37.549999999999997</v>
      </c>
      <c r="N597" s="7">
        <v>2283.77</v>
      </c>
      <c r="O597" t="s">
        <v>20</v>
      </c>
    </row>
    <row r="598" spans="1:15" x14ac:dyDescent="0.3">
      <c r="A598" t="s">
        <v>623</v>
      </c>
      <c r="B598" t="s">
        <v>15</v>
      </c>
      <c r="C598">
        <v>36</v>
      </c>
      <c r="D598" t="s">
        <v>20</v>
      </c>
      <c r="E598">
        <v>29</v>
      </c>
      <c r="F598" t="str">
        <f t="shared" si="9"/>
        <v>25-48 Months</v>
      </c>
      <c r="G598" t="s">
        <v>23</v>
      </c>
      <c r="H598" t="s">
        <v>36</v>
      </c>
      <c r="I598" t="s">
        <v>30</v>
      </c>
      <c r="J598" t="s">
        <v>20</v>
      </c>
      <c r="K598" t="s">
        <v>20</v>
      </c>
      <c r="L598">
        <v>6</v>
      </c>
      <c r="M598" s="7">
        <v>70.12</v>
      </c>
      <c r="N598" s="7">
        <v>2095.6799999999998</v>
      </c>
      <c r="O598" t="s">
        <v>20</v>
      </c>
    </row>
    <row r="599" spans="1:15" x14ac:dyDescent="0.3">
      <c r="A599" t="s">
        <v>624</v>
      </c>
      <c r="B599" t="s">
        <v>15</v>
      </c>
      <c r="C599">
        <v>39</v>
      </c>
      <c r="D599" t="s">
        <v>20</v>
      </c>
      <c r="E599">
        <v>28</v>
      </c>
      <c r="F599" t="str">
        <f t="shared" si="9"/>
        <v>25-48 Months</v>
      </c>
      <c r="G599" t="s">
        <v>23</v>
      </c>
      <c r="H599" t="s">
        <v>20</v>
      </c>
      <c r="I599" t="s">
        <v>30</v>
      </c>
      <c r="J599" t="s">
        <v>16</v>
      </c>
      <c r="K599" t="s">
        <v>20</v>
      </c>
      <c r="L599">
        <v>3</v>
      </c>
      <c r="M599" s="7">
        <v>34.909999999999997</v>
      </c>
      <c r="N599" s="7">
        <v>1040.43</v>
      </c>
      <c r="O599" t="s">
        <v>20</v>
      </c>
    </row>
    <row r="600" spans="1:15" x14ac:dyDescent="0.3">
      <c r="A600" t="s">
        <v>625</v>
      </c>
      <c r="B600" t="s">
        <v>22</v>
      </c>
      <c r="C600">
        <v>54</v>
      </c>
      <c r="D600" t="s">
        <v>20</v>
      </c>
      <c r="E600">
        <v>11</v>
      </c>
      <c r="F600" t="str">
        <f t="shared" si="9"/>
        <v>7-12 Months</v>
      </c>
      <c r="G600" t="s">
        <v>17</v>
      </c>
      <c r="H600" t="s">
        <v>20</v>
      </c>
      <c r="I600" t="s">
        <v>30</v>
      </c>
      <c r="J600" t="s">
        <v>16</v>
      </c>
      <c r="K600" t="s">
        <v>20</v>
      </c>
      <c r="L600">
        <v>2</v>
      </c>
      <c r="M600" s="7">
        <v>36.11</v>
      </c>
      <c r="N600" s="7">
        <v>426.74</v>
      </c>
      <c r="O600" t="s">
        <v>20</v>
      </c>
    </row>
    <row r="601" spans="1:15" x14ac:dyDescent="0.3">
      <c r="A601" t="s">
        <v>626</v>
      </c>
      <c r="B601" t="s">
        <v>22</v>
      </c>
      <c r="C601">
        <v>49</v>
      </c>
      <c r="D601" t="s">
        <v>20</v>
      </c>
      <c r="E601">
        <v>65</v>
      </c>
      <c r="F601" t="str">
        <f t="shared" si="9"/>
        <v>49+ Months</v>
      </c>
      <c r="G601" t="s">
        <v>23</v>
      </c>
      <c r="H601" t="s">
        <v>36</v>
      </c>
      <c r="I601" t="s">
        <v>30</v>
      </c>
      <c r="J601" t="s">
        <v>20</v>
      </c>
      <c r="K601" t="s">
        <v>20</v>
      </c>
      <c r="L601">
        <v>6</v>
      </c>
      <c r="M601" s="7">
        <v>67.95</v>
      </c>
      <c r="N601" s="7">
        <v>4654.21</v>
      </c>
      <c r="O601" t="s">
        <v>20</v>
      </c>
    </row>
    <row r="602" spans="1:15" x14ac:dyDescent="0.3">
      <c r="A602" t="s">
        <v>627</v>
      </c>
      <c r="B602" t="s">
        <v>15</v>
      </c>
      <c r="C602">
        <v>73</v>
      </c>
      <c r="D602" t="s">
        <v>16</v>
      </c>
      <c r="E602">
        <v>19</v>
      </c>
      <c r="F602" t="str">
        <f t="shared" si="9"/>
        <v>13-24 Months</v>
      </c>
      <c r="G602" t="s">
        <v>23</v>
      </c>
      <c r="H602" t="s">
        <v>36</v>
      </c>
      <c r="I602" t="s">
        <v>27</v>
      </c>
      <c r="J602" t="s">
        <v>20</v>
      </c>
      <c r="K602" t="s">
        <v>20</v>
      </c>
      <c r="L602">
        <v>2</v>
      </c>
      <c r="M602" s="7">
        <v>51.89</v>
      </c>
      <c r="N602" s="7">
        <v>940.4</v>
      </c>
      <c r="O602" t="s">
        <v>20</v>
      </c>
    </row>
    <row r="603" spans="1:15" x14ac:dyDescent="0.3">
      <c r="A603" t="s">
        <v>628</v>
      </c>
      <c r="B603" t="s">
        <v>22</v>
      </c>
      <c r="C603">
        <v>58</v>
      </c>
      <c r="D603" t="s">
        <v>20</v>
      </c>
      <c r="E603">
        <v>9</v>
      </c>
      <c r="F603" t="str">
        <f t="shared" si="9"/>
        <v>7-12 Months</v>
      </c>
      <c r="G603" t="s">
        <v>35</v>
      </c>
      <c r="H603" t="s">
        <v>20</v>
      </c>
      <c r="I603" t="s">
        <v>24</v>
      </c>
      <c r="J603" t="s">
        <v>20</v>
      </c>
      <c r="K603" t="s">
        <v>20</v>
      </c>
      <c r="L603">
        <v>3</v>
      </c>
      <c r="M603" s="7">
        <v>29.81</v>
      </c>
      <c r="N603" s="7">
        <v>259.08999999999997</v>
      </c>
      <c r="O603" t="s">
        <v>20</v>
      </c>
    </row>
    <row r="604" spans="1:15" x14ac:dyDescent="0.3">
      <c r="A604" t="s">
        <v>629</v>
      </c>
      <c r="B604" t="s">
        <v>22</v>
      </c>
      <c r="C604">
        <v>20</v>
      </c>
      <c r="D604" t="s">
        <v>20</v>
      </c>
      <c r="E604">
        <v>27</v>
      </c>
      <c r="F604" t="str">
        <f t="shared" si="9"/>
        <v>25-48 Months</v>
      </c>
      <c r="G604" t="s">
        <v>17</v>
      </c>
      <c r="H604" t="s">
        <v>18</v>
      </c>
      <c r="I604" t="s">
        <v>24</v>
      </c>
      <c r="J604" t="s">
        <v>16</v>
      </c>
      <c r="K604" t="s">
        <v>16</v>
      </c>
      <c r="L604">
        <v>2</v>
      </c>
      <c r="M604" s="7">
        <v>62.26</v>
      </c>
      <c r="N604" s="7">
        <v>1780.74</v>
      </c>
      <c r="O604" t="s">
        <v>20</v>
      </c>
    </row>
    <row r="605" spans="1:15" x14ac:dyDescent="0.3">
      <c r="A605" t="s">
        <v>630</v>
      </c>
      <c r="B605" t="s">
        <v>22</v>
      </c>
      <c r="C605">
        <v>45</v>
      </c>
      <c r="D605" t="s">
        <v>20</v>
      </c>
      <c r="E605">
        <v>34</v>
      </c>
      <c r="F605" t="str">
        <f t="shared" si="9"/>
        <v>25-48 Months</v>
      </c>
      <c r="G605" t="s">
        <v>23</v>
      </c>
      <c r="H605" t="s">
        <v>18</v>
      </c>
      <c r="I605" t="s">
        <v>30</v>
      </c>
      <c r="J605" t="s">
        <v>16</v>
      </c>
      <c r="K605" t="s">
        <v>16</v>
      </c>
      <c r="L605">
        <v>5</v>
      </c>
      <c r="M605" s="7">
        <v>84.81</v>
      </c>
      <c r="N605" s="7">
        <v>3063.17</v>
      </c>
      <c r="O605" t="s">
        <v>20</v>
      </c>
    </row>
    <row r="606" spans="1:15" x14ac:dyDescent="0.3">
      <c r="A606" t="s">
        <v>631</v>
      </c>
      <c r="B606" t="s">
        <v>15</v>
      </c>
      <c r="C606">
        <v>27</v>
      </c>
      <c r="D606" t="s">
        <v>20</v>
      </c>
      <c r="E606">
        <v>44</v>
      </c>
      <c r="F606" t="str">
        <f t="shared" si="9"/>
        <v>25-48 Months</v>
      </c>
      <c r="G606" t="s">
        <v>23</v>
      </c>
      <c r="H606" t="s">
        <v>20</v>
      </c>
      <c r="I606" t="s">
        <v>27</v>
      </c>
      <c r="J606" t="s">
        <v>16</v>
      </c>
      <c r="K606" t="s">
        <v>20</v>
      </c>
      <c r="L606">
        <v>2</v>
      </c>
      <c r="M606" s="7">
        <v>36.4</v>
      </c>
      <c r="N606" s="7">
        <v>1637.64</v>
      </c>
      <c r="O606" t="s">
        <v>20</v>
      </c>
    </row>
    <row r="607" spans="1:15" x14ac:dyDescent="0.3">
      <c r="A607" t="s">
        <v>632</v>
      </c>
      <c r="B607" t="s">
        <v>15</v>
      </c>
      <c r="C607">
        <v>68</v>
      </c>
      <c r="D607" t="s">
        <v>16</v>
      </c>
      <c r="E607">
        <v>68</v>
      </c>
      <c r="F607" t="str">
        <f t="shared" si="9"/>
        <v>49+ Months</v>
      </c>
      <c r="G607" t="s">
        <v>17</v>
      </c>
      <c r="H607" t="s">
        <v>36</v>
      </c>
      <c r="I607" t="s">
        <v>24</v>
      </c>
      <c r="J607" t="s">
        <v>20</v>
      </c>
      <c r="K607" t="s">
        <v>20</v>
      </c>
      <c r="L607">
        <v>4</v>
      </c>
      <c r="M607" s="7">
        <v>54.65</v>
      </c>
      <c r="N607" s="7">
        <v>3605.39</v>
      </c>
      <c r="O607" t="s">
        <v>20</v>
      </c>
    </row>
    <row r="608" spans="1:15" x14ac:dyDescent="0.3">
      <c r="A608" t="s">
        <v>633</v>
      </c>
      <c r="B608" t="s">
        <v>15</v>
      </c>
      <c r="C608">
        <v>52</v>
      </c>
      <c r="D608" t="s">
        <v>20</v>
      </c>
      <c r="E608">
        <v>15</v>
      </c>
      <c r="F608" t="str">
        <f t="shared" si="9"/>
        <v>13-24 Months</v>
      </c>
      <c r="G608" t="s">
        <v>17</v>
      </c>
      <c r="H608" t="s">
        <v>18</v>
      </c>
      <c r="I608" t="s">
        <v>24</v>
      </c>
      <c r="J608" t="s">
        <v>20</v>
      </c>
      <c r="K608" t="s">
        <v>16</v>
      </c>
      <c r="L608">
        <v>5</v>
      </c>
      <c r="M608" s="7">
        <v>91.22</v>
      </c>
      <c r="N608" s="7">
        <v>1307.8900000000001</v>
      </c>
      <c r="O608" t="s">
        <v>20</v>
      </c>
    </row>
    <row r="609" spans="1:15" x14ac:dyDescent="0.3">
      <c r="A609" t="s">
        <v>634</v>
      </c>
      <c r="B609" t="s">
        <v>22</v>
      </c>
      <c r="C609">
        <v>46</v>
      </c>
      <c r="D609" t="s">
        <v>20</v>
      </c>
      <c r="E609">
        <v>51</v>
      </c>
      <c r="F609" t="str">
        <f t="shared" si="9"/>
        <v>49+ Months</v>
      </c>
      <c r="G609" t="s">
        <v>17</v>
      </c>
      <c r="H609" t="s">
        <v>18</v>
      </c>
      <c r="I609" t="s">
        <v>24</v>
      </c>
      <c r="J609" t="s">
        <v>20</v>
      </c>
      <c r="K609" t="s">
        <v>16</v>
      </c>
      <c r="L609">
        <v>2</v>
      </c>
      <c r="M609" s="7">
        <v>86.49</v>
      </c>
      <c r="N609" s="7">
        <v>4659.62</v>
      </c>
      <c r="O609" t="s">
        <v>20</v>
      </c>
    </row>
    <row r="610" spans="1:15" x14ac:dyDescent="0.3">
      <c r="A610" t="s">
        <v>635</v>
      </c>
      <c r="B610" t="s">
        <v>22</v>
      </c>
      <c r="C610">
        <v>71</v>
      </c>
      <c r="D610" t="s">
        <v>16</v>
      </c>
      <c r="E610">
        <v>13</v>
      </c>
      <c r="F610" t="str">
        <f t="shared" si="9"/>
        <v>13-24 Months</v>
      </c>
      <c r="G610" t="s">
        <v>17</v>
      </c>
      <c r="H610" t="s">
        <v>36</v>
      </c>
      <c r="I610" t="s">
        <v>24</v>
      </c>
      <c r="J610" t="s">
        <v>20</v>
      </c>
      <c r="K610" t="s">
        <v>20</v>
      </c>
      <c r="L610">
        <v>5</v>
      </c>
      <c r="M610" s="7">
        <v>75.27</v>
      </c>
      <c r="N610" s="7">
        <v>932.36</v>
      </c>
      <c r="O610" t="s">
        <v>16</v>
      </c>
    </row>
    <row r="611" spans="1:15" x14ac:dyDescent="0.3">
      <c r="A611" t="s">
        <v>636</v>
      </c>
      <c r="B611" t="s">
        <v>22</v>
      </c>
      <c r="C611">
        <v>32</v>
      </c>
      <c r="D611" t="s">
        <v>20</v>
      </c>
      <c r="E611">
        <v>49</v>
      </c>
      <c r="F611" t="str">
        <f t="shared" si="9"/>
        <v>49+ Months</v>
      </c>
      <c r="G611" t="s">
        <v>17</v>
      </c>
      <c r="H611" t="s">
        <v>36</v>
      </c>
      <c r="I611" t="s">
        <v>27</v>
      </c>
      <c r="J611" t="s">
        <v>16</v>
      </c>
      <c r="K611" t="s">
        <v>20</v>
      </c>
      <c r="L611">
        <v>2</v>
      </c>
      <c r="M611" s="7">
        <v>49.13</v>
      </c>
      <c r="N611" s="7">
        <v>2469.69</v>
      </c>
      <c r="O611" t="s">
        <v>20</v>
      </c>
    </row>
    <row r="612" spans="1:15" x14ac:dyDescent="0.3">
      <c r="A612" t="s">
        <v>637</v>
      </c>
      <c r="B612" t="s">
        <v>15</v>
      </c>
      <c r="C612">
        <v>50</v>
      </c>
      <c r="D612" t="s">
        <v>20</v>
      </c>
      <c r="E612">
        <v>70</v>
      </c>
      <c r="F612" t="str">
        <f t="shared" si="9"/>
        <v>49+ Months</v>
      </c>
      <c r="G612" t="s">
        <v>23</v>
      </c>
      <c r="H612" t="s">
        <v>36</v>
      </c>
      <c r="I612" t="s">
        <v>30</v>
      </c>
      <c r="J612" t="s">
        <v>20</v>
      </c>
      <c r="K612" t="s">
        <v>20</v>
      </c>
      <c r="L612">
        <v>5</v>
      </c>
      <c r="M612" s="7">
        <v>59.97</v>
      </c>
      <c r="N612" s="7">
        <v>4512.21</v>
      </c>
      <c r="O612" t="s">
        <v>20</v>
      </c>
    </row>
    <row r="613" spans="1:15" x14ac:dyDescent="0.3">
      <c r="A613" t="s">
        <v>638</v>
      </c>
      <c r="B613" t="s">
        <v>22</v>
      </c>
      <c r="C613">
        <v>24</v>
      </c>
      <c r="D613" t="s">
        <v>20</v>
      </c>
      <c r="E613">
        <v>56</v>
      </c>
      <c r="F613" t="str">
        <f t="shared" si="9"/>
        <v>49+ Months</v>
      </c>
      <c r="G613" t="s">
        <v>23</v>
      </c>
      <c r="H613" t="s">
        <v>36</v>
      </c>
      <c r="I613" t="s">
        <v>30</v>
      </c>
      <c r="J613" t="s">
        <v>20</v>
      </c>
      <c r="K613" t="s">
        <v>20</v>
      </c>
      <c r="L613">
        <v>3</v>
      </c>
      <c r="M613" s="7">
        <v>60.51</v>
      </c>
      <c r="N613" s="7">
        <v>3499.86</v>
      </c>
      <c r="O613" t="s">
        <v>20</v>
      </c>
    </row>
    <row r="614" spans="1:15" x14ac:dyDescent="0.3">
      <c r="A614" t="s">
        <v>639</v>
      </c>
      <c r="B614" t="s">
        <v>22</v>
      </c>
      <c r="C614">
        <v>29</v>
      </c>
      <c r="D614" t="s">
        <v>20</v>
      </c>
      <c r="E614">
        <v>51</v>
      </c>
      <c r="F614" t="str">
        <f t="shared" si="9"/>
        <v>49+ Months</v>
      </c>
      <c r="G614" t="s">
        <v>23</v>
      </c>
      <c r="H614" t="s">
        <v>36</v>
      </c>
      <c r="I614" t="s">
        <v>30</v>
      </c>
      <c r="J614" t="s">
        <v>20</v>
      </c>
      <c r="K614" t="s">
        <v>20</v>
      </c>
      <c r="L614">
        <v>4</v>
      </c>
      <c r="M614" s="7">
        <v>63.75</v>
      </c>
      <c r="N614" s="7">
        <v>3125.19</v>
      </c>
      <c r="O614" t="s">
        <v>20</v>
      </c>
    </row>
    <row r="615" spans="1:15" x14ac:dyDescent="0.3">
      <c r="A615" t="s">
        <v>640</v>
      </c>
      <c r="B615" t="s">
        <v>22</v>
      </c>
      <c r="C615">
        <v>66</v>
      </c>
      <c r="D615" t="s">
        <v>16</v>
      </c>
      <c r="E615">
        <v>37</v>
      </c>
      <c r="F615" t="str">
        <f t="shared" si="9"/>
        <v>25-48 Months</v>
      </c>
      <c r="G615" t="s">
        <v>35</v>
      </c>
      <c r="H615" t="s">
        <v>36</v>
      </c>
      <c r="I615" t="s">
        <v>27</v>
      </c>
      <c r="J615" t="s">
        <v>20</v>
      </c>
      <c r="K615" t="s">
        <v>16</v>
      </c>
      <c r="L615">
        <v>8</v>
      </c>
      <c r="M615" s="7">
        <v>67.209999999999994</v>
      </c>
      <c r="N615" s="7">
        <v>2400.23</v>
      </c>
      <c r="O615" t="s">
        <v>16</v>
      </c>
    </row>
    <row r="616" spans="1:15" x14ac:dyDescent="0.3">
      <c r="A616" t="s">
        <v>641</v>
      </c>
      <c r="B616" t="s">
        <v>22</v>
      </c>
      <c r="C616">
        <v>47</v>
      </c>
      <c r="D616" t="s">
        <v>20</v>
      </c>
      <c r="E616">
        <v>17</v>
      </c>
      <c r="F616" t="str">
        <f t="shared" si="9"/>
        <v>13-24 Months</v>
      </c>
      <c r="G616" t="s">
        <v>17</v>
      </c>
      <c r="H616" t="s">
        <v>36</v>
      </c>
      <c r="I616" t="s">
        <v>24</v>
      </c>
      <c r="J616" t="s">
        <v>20</v>
      </c>
      <c r="K616" t="s">
        <v>20</v>
      </c>
      <c r="L616">
        <v>2</v>
      </c>
      <c r="M616" s="7">
        <v>49.3</v>
      </c>
      <c r="N616" s="7">
        <v>783.51</v>
      </c>
      <c r="O616" t="s">
        <v>16</v>
      </c>
    </row>
    <row r="617" spans="1:15" x14ac:dyDescent="0.3">
      <c r="A617" t="s">
        <v>642</v>
      </c>
      <c r="B617" t="s">
        <v>15</v>
      </c>
      <c r="C617">
        <v>38</v>
      </c>
      <c r="D617" t="s">
        <v>20</v>
      </c>
      <c r="E617">
        <v>58</v>
      </c>
      <c r="F617" t="str">
        <f t="shared" si="9"/>
        <v>49+ Months</v>
      </c>
      <c r="G617" t="s">
        <v>17</v>
      </c>
      <c r="H617" t="s">
        <v>36</v>
      </c>
      <c r="I617" t="s">
        <v>19</v>
      </c>
      <c r="J617" t="s">
        <v>20</v>
      </c>
      <c r="K617" t="s">
        <v>20</v>
      </c>
      <c r="L617">
        <v>3</v>
      </c>
      <c r="M617" s="7">
        <v>59.63</v>
      </c>
      <c r="N617" s="7">
        <v>3561.6</v>
      </c>
      <c r="O617" t="s">
        <v>16</v>
      </c>
    </row>
    <row r="618" spans="1:15" x14ac:dyDescent="0.3">
      <c r="A618" t="s">
        <v>643</v>
      </c>
      <c r="B618" t="s">
        <v>15</v>
      </c>
      <c r="C618">
        <v>48</v>
      </c>
      <c r="D618" t="s">
        <v>20</v>
      </c>
      <c r="E618">
        <v>29</v>
      </c>
      <c r="F618" t="str">
        <f t="shared" si="9"/>
        <v>25-48 Months</v>
      </c>
      <c r="G618" t="s">
        <v>23</v>
      </c>
      <c r="H618" t="s">
        <v>36</v>
      </c>
      <c r="I618" t="s">
        <v>19</v>
      </c>
      <c r="J618" t="s">
        <v>20</v>
      </c>
      <c r="K618" t="s">
        <v>20</v>
      </c>
      <c r="L618">
        <v>7</v>
      </c>
      <c r="M618" s="7">
        <v>64.73</v>
      </c>
      <c r="N618" s="7">
        <v>1882.71</v>
      </c>
      <c r="O618" t="s">
        <v>20</v>
      </c>
    </row>
    <row r="619" spans="1:15" x14ac:dyDescent="0.3">
      <c r="A619" t="s">
        <v>644</v>
      </c>
      <c r="B619" t="s">
        <v>22</v>
      </c>
      <c r="C619">
        <v>75</v>
      </c>
      <c r="D619" t="s">
        <v>16</v>
      </c>
      <c r="E619">
        <v>33</v>
      </c>
      <c r="F619" t="str">
        <f t="shared" si="9"/>
        <v>25-48 Months</v>
      </c>
      <c r="G619" t="s">
        <v>17</v>
      </c>
      <c r="H619" t="s">
        <v>18</v>
      </c>
      <c r="I619" t="s">
        <v>24</v>
      </c>
      <c r="J619" t="s">
        <v>16</v>
      </c>
      <c r="K619" t="s">
        <v>20</v>
      </c>
      <c r="L619">
        <v>6</v>
      </c>
      <c r="M619" s="7">
        <v>81.790000000000006</v>
      </c>
      <c r="N619" s="7">
        <v>2572.31</v>
      </c>
      <c r="O619" t="s">
        <v>16</v>
      </c>
    </row>
    <row r="620" spans="1:15" x14ac:dyDescent="0.3">
      <c r="A620" t="s">
        <v>645</v>
      </c>
      <c r="B620" t="s">
        <v>15</v>
      </c>
      <c r="C620">
        <v>41</v>
      </c>
      <c r="D620" t="s">
        <v>20</v>
      </c>
      <c r="E620">
        <v>60</v>
      </c>
      <c r="F620" t="str">
        <f t="shared" si="9"/>
        <v>49+ Months</v>
      </c>
      <c r="G620" t="s">
        <v>17</v>
      </c>
      <c r="H620" t="s">
        <v>18</v>
      </c>
      <c r="I620" t="s">
        <v>19</v>
      </c>
      <c r="J620" t="s">
        <v>20</v>
      </c>
      <c r="K620" t="s">
        <v>16</v>
      </c>
      <c r="L620">
        <v>2</v>
      </c>
      <c r="M620" s="7">
        <v>66.84</v>
      </c>
      <c r="N620" s="7">
        <v>3835.65</v>
      </c>
      <c r="O620" t="s">
        <v>16</v>
      </c>
    </row>
    <row r="621" spans="1:15" x14ac:dyDescent="0.3">
      <c r="A621" t="s">
        <v>646</v>
      </c>
      <c r="B621" t="s">
        <v>15</v>
      </c>
      <c r="C621">
        <v>37</v>
      </c>
      <c r="D621" t="s">
        <v>20</v>
      </c>
      <c r="E621">
        <v>55</v>
      </c>
      <c r="F621" t="str">
        <f t="shared" si="9"/>
        <v>49+ Months</v>
      </c>
      <c r="G621" t="s">
        <v>17</v>
      </c>
      <c r="H621" t="s">
        <v>20</v>
      </c>
      <c r="I621" t="s">
        <v>24</v>
      </c>
      <c r="J621" t="s">
        <v>16</v>
      </c>
      <c r="K621" t="s">
        <v>20</v>
      </c>
      <c r="L621">
        <v>2</v>
      </c>
      <c r="M621" s="7">
        <v>30.21</v>
      </c>
      <c r="N621" s="7">
        <v>1531.03</v>
      </c>
      <c r="O621" t="s">
        <v>20</v>
      </c>
    </row>
    <row r="622" spans="1:15" x14ac:dyDescent="0.3">
      <c r="A622" t="s">
        <v>647</v>
      </c>
      <c r="B622" t="s">
        <v>22</v>
      </c>
      <c r="C622">
        <v>54</v>
      </c>
      <c r="D622" t="s">
        <v>20</v>
      </c>
      <c r="E622">
        <v>10</v>
      </c>
      <c r="F622" t="str">
        <f t="shared" si="9"/>
        <v>7-12 Months</v>
      </c>
      <c r="G622" t="s">
        <v>17</v>
      </c>
      <c r="H622" t="s">
        <v>18</v>
      </c>
      <c r="I622" t="s">
        <v>24</v>
      </c>
      <c r="J622" t="s">
        <v>20</v>
      </c>
      <c r="K622" t="s">
        <v>16</v>
      </c>
      <c r="L622">
        <v>2</v>
      </c>
      <c r="M622" s="7">
        <v>60.02</v>
      </c>
      <c r="N622" s="7">
        <v>646.14</v>
      </c>
      <c r="O622" t="s">
        <v>16</v>
      </c>
    </row>
    <row r="623" spans="1:15" x14ac:dyDescent="0.3">
      <c r="A623" t="s">
        <v>648</v>
      </c>
      <c r="B623" t="s">
        <v>22</v>
      </c>
      <c r="C623">
        <v>21</v>
      </c>
      <c r="D623" t="s">
        <v>20</v>
      </c>
      <c r="E623">
        <v>47</v>
      </c>
      <c r="F623" t="str">
        <f t="shared" si="9"/>
        <v>25-48 Months</v>
      </c>
      <c r="G623" t="s">
        <v>35</v>
      </c>
      <c r="H623" t="s">
        <v>18</v>
      </c>
      <c r="I623" t="s">
        <v>24</v>
      </c>
      <c r="J623" t="s">
        <v>16</v>
      </c>
      <c r="K623" t="s">
        <v>20</v>
      </c>
      <c r="L623">
        <v>4</v>
      </c>
      <c r="M623" s="7">
        <v>83.85</v>
      </c>
      <c r="N623" s="7">
        <v>4147.78</v>
      </c>
      <c r="O623" t="s">
        <v>20</v>
      </c>
    </row>
    <row r="624" spans="1:15" x14ac:dyDescent="0.3">
      <c r="A624" t="s">
        <v>649</v>
      </c>
      <c r="B624" t="s">
        <v>15</v>
      </c>
      <c r="C624">
        <v>45</v>
      </c>
      <c r="D624" t="s">
        <v>20</v>
      </c>
      <c r="E624">
        <v>23</v>
      </c>
      <c r="F624" t="str">
        <f t="shared" si="9"/>
        <v>13-24 Months</v>
      </c>
      <c r="G624" t="s">
        <v>17</v>
      </c>
      <c r="H624" t="s">
        <v>36</v>
      </c>
      <c r="I624" t="s">
        <v>27</v>
      </c>
      <c r="J624" t="s">
        <v>20</v>
      </c>
      <c r="K624" t="s">
        <v>20</v>
      </c>
      <c r="L624">
        <v>4</v>
      </c>
      <c r="M624" s="7">
        <v>53.86</v>
      </c>
      <c r="N624" s="7">
        <v>1217.8</v>
      </c>
      <c r="O624" t="s">
        <v>16</v>
      </c>
    </row>
    <row r="625" spans="1:15" x14ac:dyDescent="0.3">
      <c r="A625" t="s">
        <v>650</v>
      </c>
      <c r="B625" t="s">
        <v>22</v>
      </c>
      <c r="C625">
        <v>61</v>
      </c>
      <c r="D625" t="s">
        <v>16</v>
      </c>
      <c r="E625">
        <v>21</v>
      </c>
      <c r="F625" t="str">
        <f t="shared" si="9"/>
        <v>13-24 Months</v>
      </c>
      <c r="G625" t="s">
        <v>17</v>
      </c>
      <c r="H625" t="s">
        <v>20</v>
      </c>
      <c r="I625" t="s">
        <v>24</v>
      </c>
      <c r="J625" t="s">
        <v>20</v>
      </c>
      <c r="K625" t="s">
        <v>20</v>
      </c>
      <c r="L625">
        <v>3</v>
      </c>
      <c r="M625" s="7">
        <v>38.42</v>
      </c>
      <c r="N625" s="7">
        <v>864.41</v>
      </c>
      <c r="O625" t="s">
        <v>20</v>
      </c>
    </row>
    <row r="626" spans="1:15" x14ac:dyDescent="0.3">
      <c r="A626" t="s">
        <v>651</v>
      </c>
      <c r="B626" t="s">
        <v>15</v>
      </c>
      <c r="C626">
        <v>37</v>
      </c>
      <c r="D626" t="s">
        <v>20</v>
      </c>
      <c r="E626">
        <v>13</v>
      </c>
      <c r="F626" t="str">
        <f t="shared" si="9"/>
        <v>13-24 Months</v>
      </c>
      <c r="G626" t="s">
        <v>17</v>
      </c>
      <c r="H626" t="s">
        <v>18</v>
      </c>
      <c r="I626" t="s">
        <v>27</v>
      </c>
      <c r="J626" t="s">
        <v>20</v>
      </c>
      <c r="K626" t="s">
        <v>20</v>
      </c>
      <c r="L626">
        <v>4</v>
      </c>
      <c r="M626" s="7">
        <v>79.67</v>
      </c>
      <c r="N626" s="7">
        <v>1065.06</v>
      </c>
      <c r="O626" t="s">
        <v>16</v>
      </c>
    </row>
    <row r="627" spans="1:15" x14ac:dyDescent="0.3">
      <c r="A627" t="s">
        <v>652</v>
      </c>
      <c r="B627" t="s">
        <v>22</v>
      </c>
      <c r="C627">
        <v>41</v>
      </c>
      <c r="D627" t="s">
        <v>20</v>
      </c>
      <c r="E627">
        <v>33</v>
      </c>
      <c r="F627" t="str">
        <f t="shared" si="9"/>
        <v>25-48 Months</v>
      </c>
      <c r="G627" t="s">
        <v>23</v>
      </c>
      <c r="H627" t="s">
        <v>18</v>
      </c>
      <c r="I627" t="s">
        <v>24</v>
      </c>
      <c r="J627" t="s">
        <v>16</v>
      </c>
      <c r="K627" t="s">
        <v>16</v>
      </c>
      <c r="L627">
        <v>8</v>
      </c>
      <c r="M627" s="7">
        <v>87.92</v>
      </c>
      <c r="N627" s="7">
        <v>3018.09</v>
      </c>
      <c r="O627" t="s">
        <v>20</v>
      </c>
    </row>
    <row r="628" spans="1:15" x14ac:dyDescent="0.3">
      <c r="A628" t="s">
        <v>653</v>
      </c>
      <c r="B628" t="s">
        <v>15</v>
      </c>
      <c r="C628">
        <v>67</v>
      </c>
      <c r="D628" t="s">
        <v>16</v>
      </c>
      <c r="E628">
        <v>24</v>
      </c>
      <c r="F628" t="str">
        <f t="shared" si="9"/>
        <v>13-24 Months</v>
      </c>
      <c r="G628" t="s">
        <v>17</v>
      </c>
      <c r="H628" t="s">
        <v>18</v>
      </c>
      <c r="I628" t="s">
        <v>27</v>
      </c>
      <c r="J628" t="s">
        <v>16</v>
      </c>
      <c r="K628" t="s">
        <v>20</v>
      </c>
      <c r="L628">
        <v>3</v>
      </c>
      <c r="M628" s="7">
        <v>62.64</v>
      </c>
      <c r="N628" s="7">
        <v>1546.65</v>
      </c>
      <c r="O628" t="s">
        <v>20</v>
      </c>
    </row>
    <row r="629" spans="1:15" x14ac:dyDescent="0.3">
      <c r="A629" t="s">
        <v>654</v>
      </c>
      <c r="B629" t="s">
        <v>22</v>
      </c>
      <c r="C629">
        <v>66</v>
      </c>
      <c r="D629" t="s">
        <v>16</v>
      </c>
      <c r="E629">
        <v>11</v>
      </c>
      <c r="F629" t="str">
        <f t="shared" si="9"/>
        <v>7-12 Months</v>
      </c>
      <c r="G629" t="s">
        <v>23</v>
      </c>
      <c r="H629" t="s">
        <v>36</v>
      </c>
      <c r="I629" t="s">
        <v>27</v>
      </c>
      <c r="J629" t="s">
        <v>20</v>
      </c>
      <c r="K629" t="s">
        <v>20</v>
      </c>
      <c r="L629">
        <v>1</v>
      </c>
      <c r="M629" s="7">
        <v>47.62</v>
      </c>
      <c r="N629" s="7">
        <v>545.35</v>
      </c>
      <c r="O629" t="s">
        <v>20</v>
      </c>
    </row>
    <row r="630" spans="1:15" x14ac:dyDescent="0.3">
      <c r="A630" t="s">
        <v>655</v>
      </c>
      <c r="B630" t="s">
        <v>15</v>
      </c>
      <c r="C630">
        <v>68</v>
      </c>
      <c r="D630" t="s">
        <v>16</v>
      </c>
      <c r="E630">
        <v>17</v>
      </c>
      <c r="F630" t="str">
        <f t="shared" si="9"/>
        <v>13-24 Months</v>
      </c>
      <c r="G630" t="s">
        <v>17</v>
      </c>
      <c r="H630" t="s">
        <v>18</v>
      </c>
      <c r="I630" t="s">
        <v>27</v>
      </c>
      <c r="J630" t="s">
        <v>20</v>
      </c>
      <c r="K630" t="s">
        <v>16</v>
      </c>
      <c r="L630">
        <v>8</v>
      </c>
      <c r="M630" s="7">
        <v>91.95</v>
      </c>
      <c r="N630" s="7">
        <v>1480.85</v>
      </c>
      <c r="O630" t="s">
        <v>16</v>
      </c>
    </row>
    <row r="631" spans="1:15" x14ac:dyDescent="0.3">
      <c r="A631" t="s">
        <v>656</v>
      </c>
      <c r="B631" t="s">
        <v>15</v>
      </c>
      <c r="C631">
        <v>49</v>
      </c>
      <c r="D631" t="s">
        <v>20</v>
      </c>
      <c r="E631">
        <v>68</v>
      </c>
      <c r="F631" t="str">
        <f t="shared" si="9"/>
        <v>49+ Months</v>
      </c>
      <c r="G631" t="s">
        <v>17</v>
      </c>
      <c r="H631" t="s">
        <v>18</v>
      </c>
      <c r="I631" t="s">
        <v>27</v>
      </c>
      <c r="J631" t="s">
        <v>20</v>
      </c>
      <c r="K631" t="s">
        <v>20</v>
      </c>
      <c r="L631">
        <v>1</v>
      </c>
      <c r="M631" s="7">
        <v>70.19</v>
      </c>
      <c r="N631" s="7">
        <v>4820.57</v>
      </c>
      <c r="O631" t="s">
        <v>20</v>
      </c>
    </row>
    <row r="632" spans="1:15" x14ac:dyDescent="0.3">
      <c r="A632" t="s">
        <v>657</v>
      </c>
      <c r="B632" t="s">
        <v>15</v>
      </c>
      <c r="C632">
        <v>58</v>
      </c>
      <c r="D632" t="s">
        <v>20</v>
      </c>
      <c r="E632">
        <v>47</v>
      </c>
      <c r="F632" t="str">
        <f t="shared" si="9"/>
        <v>25-48 Months</v>
      </c>
      <c r="G632" t="s">
        <v>17</v>
      </c>
      <c r="H632" t="s">
        <v>18</v>
      </c>
      <c r="I632" t="s">
        <v>24</v>
      </c>
      <c r="J632" t="s">
        <v>20</v>
      </c>
      <c r="K632" t="s">
        <v>20</v>
      </c>
      <c r="L632">
        <v>4</v>
      </c>
      <c r="M632" s="7">
        <v>84.69</v>
      </c>
      <c r="N632" s="7">
        <v>4202.9399999999996</v>
      </c>
      <c r="O632" t="s">
        <v>20</v>
      </c>
    </row>
    <row r="633" spans="1:15" x14ac:dyDescent="0.3">
      <c r="A633" t="s">
        <v>658</v>
      </c>
      <c r="B633" t="s">
        <v>22</v>
      </c>
      <c r="C633">
        <v>53</v>
      </c>
      <c r="D633" t="s">
        <v>20</v>
      </c>
      <c r="E633">
        <v>25</v>
      </c>
      <c r="F633" t="str">
        <f t="shared" si="9"/>
        <v>25-48 Months</v>
      </c>
      <c r="G633" t="s">
        <v>17</v>
      </c>
      <c r="H633" t="s">
        <v>20</v>
      </c>
      <c r="I633" t="s">
        <v>24</v>
      </c>
      <c r="J633" t="s">
        <v>20</v>
      </c>
      <c r="K633" t="s">
        <v>16</v>
      </c>
      <c r="L633">
        <v>1</v>
      </c>
      <c r="M633" s="7">
        <v>20</v>
      </c>
      <c r="N633" s="7">
        <v>461.56</v>
      </c>
      <c r="O633" t="s">
        <v>20</v>
      </c>
    </row>
    <row r="634" spans="1:15" x14ac:dyDescent="0.3">
      <c r="A634" t="s">
        <v>659</v>
      </c>
      <c r="B634" t="s">
        <v>15</v>
      </c>
      <c r="C634">
        <v>75</v>
      </c>
      <c r="D634" t="s">
        <v>16</v>
      </c>
      <c r="E634">
        <v>21</v>
      </c>
      <c r="F634" t="str">
        <f t="shared" si="9"/>
        <v>13-24 Months</v>
      </c>
      <c r="G634" t="s">
        <v>17</v>
      </c>
      <c r="H634" t="s">
        <v>18</v>
      </c>
      <c r="I634" t="s">
        <v>19</v>
      </c>
      <c r="J634" t="s">
        <v>20</v>
      </c>
      <c r="K634" t="s">
        <v>20</v>
      </c>
      <c r="L634">
        <v>8</v>
      </c>
      <c r="M634" s="7">
        <v>93.38</v>
      </c>
      <c r="N634" s="7">
        <v>1842.83</v>
      </c>
      <c r="O634" t="s">
        <v>20</v>
      </c>
    </row>
    <row r="635" spans="1:15" x14ac:dyDescent="0.3">
      <c r="A635" t="s">
        <v>660</v>
      </c>
      <c r="B635" t="s">
        <v>15</v>
      </c>
      <c r="C635">
        <v>70</v>
      </c>
      <c r="D635" t="s">
        <v>16</v>
      </c>
      <c r="E635">
        <v>12</v>
      </c>
      <c r="F635" t="str">
        <f t="shared" si="9"/>
        <v>7-12 Months</v>
      </c>
      <c r="G635" t="s">
        <v>17</v>
      </c>
      <c r="H635" t="s">
        <v>18</v>
      </c>
      <c r="I635" t="s">
        <v>24</v>
      </c>
      <c r="J635" t="s">
        <v>20</v>
      </c>
      <c r="K635" t="s">
        <v>20</v>
      </c>
      <c r="L635">
        <v>5</v>
      </c>
      <c r="M635" s="7">
        <v>90.29</v>
      </c>
      <c r="N635" s="7">
        <v>1039.3800000000001</v>
      </c>
      <c r="O635" t="s">
        <v>16</v>
      </c>
    </row>
    <row r="636" spans="1:15" x14ac:dyDescent="0.3">
      <c r="A636" t="s">
        <v>661</v>
      </c>
      <c r="B636" t="s">
        <v>22</v>
      </c>
      <c r="C636">
        <v>51</v>
      </c>
      <c r="D636" t="s">
        <v>20</v>
      </c>
      <c r="E636">
        <v>37</v>
      </c>
      <c r="F636" t="str">
        <f t="shared" si="9"/>
        <v>25-48 Months</v>
      </c>
      <c r="G636" t="s">
        <v>35</v>
      </c>
      <c r="H636" t="s">
        <v>36</v>
      </c>
      <c r="I636" t="s">
        <v>24</v>
      </c>
      <c r="J636" t="s">
        <v>20</v>
      </c>
      <c r="K636" t="s">
        <v>20</v>
      </c>
      <c r="L636">
        <v>3</v>
      </c>
      <c r="M636" s="7">
        <v>65.06</v>
      </c>
      <c r="N636" s="7">
        <v>2328.16</v>
      </c>
      <c r="O636" t="s">
        <v>20</v>
      </c>
    </row>
    <row r="637" spans="1:15" x14ac:dyDescent="0.3">
      <c r="A637" t="s">
        <v>662</v>
      </c>
      <c r="B637" t="s">
        <v>22</v>
      </c>
      <c r="C637">
        <v>53</v>
      </c>
      <c r="D637" t="s">
        <v>20</v>
      </c>
      <c r="E637">
        <v>42</v>
      </c>
      <c r="F637" t="str">
        <f t="shared" si="9"/>
        <v>25-48 Months</v>
      </c>
      <c r="G637" t="s">
        <v>17</v>
      </c>
      <c r="H637" t="s">
        <v>20</v>
      </c>
      <c r="I637" t="s">
        <v>27</v>
      </c>
      <c r="J637" t="s">
        <v>20</v>
      </c>
      <c r="K637" t="s">
        <v>20</v>
      </c>
      <c r="L637">
        <v>2</v>
      </c>
      <c r="M637" s="7">
        <v>20.170000000000002</v>
      </c>
      <c r="N637" s="7">
        <v>804.13</v>
      </c>
      <c r="O637" t="s">
        <v>20</v>
      </c>
    </row>
    <row r="638" spans="1:15" x14ac:dyDescent="0.3">
      <c r="A638" t="s">
        <v>663</v>
      </c>
      <c r="B638" t="s">
        <v>15</v>
      </c>
      <c r="C638">
        <v>19</v>
      </c>
      <c r="D638" t="s">
        <v>20</v>
      </c>
      <c r="E638">
        <v>17</v>
      </c>
      <c r="F638" t="str">
        <f t="shared" si="9"/>
        <v>13-24 Months</v>
      </c>
      <c r="G638" t="s">
        <v>23</v>
      </c>
      <c r="H638" t="s">
        <v>36</v>
      </c>
      <c r="I638" t="s">
        <v>30</v>
      </c>
      <c r="J638" t="s">
        <v>16</v>
      </c>
      <c r="K638" t="s">
        <v>16</v>
      </c>
      <c r="L638">
        <v>4</v>
      </c>
      <c r="M638" s="7">
        <v>67.06</v>
      </c>
      <c r="N638" s="7">
        <v>1162.7</v>
      </c>
      <c r="O638" t="s">
        <v>20</v>
      </c>
    </row>
    <row r="639" spans="1:15" x14ac:dyDescent="0.3">
      <c r="A639" t="s">
        <v>664</v>
      </c>
      <c r="B639" t="s">
        <v>15</v>
      </c>
      <c r="C639">
        <v>32</v>
      </c>
      <c r="D639" t="s">
        <v>20</v>
      </c>
      <c r="E639">
        <v>48</v>
      </c>
      <c r="F639" t="str">
        <f t="shared" si="9"/>
        <v>25-48 Months</v>
      </c>
      <c r="G639" t="s">
        <v>17</v>
      </c>
      <c r="H639" t="s">
        <v>20</v>
      </c>
      <c r="I639" t="s">
        <v>30</v>
      </c>
      <c r="J639" t="s">
        <v>16</v>
      </c>
      <c r="K639" t="s">
        <v>16</v>
      </c>
      <c r="L639">
        <v>4</v>
      </c>
      <c r="M639" s="7">
        <v>33.93</v>
      </c>
      <c r="N639" s="7">
        <v>1574.96</v>
      </c>
      <c r="O639" t="s">
        <v>20</v>
      </c>
    </row>
    <row r="640" spans="1:15" x14ac:dyDescent="0.3">
      <c r="A640" t="s">
        <v>665</v>
      </c>
      <c r="B640" t="s">
        <v>22</v>
      </c>
      <c r="C640">
        <v>51</v>
      </c>
      <c r="D640" t="s">
        <v>20</v>
      </c>
      <c r="E640">
        <v>28</v>
      </c>
      <c r="F640" t="str">
        <f t="shared" si="9"/>
        <v>25-48 Months</v>
      </c>
      <c r="G640" t="s">
        <v>17</v>
      </c>
      <c r="H640" t="s">
        <v>20</v>
      </c>
      <c r="I640" t="s">
        <v>27</v>
      </c>
      <c r="J640" t="s">
        <v>20</v>
      </c>
      <c r="K640" t="s">
        <v>20</v>
      </c>
      <c r="L640">
        <v>2</v>
      </c>
      <c r="M640" s="7">
        <v>37.94</v>
      </c>
      <c r="N640" s="7">
        <v>1004.21</v>
      </c>
      <c r="O640" t="s">
        <v>20</v>
      </c>
    </row>
    <row r="641" spans="1:15" x14ac:dyDescent="0.3">
      <c r="A641" t="s">
        <v>666</v>
      </c>
      <c r="B641" t="s">
        <v>22</v>
      </c>
      <c r="C641">
        <v>53</v>
      </c>
      <c r="D641" t="s">
        <v>20</v>
      </c>
      <c r="E641">
        <v>41</v>
      </c>
      <c r="F641" t="str">
        <f t="shared" si="9"/>
        <v>25-48 Months</v>
      </c>
      <c r="G641" t="s">
        <v>17</v>
      </c>
      <c r="H641" t="s">
        <v>18</v>
      </c>
      <c r="I641" t="s">
        <v>30</v>
      </c>
      <c r="J641" t="s">
        <v>16</v>
      </c>
      <c r="K641" t="s">
        <v>20</v>
      </c>
      <c r="L641">
        <v>3</v>
      </c>
      <c r="M641" s="7">
        <v>71.16</v>
      </c>
      <c r="N641" s="7">
        <v>3107</v>
      </c>
      <c r="O641" t="s">
        <v>20</v>
      </c>
    </row>
    <row r="642" spans="1:15" x14ac:dyDescent="0.3">
      <c r="A642" t="s">
        <v>667</v>
      </c>
      <c r="B642" t="s">
        <v>22</v>
      </c>
      <c r="C642">
        <v>23</v>
      </c>
      <c r="D642" t="s">
        <v>20</v>
      </c>
      <c r="E642">
        <v>47</v>
      </c>
      <c r="F642" t="str">
        <f t="shared" ref="F642:F705" si="10">IF(E642&lt;=6,"0-6 Months",
 IF(E642&lt;=12,"7-12 Months",
 IF(E642&lt;=24,"13-24 Months",
 IF(E642&lt;=48,"25-48 Months","49+ Months"))))</f>
        <v>25-48 Months</v>
      </c>
      <c r="G642" t="s">
        <v>35</v>
      </c>
      <c r="H642" t="s">
        <v>36</v>
      </c>
      <c r="I642" t="s">
        <v>30</v>
      </c>
      <c r="J642" t="s">
        <v>20</v>
      </c>
      <c r="K642" t="s">
        <v>20</v>
      </c>
      <c r="L642">
        <v>7</v>
      </c>
      <c r="M642" s="7">
        <v>76.23</v>
      </c>
      <c r="N642" s="7">
        <v>3694.61</v>
      </c>
      <c r="O642" t="s">
        <v>20</v>
      </c>
    </row>
    <row r="643" spans="1:15" x14ac:dyDescent="0.3">
      <c r="A643" t="s">
        <v>668</v>
      </c>
      <c r="B643" t="s">
        <v>22</v>
      </c>
      <c r="C643">
        <v>56</v>
      </c>
      <c r="D643" t="s">
        <v>20</v>
      </c>
      <c r="E643">
        <v>18</v>
      </c>
      <c r="F643" t="str">
        <f t="shared" si="10"/>
        <v>13-24 Months</v>
      </c>
      <c r="G643" t="s">
        <v>17</v>
      </c>
      <c r="H643" t="s">
        <v>18</v>
      </c>
      <c r="I643" t="s">
        <v>27</v>
      </c>
      <c r="J643" t="s">
        <v>20</v>
      </c>
      <c r="K643" t="s">
        <v>16</v>
      </c>
      <c r="L643">
        <v>5</v>
      </c>
      <c r="M643" s="7">
        <v>80.47</v>
      </c>
      <c r="N643" s="7">
        <v>1389.61</v>
      </c>
      <c r="O643" t="s">
        <v>20</v>
      </c>
    </row>
    <row r="644" spans="1:15" x14ac:dyDescent="0.3">
      <c r="A644" t="s">
        <v>669</v>
      </c>
      <c r="B644" t="s">
        <v>22</v>
      </c>
      <c r="C644">
        <v>59</v>
      </c>
      <c r="D644" t="s">
        <v>20</v>
      </c>
      <c r="E644">
        <v>71</v>
      </c>
      <c r="F644" t="str">
        <f t="shared" si="10"/>
        <v>49+ Months</v>
      </c>
      <c r="G644" t="s">
        <v>17</v>
      </c>
      <c r="H644" t="s">
        <v>36</v>
      </c>
      <c r="I644" t="s">
        <v>24</v>
      </c>
      <c r="J644" t="s">
        <v>20</v>
      </c>
      <c r="K644" t="s">
        <v>20</v>
      </c>
      <c r="L644">
        <v>5</v>
      </c>
      <c r="M644" s="7">
        <v>52.93</v>
      </c>
      <c r="N644" s="7">
        <v>3674.42</v>
      </c>
      <c r="O644" t="s">
        <v>20</v>
      </c>
    </row>
    <row r="645" spans="1:15" x14ac:dyDescent="0.3">
      <c r="A645" t="s">
        <v>670</v>
      </c>
      <c r="B645" t="s">
        <v>15</v>
      </c>
      <c r="C645">
        <v>68</v>
      </c>
      <c r="D645" t="s">
        <v>16</v>
      </c>
      <c r="E645">
        <v>13</v>
      </c>
      <c r="F645" t="str">
        <f t="shared" si="10"/>
        <v>13-24 Months</v>
      </c>
      <c r="G645" t="s">
        <v>17</v>
      </c>
      <c r="H645" t="s">
        <v>18</v>
      </c>
      <c r="I645" t="s">
        <v>19</v>
      </c>
      <c r="J645" t="s">
        <v>20</v>
      </c>
      <c r="K645" t="s">
        <v>16</v>
      </c>
      <c r="L645">
        <v>4</v>
      </c>
      <c r="M645" s="7">
        <v>74.930000000000007</v>
      </c>
      <c r="N645" s="7">
        <v>1011.62</v>
      </c>
      <c r="O645" t="s">
        <v>16</v>
      </c>
    </row>
    <row r="646" spans="1:15" x14ac:dyDescent="0.3">
      <c r="A646" t="s">
        <v>671</v>
      </c>
      <c r="B646" t="s">
        <v>22</v>
      </c>
      <c r="C646">
        <v>68</v>
      </c>
      <c r="D646" t="s">
        <v>16</v>
      </c>
      <c r="E646">
        <v>13</v>
      </c>
      <c r="F646" t="str">
        <f t="shared" si="10"/>
        <v>13-24 Months</v>
      </c>
      <c r="G646" t="s">
        <v>17</v>
      </c>
      <c r="H646" t="s">
        <v>18</v>
      </c>
      <c r="I646" t="s">
        <v>27</v>
      </c>
      <c r="J646" t="s">
        <v>16</v>
      </c>
      <c r="K646" t="s">
        <v>16</v>
      </c>
      <c r="L646">
        <v>5</v>
      </c>
      <c r="M646" s="7">
        <v>86.78</v>
      </c>
      <c r="N646" s="7">
        <v>1180.6500000000001</v>
      </c>
      <c r="O646" t="s">
        <v>16</v>
      </c>
    </row>
    <row r="647" spans="1:15" x14ac:dyDescent="0.3">
      <c r="A647" t="s">
        <v>672</v>
      </c>
      <c r="B647" t="s">
        <v>15</v>
      </c>
      <c r="C647">
        <v>75</v>
      </c>
      <c r="D647" t="s">
        <v>16</v>
      </c>
      <c r="E647">
        <v>31</v>
      </c>
      <c r="F647" t="str">
        <f t="shared" si="10"/>
        <v>25-48 Months</v>
      </c>
      <c r="G647" t="s">
        <v>17</v>
      </c>
      <c r="H647" t="s">
        <v>20</v>
      </c>
      <c r="I647" t="s">
        <v>27</v>
      </c>
      <c r="J647" t="s">
        <v>16</v>
      </c>
      <c r="K647" t="s">
        <v>20</v>
      </c>
      <c r="L647">
        <v>1</v>
      </c>
      <c r="M647" s="7">
        <v>26.04</v>
      </c>
      <c r="N647" s="7">
        <v>765.45</v>
      </c>
      <c r="O647" t="s">
        <v>20</v>
      </c>
    </row>
    <row r="648" spans="1:15" x14ac:dyDescent="0.3">
      <c r="A648" t="s">
        <v>673</v>
      </c>
      <c r="B648" t="s">
        <v>15</v>
      </c>
      <c r="C648">
        <v>71</v>
      </c>
      <c r="D648" t="s">
        <v>16</v>
      </c>
      <c r="E648">
        <v>2</v>
      </c>
      <c r="F648" t="str">
        <f t="shared" si="10"/>
        <v>0-6 Months</v>
      </c>
      <c r="G648" t="s">
        <v>23</v>
      </c>
      <c r="H648" t="s">
        <v>18</v>
      </c>
      <c r="I648" t="s">
        <v>27</v>
      </c>
      <c r="J648" t="s">
        <v>20</v>
      </c>
      <c r="K648" t="s">
        <v>20</v>
      </c>
      <c r="L648">
        <v>4</v>
      </c>
      <c r="M648" s="7">
        <v>71.489999999999995</v>
      </c>
      <c r="N648" s="7">
        <v>152.97</v>
      </c>
      <c r="O648" t="s">
        <v>16</v>
      </c>
    </row>
    <row r="649" spans="1:15" x14ac:dyDescent="0.3">
      <c r="A649" t="s">
        <v>674</v>
      </c>
      <c r="B649" t="s">
        <v>15</v>
      </c>
      <c r="C649">
        <v>29</v>
      </c>
      <c r="D649" t="s">
        <v>20</v>
      </c>
      <c r="E649">
        <v>16</v>
      </c>
      <c r="F649" t="str">
        <f t="shared" si="10"/>
        <v>13-24 Months</v>
      </c>
      <c r="G649" t="s">
        <v>17</v>
      </c>
      <c r="H649" t="s">
        <v>20</v>
      </c>
      <c r="I649" t="s">
        <v>19</v>
      </c>
      <c r="J649" t="s">
        <v>16</v>
      </c>
      <c r="K649" t="s">
        <v>16</v>
      </c>
      <c r="L649">
        <v>1</v>
      </c>
      <c r="M649" s="7">
        <v>20.100000000000001</v>
      </c>
      <c r="N649" s="7">
        <v>336.28</v>
      </c>
      <c r="O649" t="s">
        <v>20</v>
      </c>
    </row>
    <row r="650" spans="1:15" x14ac:dyDescent="0.3">
      <c r="A650" t="s">
        <v>675</v>
      </c>
      <c r="B650" t="s">
        <v>22</v>
      </c>
      <c r="C650">
        <v>20</v>
      </c>
      <c r="D650" t="s">
        <v>20</v>
      </c>
      <c r="E650">
        <v>9</v>
      </c>
      <c r="F650" t="str">
        <f t="shared" si="10"/>
        <v>7-12 Months</v>
      </c>
      <c r="G650" t="s">
        <v>17</v>
      </c>
      <c r="H650" t="s">
        <v>18</v>
      </c>
      <c r="I650" t="s">
        <v>27</v>
      </c>
      <c r="J650" t="s">
        <v>20</v>
      </c>
      <c r="K650" t="s">
        <v>16</v>
      </c>
      <c r="L650">
        <v>4</v>
      </c>
      <c r="M650" s="7">
        <v>73.33</v>
      </c>
      <c r="N650" s="7">
        <v>697.65</v>
      </c>
      <c r="O650" t="s">
        <v>16</v>
      </c>
    </row>
    <row r="651" spans="1:15" x14ac:dyDescent="0.3">
      <c r="A651" t="s">
        <v>676</v>
      </c>
      <c r="B651" t="s">
        <v>15</v>
      </c>
      <c r="C651">
        <v>62</v>
      </c>
      <c r="D651" t="s">
        <v>16</v>
      </c>
      <c r="E651">
        <v>38</v>
      </c>
      <c r="F651" t="str">
        <f t="shared" si="10"/>
        <v>25-48 Months</v>
      </c>
      <c r="G651" t="s">
        <v>23</v>
      </c>
      <c r="H651" t="s">
        <v>18</v>
      </c>
      <c r="I651" t="s">
        <v>24</v>
      </c>
      <c r="J651" t="s">
        <v>20</v>
      </c>
      <c r="K651" t="s">
        <v>20</v>
      </c>
      <c r="L651">
        <v>1</v>
      </c>
      <c r="M651" s="7">
        <v>61.27</v>
      </c>
      <c r="N651" s="7">
        <v>2195.59</v>
      </c>
      <c r="O651" t="s">
        <v>20</v>
      </c>
    </row>
    <row r="652" spans="1:15" x14ac:dyDescent="0.3">
      <c r="A652" t="s">
        <v>677</v>
      </c>
      <c r="B652" t="s">
        <v>15</v>
      </c>
      <c r="C652">
        <v>35</v>
      </c>
      <c r="D652" t="s">
        <v>20</v>
      </c>
      <c r="E652">
        <v>54</v>
      </c>
      <c r="F652" t="str">
        <f t="shared" si="10"/>
        <v>49+ Months</v>
      </c>
      <c r="G652" t="s">
        <v>17</v>
      </c>
      <c r="H652" t="s">
        <v>20</v>
      </c>
      <c r="I652" t="s">
        <v>24</v>
      </c>
      <c r="J652" t="s">
        <v>20</v>
      </c>
      <c r="K652" t="s">
        <v>20</v>
      </c>
      <c r="L652">
        <v>4</v>
      </c>
      <c r="M652" s="7">
        <v>45.02</v>
      </c>
      <c r="N652" s="7">
        <v>2292.36</v>
      </c>
      <c r="O652" t="s">
        <v>20</v>
      </c>
    </row>
    <row r="653" spans="1:15" x14ac:dyDescent="0.3">
      <c r="A653" t="s">
        <v>678</v>
      </c>
      <c r="B653" t="s">
        <v>22</v>
      </c>
      <c r="C653">
        <v>57</v>
      </c>
      <c r="D653" t="s">
        <v>20</v>
      </c>
      <c r="E653">
        <v>56</v>
      </c>
      <c r="F653" t="str">
        <f t="shared" si="10"/>
        <v>49+ Months</v>
      </c>
      <c r="G653" t="s">
        <v>17</v>
      </c>
      <c r="H653" t="s">
        <v>36</v>
      </c>
      <c r="I653" t="s">
        <v>19</v>
      </c>
      <c r="J653" t="s">
        <v>20</v>
      </c>
      <c r="K653" t="s">
        <v>20</v>
      </c>
      <c r="L653">
        <v>6</v>
      </c>
      <c r="M653" s="7">
        <v>64.23</v>
      </c>
      <c r="N653" s="7">
        <v>3484.87</v>
      </c>
      <c r="O653" t="s">
        <v>20</v>
      </c>
    </row>
    <row r="654" spans="1:15" x14ac:dyDescent="0.3">
      <c r="A654" t="s">
        <v>679</v>
      </c>
      <c r="B654" t="s">
        <v>15</v>
      </c>
      <c r="C654">
        <v>38</v>
      </c>
      <c r="D654" t="s">
        <v>20</v>
      </c>
      <c r="E654">
        <v>45</v>
      </c>
      <c r="F654" t="str">
        <f t="shared" si="10"/>
        <v>25-48 Months</v>
      </c>
      <c r="G654" t="s">
        <v>17</v>
      </c>
      <c r="H654" t="s">
        <v>36</v>
      </c>
      <c r="I654" t="s">
        <v>19</v>
      </c>
      <c r="J654" t="s">
        <v>20</v>
      </c>
      <c r="K654" t="s">
        <v>16</v>
      </c>
      <c r="L654">
        <v>3</v>
      </c>
      <c r="M654" s="7">
        <v>52.91</v>
      </c>
      <c r="N654" s="7">
        <v>2215.1</v>
      </c>
      <c r="O654" t="s">
        <v>20</v>
      </c>
    </row>
    <row r="655" spans="1:15" x14ac:dyDescent="0.3">
      <c r="A655" t="s">
        <v>680</v>
      </c>
      <c r="B655" t="s">
        <v>15</v>
      </c>
      <c r="C655">
        <v>32</v>
      </c>
      <c r="D655" t="s">
        <v>20</v>
      </c>
      <c r="E655">
        <v>34</v>
      </c>
      <c r="F655" t="str">
        <f t="shared" si="10"/>
        <v>25-48 Months</v>
      </c>
      <c r="G655" t="s">
        <v>23</v>
      </c>
      <c r="H655" t="s">
        <v>18</v>
      </c>
      <c r="I655" t="s">
        <v>24</v>
      </c>
      <c r="J655" t="s">
        <v>20</v>
      </c>
      <c r="K655" t="s">
        <v>20</v>
      </c>
      <c r="L655">
        <v>3</v>
      </c>
      <c r="M655" s="7">
        <v>73.739999999999995</v>
      </c>
      <c r="N655" s="7">
        <v>2343.12</v>
      </c>
      <c r="O655" t="s">
        <v>16</v>
      </c>
    </row>
    <row r="656" spans="1:15" x14ac:dyDescent="0.3">
      <c r="A656" t="s">
        <v>681</v>
      </c>
      <c r="B656" t="s">
        <v>22</v>
      </c>
      <c r="C656">
        <v>50</v>
      </c>
      <c r="D656" t="s">
        <v>20</v>
      </c>
      <c r="E656">
        <v>9</v>
      </c>
      <c r="F656" t="str">
        <f t="shared" si="10"/>
        <v>7-12 Months</v>
      </c>
      <c r="G656" t="s">
        <v>17</v>
      </c>
      <c r="H656" t="s">
        <v>36</v>
      </c>
      <c r="I656" t="s">
        <v>19</v>
      </c>
      <c r="J656" t="s">
        <v>16</v>
      </c>
      <c r="K656" t="s">
        <v>20</v>
      </c>
      <c r="L656">
        <v>2</v>
      </c>
      <c r="M656" s="7">
        <v>54.78</v>
      </c>
      <c r="N656" s="7">
        <v>464.88</v>
      </c>
      <c r="O656" t="s">
        <v>20</v>
      </c>
    </row>
    <row r="657" spans="1:15" x14ac:dyDescent="0.3">
      <c r="A657" t="s">
        <v>682</v>
      </c>
      <c r="B657" t="s">
        <v>15</v>
      </c>
      <c r="C657">
        <v>52</v>
      </c>
      <c r="D657" t="s">
        <v>20</v>
      </c>
      <c r="E657">
        <v>8</v>
      </c>
      <c r="F657" t="str">
        <f t="shared" si="10"/>
        <v>7-12 Months</v>
      </c>
      <c r="G657" t="s">
        <v>17</v>
      </c>
      <c r="H657" t="s">
        <v>36</v>
      </c>
      <c r="I657" t="s">
        <v>24</v>
      </c>
      <c r="J657" t="s">
        <v>20</v>
      </c>
      <c r="K657" t="s">
        <v>20</v>
      </c>
      <c r="L657">
        <v>3</v>
      </c>
      <c r="M657" s="7">
        <v>59.46</v>
      </c>
      <c r="N657" s="7">
        <v>491.85</v>
      </c>
      <c r="O657" t="s">
        <v>16</v>
      </c>
    </row>
    <row r="658" spans="1:15" x14ac:dyDescent="0.3">
      <c r="A658" t="s">
        <v>683</v>
      </c>
      <c r="B658" t="s">
        <v>15</v>
      </c>
      <c r="C658">
        <v>43</v>
      </c>
      <c r="D658" t="s">
        <v>20</v>
      </c>
      <c r="E658">
        <v>7</v>
      </c>
      <c r="F658" t="str">
        <f t="shared" si="10"/>
        <v>7-12 Months</v>
      </c>
      <c r="G658" t="s">
        <v>17</v>
      </c>
      <c r="H658" t="s">
        <v>36</v>
      </c>
      <c r="I658" t="s">
        <v>19</v>
      </c>
      <c r="J658" t="s">
        <v>20</v>
      </c>
      <c r="K658" t="s">
        <v>16</v>
      </c>
      <c r="L658">
        <v>8</v>
      </c>
      <c r="M658" s="7">
        <v>71.31</v>
      </c>
      <c r="N658" s="7">
        <v>461.65</v>
      </c>
      <c r="O658" t="s">
        <v>20</v>
      </c>
    </row>
    <row r="659" spans="1:15" x14ac:dyDescent="0.3">
      <c r="A659" t="s">
        <v>684</v>
      </c>
      <c r="B659" t="s">
        <v>15</v>
      </c>
      <c r="C659">
        <v>25</v>
      </c>
      <c r="D659" t="s">
        <v>20</v>
      </c>
      <c r="E659">
        <v>36</v>
      </c>
      <c r="F659" t="str">
        <f t="shared" si="10"/>
        <v>25-48 Months</v>
      </c>
      <c r="G659" t="s">
        <v>23</v>
      </c>
      <c r="H659" t="s">
        <v>36</v>
      </c>
      <c r="I659" t="s">
        <v>27</v>
      </c>
      <c r="J659" t="s">
        <v>20</v>
      </c>
      <c r="K659" t="s">
        <v>20</v>
      </c>
      <c r="L659">
        <v>6</v>
      </c>
      <c r="M659" s="7">
        <v>65.150000000000006</v>
      </c>
      <c r="N659" s="7">
        <v>2189.0100000000002</v>
      </c>
      <c r="O659" t="s">
        <v>20</v>
      </c>
    </row>
    <row r="660" spans="1:15" x14ac:dyDescent="0.3">
      <c r="A660" t="s">
        <v>685</v>
      </c>
      <c r="B660" t="s">
        <v>22</v>
      </c>
      <c r="C660">
        <v>53</v>
      </c>
      <c r="D660" t="s">
        <v>20</v>
      </c>
      <c r="E660">
        <v>18</v>
      </c>
      <c r="F660" t="str">
        <f t="shared" si="10"/>
        <v>13-24 Months</v>
      </c>
      <c r="G660" t="s">
        <v>17</v>
      </c>
      <c r="H660" t="s">
        <v>20</v>
      </c>
      <c r="I660" t="s">
        <v>30</v>
      </c>
      <c r="J660" t="s">
        <v>16</v>
      </c>
      <c r="K660" t="s">
        <v>20</v>
      </c>
      <c r="L660">
        <v>1</v>
      </c>
      <c r="M660" s="7">
        <v>33.5</v>
      </c>
      <c r="N660" s="7">
        <v>645.85</v>
      </c>
      <c r="O660" t="s">
        <v>20</v>
      </c>
    </row>
    <row r="661" spans="1:15" x14ac:dyDescent="0.3">
      <c r="A661" t="s">
        <v>686</v>
      </c>
      <c r="B661" t="s">
        <v>22</v>
      </c>
      <c r="C661">
        <v>65</v>
      </c>
      <c r="D661" t="s">
        <v>16</v>
      </c>
      <c r="E661">
        <v>3</v>
      </c>
      <c r="F661" t="str">
        <f t="shared" si="10"/>
        <v>0-6 Months</v>
      </c>
      <c r="G661" t="s">
        <v>23</v>
      </c>
      <c r="H661" t="s">
        <v>36</v>
      </c>
      <c r="I661" t="s">
        <v>24</v>
      </c>
      <c r="J661" t="s">
        <v>16</v>
      </c>
      <c r="K661" t="s">
        <v>16</v>
      </c>
      <c r="L661">
        <v>3</v>
      </c>
      <c r="M661" s="7">
        <v>50.13</v>
      </c>
      <c r="N661" s="7">
        <v>140.37</v>
      </c>
      <c r="O661" t="s">
        <v>20</v>
      </c>
    </row>
    <row r="662" spans="1:15" x14ac:dyDescent="0.3">
      <c r="A662" t="s">
        <v>687</v>
      </c>
      <c r="B662" t="s">
        <v>22</v>
      </c>
      <c r="C662">
        <v>47</v>
      </c>
      <c r="D662" t="s">
        <v>20</v>
      </c>
      <c r="E662">
        <v>28</v>
      </c>
      <c r="F662" t="str">
        <f t="shared" si="10"/>
        <v>25-48 Months</v>
      </c>
      <c r="G662" t="s">
        <v>35</v>
      </c>
      <c r="H662" t="s">
        <v>20</v>
      </c>
      <c r="I662" t="s">
        <v>19</v>
      </c>
      <c r="J662" t="s">
        <v>20</v>
      </c>
      <c r="K662" t="s">
        <v>20</v>
      </c>
      <c r="L662">
        <v>2</v>
      </c>
      <c r="M662" s="7">
        <v>29.17</v>
      </c>
      <c r="N662" s="7">
        <v>821.66</v>
      </c>
      <c r="O662" t="s">
        <v>20</v>
      </c>
    </row>
    <row r="663" spans="1:15" x14ac:dyDescent="0.3">
      <c r="A663" t="s">
        <v>688</v>
      </c>
      <c r="B663" t="s">
        <v>15</v>
      </c>
      <c r="C663">
        <v>40</v>
      </c>
      <c r="D663" t="s">
        <v>20</v>
      </c>
      <c r="E663">
        <v>70</v>
      </c>
      <c r="F663" t="str">
        <f t="shared" si="10"/>
        <v>49+ Months</v>
      </c>
      <c r="G663" t="s">
        <v>23</v>
      </c>
      <c r="H663" t="s">
        <v>36</v>
      </c>
      <c r="I663" t="s">
        <v>30</v>
      </c>
      <c r="J663" t="s">
        <v>20</v>
      </c>
      <c r="K663" t="s">
        <v>20</v>
      </c>
      <c r="L663">
        <v>6</v>
      </c>
      <c r="M663" s="7">
        <v>71.48</v>
      </c>
      <c r="N663" s="7">
        <v>5117.74</v>
      </c>
      <c r="O663" t="s">
        <v>20</v>
      </c>
    </row>
    <row r="664" spans="1:15" x14ac:dyDescent="0.3">
      <c r="A664" t="s">
        <v>689</v>
      </c>
      <c r="B664" t="s">
        <v>15</v>
      </c>
      <c r="C664">
        <v>59</v>
      </c>
      <c r="D664" t="s">
        <v>20</v>
      </c>
      <c r="E664">
        <v>44</v>
      </c>
      <c r="F664" t="str">
        <f t="shared" si="10"/>
        <v>25-48 Months</v>
      </c>
      <c r="G664" t="s">
        <v>17</v>
      </c>
      <c r="H664" t="s">
        <v>36</v>
      </c>
      <c r="I664" t="s">
        <v>30</v>
      </c>
      <c r="J664" t="s">
        <v>20</v>
      </c>
      <c r="K664" t="s">
        <v>20</v>
      </c>
      <c r="L664">
        <v>4</v>
      </c>
      <c r="M664" s="7">
        <v>54.98</v>
      </c>
      <c r="N664" s="7">
        <v>2596.62</v>
      </c>
      <c r="O664" t="s">
        <v>20</v>
      </c>
    </row>
    <row r="665" spans="1:15" x14ac:dyDescent="0.3">
      <c r="A665" t="s">
        <v>690</v>
      </c>
      <c r="B665" t="s">
        <v>22</v>
      </c>
      <c r="C665">
        <v>61</v>
      </c>
      <c r="D665" t="s">
        <v>16</v>
      </c>
      <c r="E665">
        <v>21</v>
      </c>
      <c r="F665" t="str">
        <f t="shared" si="10"/>
        <v>13-24 Months</v>
      </c>
      <c r="G665" t="s">
        <v>17</v>
      </c>
      <c r="H665" t="s">
        <v>18</v>
      </c>
      <c r="I665" t="s">
        <v>19</v>
      </c>
      <c r="J665" t="s">
        <v>20</v>
      </c>
      <c r="K665" t="s">
        <v>16</v>
      </c>
      <c r="L665">
        <v>4</v>
      </c>
      <c r="M665" s="7">
        <v>80.73</v>
      </c>
      <c r="N665" s="7">
        <v>1803.78</v>
      </c>
      <c r="O665" t="s">
        <v>20</v>
      </c>
    </row>
    <row r="666" spans="1:15" x14ac:dyDescent="0.3">
      <c r="A666" t="s">
        <v>691</v>
      </c>
      <c r="B666" t="s">
        <v>15</v>
      </c>
      <c r="C666">
        <v>31</v>
      </c>
      <c r="D666" t="s">
        <v>20</v>
      </c>
      <c r="E666">
        <v>28</v>
      </c>
      <c r="F666" t="str">
        <f t="shared" si="10"/>
        <v>25-48 Months</v>
      </c>
      <c r="G666" t="s">
        <v>17</v>
      </c>
      <c r="H666" t="s">
        <v>18</v>
      </c>
      <c r="I666" t="s">
        <v>30</v>
      </c>
      <c r="J666" t="s">
        <v>20</v>
      </c>
      <c r="K666" t="s">
        <v>16</v>
      </c>
      <c r="L666">
        <v>3</v>
      </c>
      <c r="M666" s="7">
        <v>63.94</v>
      </c>
      <c r="N666" s="7">
        <v>1773.33</v>
      </c>
      <c r="O666" t="s">
        <v>16</v>
      </c>
    </row>
    <row r="667" spans="1:15" x14ac:dyDescent="0.3">
      <c r="A667" t="s">
        <v>692</v>
      </c>
      <c r="B667" t="s">
        <v>15</v>
      </c>
      <c r="C667">
        <v>31</v>
      </c>
      <c r="D667" t="s">
        <v>20</v>
      </c>
      <c r="E667">
        <v>54</v>
      </c>
      <c r="F667" t="str">
        <f t="shared" si="10"/>
        <v>49+ Months</v>
      </c>
      <c r="G667" t="s">
        <v>17</v>
      </c>
      <c r="H667" t="s">
        <v>20</v>
      </c>
      <c r="I667" t="s">
        <v>27</v>
      </c>
      <c r="J667" t="s">
        <v>16</v>
      </c>
      <c r="K667" t="s">
        <v>16</v>
      </c>
      <c r="L667">
        <v>3</v>
      </c>
      <c r="M667" s="7">
        <v>41.09</v>
      </c>
      <c r="N667" s="7">
        <v>2375.84</v>
      </c>
      <c r="O667" t="s">
        <v>20</v>
      </c>
    </row>
    <row r="668" spans="1:15" x14ac:dyDescent="0.3">
      <c r="A668" t="s">
        <v>693</v>
      </c>
      <c r="B668" t="s">
        <v>22</v>
      </c>
      <c r="C668">
        <v>19</v>
      </c>
      <c r="D668" t="s">
        <v>20</v>
      </c>
      <c r="E668">
        <v>54</v>
      </c>
      <c r="F668" t="str">
        <f t="shared" si="10"/>
        <v>49+ Months</v>
      </c>
      <c r="G668" t="s">
        <v>17</v>
      </c>
      <c r="H668" t="s">
        <v>18</v>
      </c>
      <c r="I668" t="s">
        <v>24</v>
      </c>
      <c r="J668" t="s">
        <v>20</v>
      </c>
      <c r="K668" t="s">
        <v>20</v>
      </c>
      <c r="L668">
        <v>3</v>
      </c>
      <c r="M668" s="7">
        <v>73.59</v>
      </c>
      <c r="N668" s="7">
        <v>3930.79</v>
      </c>
      <c r="O668" t="s">
        <v>20</v>
      </c>
    </row>
    <row r="669" spans="1:15" x14ac:dyDescent="0.3">
      <c r="A669" t="s">
        <v>694</v>
      </c>
      <c r="B669" t="s">
        <v>22</v>
      </c>
      <c r="C669">
        <v>72</v>
      </c>
      <c r="D669" t="s">
        <v>16</v>
      </c>
      <c r="E669">
        <v>65</v>
      </c>
      <c r="F669" t="str">
        <f t="shared" si="10"/>
        <v>49+ Months</v>
      </c>
      <c r="G669" t="s">
        <v>23</v>
      </c>
      <c r="H669" t="s">
        <v>18</v>
      </c>
      <c r="I669" t="s">
        <v>19</v>
      </c>
      <c r="J669" t="s">
        <v>20</v>
      </c>
      <c r="K669" t="s">
        <v>16</v>
      </c>
      <c r="L669">
        <v>1</v>
      </c>
      <c r="M669" s="7">
        <v>69.849999999999994</v>
      </c>
      <c r="N669" s="7">
        <v>4663.6899999999996</v>
      </c>
      <c r="O669" t="s">
        <v>20</v>
      </c>
    </row>
    <row r="670" spans="1:15" x14ac:dyDescent="0.3">
      <c r="A670" t="s">
        <v>695</v>
      </c>
      <c r="B670" t="s">
        <v>15</v>
      </c>
      <c r="C670">
        <v>54</v>
      </c>
      <c r="D670" t="s">
        <v>20</v>
      </c>
      <c r="E670">
        <v>21</v>
      </c>
      <c r="F670" t="str">
        <f t="shared" si="10"/>
        <v>13-24 Months</v>
      </c>
      <c r="G670" t="s">
        <v>17</v>
      </c>
      <c r="H670" t="s">
        <v>18</v>
      </c>
      <c r="I670" t="s">
        <v>19</v>
      </c>
      <c r="J670" t="s">
        <v>20</v>
      </c>
      <c r="K670" t="s">
        <v>20</v>
      </c>
      <c r="L670">
        <v>5</v>
      </c>
      <c r="M670" s="7">
        <v>90.84</v>
      </c>
      <c r="N670" s="7">
        <v>1834.27</v>
      </c>
      <c r="O670" t="s">
        <v>16</v>
      </c>
    </row>
    <row r="671" spans="1:15" x14ac:dyDescent="0.3">
      <c r="A671" t="s">
        <v>696</v>
      </c>
      <c r="B671" t="s">
        <v>15</v>
      </c>
      <c r="C671">
        <v>22</v>
      </c>
      <c r="D671" t="s">
        <v>20</v>
      </c>
      <c r="E671">
        <v>13</v>
      </c>
      <c r="F671" t="str">
        <f t="shared" si="10"/>
        <v>13-24 Months</v>
      </c>
      <c r="G671" t="s">
        <v>17</v>
      </c>
      <c r="H671" t="s">
        <v>18</v>
      </c>
      <c r="I671" t="s">
        <v>30</v>
      </c>
      <c r="J671" t="s">
        <v>20</v>
      </c>
      <c r="K671" t="s">
        <v>20</v>
      </c>
      <c r="L671">
        <v>6</v>
      </c>
      <c r="M671" s="7">
        <v>84.66</v>
      </c>
      <c r="N671" s="7">
        <v>1124.6400000000001</v>
      </c>
      <c r="O671" t="s">
        <v>16</v>
      </c>
    </row>
    <row r="672" spans="1:15" x14ac:dyDescent="0.3">
      <c r="A672" t="s">
        <v>697</v>
      </c>
      <c r="B672" t="s">
        <v>15</v>
      </c>
      <c r="C672">
        <v>55</v>
      </c>
      <c r="D672" t="s">
        <v>20</v>
      </c>
      <c r="E672">
        <v>57</v>
      </c>
      <c r="F672" t="str">
        <f t="shared" si="10"/>
        <v>49+ Months</v>
      </c>
      <c r="G672" t="s">
        <v>23</v>
      </c>
      <c r="H672" t="s">
        <v>20</v>
      </c>
      <c r="I672" t="s">
        <v>24</v>
      </c>
      <c r="J672" t="s">
        <v>20</v>
      </c>
      <c r="K672" t="s">
        <v>20</v>
      </c>
      <c r="L672">
        <v>3</v>
      </c>
      <c r="M672" s="7">
        <v>26.26</v>
      </c>
      <c r="N672" s="7">
        <v>1505.97</v>
      </c>
      <c r="O672" t="s">
        <v>20</v>
      </c>
    </row>
    <row r="673" spans="1:15" x14ac:dyDescent="0.3">
      <c r="A673" t="s">
        <v>698</v>
      </c>
      <c r="B673" t="s">
        <v>22</v>
      </c>
      <c r="C673">
        <v>62</v>
      </c>
      <c r="D673" t="s">
        <v>16</v>
      </c>
      <c r="E673">
        <v>49</v>
      </c>
      <c r="F673" t="str">
        <f t="shared" si="10"/>
        <v>49+ Months</v>
      </c>
      <c r="G673" t="s">
        <v>23</v>
      </c>
      <c r="H673" t="s">
        <v>20</v>
      </c>
      <c r="I673" t="s">
        <v>24</v>
      </c>
      <c r="J673" t="s">
        <v>20</v>
      </c>
      <c r="K673" t="s">
        <v>16</v>
      </c>
      <c r="L673">
        <v>5</v>
      </c>
      <c r="M673" s="7">
        <v>42.47</v>
      </c>
      <c r="N673" s="7">
        <v>2116.6</v>
      </c>
      <c r="O673" t="s">
        <v>20</v>
      </c>
    </row>
    <row r="674" spans="1:15" x14ac:dyDescent="0.3">
      <c r="A674" t="s">
        <v>699</v>
      </c>
      <c r="B674" t="s">
        <v>22</v>
      </c>
      <c r="C674">
        <v>58</v>
      </c>
      <c r="D674" t="s">
        <v>20</v>
      </c>
      <c r="E674">
        <v>54</v>
      </c>
      <c r="F674" t="str">
        <f t="shared" si="10"/>
        <v>49+ Months</v>
      </c>
      <c r="G674" t="s">
        <v>17</v>
      </c>
      <c r="H674" t="s">
        <v>36</v>
      </c>
      <c r="I674" t="s">
        <v>24</v>
      </c>
      <c r="J674" t="s">
        <v>16</v>
      </c>
      <c r="K674" t="s">
        <v>20</v>
      </c>
      <c r="L674">
        <v>4</v>
      </c>
      <c r="M674" s="7">
        <v>67.5</v>
      </c>
      <c r="N674" s="7">
        <v>3751.52</v>
      </c>
      <c r="O674" t="s">
        <v>20</v>
      </c>
    </row>
    <row r="675" spans="1:15" x14ac:dyDescent="0.3">
      <c r="A675" t="s">
        <v>700</v>
      </c>
      <c r="B675" t="s">
        <v>22</v>
      </c>
      <c r="C675">
        <v>71</v>
      </c>
      <c r="D675" t="s">
        <v>16</v>
      </c>
      <c r="E675">
        <v>10</v>
      </c>
      <c r="F675" t="str">
        <f t="shared" si="10"/>
        <v>7-12 Months</v>
      </c>
      <c r="G675" t="s">
        <v>35</v>
      </c>
      <c r="H675" t="s">
        <v>18</v>
      </c>
      <c r="I675" t="s">
        <v>27</v>
      </c>
      <c r="J675" t="s">
        <v>20</v>
      </c>
      <c r="K675" t="s">
        <v>20</v>
      </c>
      <c r="L675">
        <v>2</v>
      </c>
      <c r="M675" s="7">
        <v>72.19</v>
      </c>
      <c r="N675" s="7">
        <v>684.18</v>
      </c>
      <c r="O675" t="s">
        <v>20</v>
      </c>
    </row>
    <row r="676" spans="1:15" x14ac:dyDescent="0.3">
      <c r="A676" t="s">
        <v>701</v>
      </c>
      <c r="B676" t="s">
        <v>22</v>
      </c>
      <c r="C676">
        <v>64</v>
      </c>
      <c r="D676" t="s">
        <v>16</v>
      </c>
      <c r="E676">
        <v>53</v>
      </c>
      <c r="F676" t="str">
        <f t="shared" si="10"/>
        <v>49+ Months</v>
      </c>
      <c r="G676" t="s">
        <v>17</v>
      </c>
      <c r="H676" t="s">
        <v>36</v>
      </c>
      <c r="I676" t="s">
        <v>30</v>
      </c>
      <c r="J676" t="s">
        <v>20</v>
      </c>
      <c r="K676" t="s">
        <v>16</v>
      </c>
      <c r="L676">
        <v>7</v>
      </c>
      <c r="M676" s="7">
        <v>63.55</v>
      </c>
      <c r="N676" s="7">
        <v>3261.05</v>
      </c>
      <c r="O676" t="s">
        <v>20</v>
      </c>
    </row>
    <row r="677" spans="1:15" x14ac:dyDescent="0.3">
      <c r="A677" t="s">
        <v>702</v>
      </c>
      <c r="B677" t="s">
        <v>15</v>
      </c>
      <c r="C677">
        <v>31</v>
      </c>
      <c r="D677" t="s">
        <v>20</v>
      </c>
      <c r="E677">
        <v>44</v>
      </c>
      <c r="F677" t="str">
        <f t="shared" si="10"/>
        <v>25-48 Months</v>
      </c>
      <c r="G677" t="s">
        <v>23</v>
      </c>
      <c r="H677" t="s">
        <v>36</v>
      </c>
      <c r="I677" t="s">
        <v>30</v>
      </c>
      <c r="J677" t="s">
        <v>20</v>
      </c>
      <c r="K677" t="s">
        <v>20</v>
      </c>
      <c r="L677">
        <v>8</v>
      </c>
      <c r="M677" s="7">
        <v>73.64</v>
      </c>
      <c r="N677" s="7">
        <v>3362.63</v>
      </c>
      <c r="O677" t="s">
        <v>20</v>
      </c>
    </row>
    <row r="678" spans="1:15" x14ac:dyDescent="0.3">
      <c r="A678" t="s">
        <v>703</v>
      </c>
      <c r="B678" t="s">
        <v>22</v>
      </c>
      <c r="C678">
        <v>73</v>
      </c>
      <c r="D678" t="s">
        <v>16</v>
      </c>
      <c r="E678">
        <v>47</v>
      </c>
      <c r="F678" t="str">
        <f t="shared" si="10"/>
        <v>25-48 Months</v>
      </c>
      <c r="G678" t="s">
        <v>23</v>
      </c>
      <c r="H678" t="s">
        <v>20</v>
      </c>
      <c r="I678" t="s">
        <v>27</v>
      </c>
      <c r="J678" t="s">
        <v>20</v>
      </c>
      <c r="K678" t="s">
        <v>20</v>
      </c>
      <c r="L678">
        <v>5</v>
      </c>
      <c r="M678" s="7">
        <v>48.41</v>
      </c>
      <c r="N678" s="7">
        <v>2152.89</v>
      </c>
      <c r="O678" t="s">
        <v>16</v>
      </c>
    </row>
    <row r="679" spans="1:15" x14ac:dyDescent="0.3">
      <c r="A679" t="s">
        <v>704</v>
      </c>
      <c r="B679" t="s">
        <v>22</v>
      </c>
      <c r="C679">
        <v>56</v>
      </c>
      <c r="D679" t="s">
        <v>20</v>
      </c>
      <c r="E679">
        <v>53</v>
      </c>
      <c r="F679" t="str">
        <f t="shared" si="10"/>
        <v>49+ Months</v>
      </c>
      <c r="G679" t="s">
        <v>23</v>
      </c>
      <c r="H679" t="s">
        <v>36</v>
      </c>
      <c r="I679" t="s">
        <v>24</v>
      </c>
      <c r="J679" t="s">
        <v>16</v>
      </c>
      <c r="K679" t="s">
        <v>20</v>
      </c>
      <c r="L679">
        <v>4</v>
      </c>
      <c r="M679" s="7">
        <v>58.12</v>
      </c>
      <c r="N679" s="7">
        <v>3003.59</v>
      </c>
      <c r="O679" t="s">
        <v>20</v>
      </c>
    </row>
    <row r="680" spans="1:15" x14ac:dyDescent="0.3">
      <c r="A680" t="s">
        <v>705</v>
      </c>
      <c r="B680" t="s">
        <v>22</v>
      </c>
      <c r="C680">
        <v>42</v>
      </c>
      <c r="D680" t="s">
        <v>20</v>
      </c>
      <c r="E680">
        <v>46</v>
      </c>
      <c r="F680" t="str">
        <f t="shared" si="10"/>
        <v>25-48 Months</v>
      </c>
      <c r="G680" t="s">
        <v>23</v>
      </c>
      <c r="H680" t="s">
        <v>18</v>
      </c>
      <c r="I680" t="s">
        <v>27</v>
      </c>
      <c r="J680" t="s">
        <v>16</v>
      </c>
      <c r="K680" t="s">
        <v>20</v>
      </c>
      <c r="L680">
        <v>7</v>
      </c>
      <c r="M680" s="7">
        <v>89.93</v>
      </c>
      <c r="N680" s="7">
        <v>4246.97</v>
      </c>
      <c r="O680" t="s">
        <v>20</v>
      </c>
    </row>
    <row r="681" spans="1:15" x14ac:dyDescent="0.3">
      <c r="A681" t="s">
        <v>706</v>
      </c>
      <c r="B681" t="s">
        <v>22</v>
      </c>
      <c r="C681">
        <v>37</v>
      </c>
      <c r="D681" t="s">
        <v>20</v>
      </c>
      <c r="E681">
        <v>13</v>
      </c>
      <c r="F681" t="str">
        <f t="shared" si="10"/>
        <v>13-24 Months</v>
      </c>
      <c r="G681" t="s">
        <v>17</v>
      </c>
      <c r="H681" t="s">
        <v>36</v>
      </c>
      <c r="I681" t="s">
        <v>30</v>
      </c>
      <c r="J681" t="s">
        <v>20</v>
      </c>
      <c r="K681" t="s">
        <v>16</v>
      </c>
      <c r="L681">
        <v>3</v>
      </c>
      <c r="M681" s="7">
        <v>50</v>
      </c>
      <c r="N681" s="7">
        <v>695.52</v>
      </c>
      <c r="O681" t="s">
        <v>20</v>
      </c>
    </row>
    <row r="682" spans="1:15" x14ac:dyDescent="0.3">
      <c r="A682" t="s">
        <v>707</v>
      </c>
      <c r="B682" t="s">
        <v>22</v>
      </c>
      <c r="C682">
        <v>19</v>
      </c>
      <c r="D682" t="s">
        <v>20</v>
      </c>
      <c r="E682">
        <v>37</v>
      </c>
      <c r="F682" t="str">
        <f t="shared" si="10"/>
        <v>25-48 Months</v>
      </c>
      <c r="G682" t="s">
        <v>17</v>
      </c>
      <c r="H682" t="s">
        <v>20</v>
      </c>
      <c r="I682" t="s">
        <v>24</v>
      </c>
      <c r="J682" t="s">
        <v>20</v>
      </c>
      <c r="K682" t="s">
        <v>20</v>
      </c>
      <c r="L682">
        <v>1</v>
      </c>
      <c r="M682" s="7">
        <v>24.57</v>
      </c>
      <c r="N682" s="7">
        <v>847.32</v>
      </c>
      <c r="O682" t="s">
        <v>20</v>
      </c>
    </row>
    <row r="683" spans="1:15" x14ac:dyDescent="0.3">
      <c r="A683" t="s">
        <v>708</v>
      </c>
      <c r="B683" t="s">
        <v>15</v>
      </c>
      <c r="C683">
        <v>56</v>
      </c>
      <c r="D683" t="s">
        <v>20</v>
      </c>
      <c r="E683">
        <v>24</v>
      </c>
      <c r="F683" t="str">
        <f t="shared" si="10"/>
        <v>13-24 Months</v>
      </c>
      <c r="G683" t="s">
        <v>23</v>
      </c>
      <c r="H683" t="s">
        <v>36</v>
      </c>
      <c r="I683" t="s">
        <v>27</v>
      </c>
      <c r="J683" t="s">
        <v>20</v>
      </c>
      <c r="K683" t="s">
        <v>20</v>
      </c>
      <c r="L683">
        <v>4</v>
      </c>
      <c r="M683" s="7">
        <v>60.56</v>
      </c>
      <c r="N683" s="7">
        <v>1457.29</v>
      </c>
      <c r="O683" t="s">
        <v>20</v>
      </c>
    </row>
    <row r="684" spans="1:15" x14ac:dyDescent="0.3">
      <c r="A684" t="s">
        <v>709</v>
      </c>
      <c r="B684" t="s">
        <v>15</v>
      </c>
      <c r="C684">
        <v>23</v>
      </c>
      <c r="D684" t="s">
        <v>20</v>
      </c>
      <c r="E684">
        <v>2</v>
      </c>
      <c r="F684" t="str">
        <f t="shared" si="10"/>
        <v>0-6 Months</v>
      </c>
      <c r="G684" t="s">
        <v>17</v>
      </c>
      <c r="H684" t="s">
        <v>36</v>
      </c>
      <c r="I684" t="s">
        <v>27</v>
      </c>
      <c r="J684" t="s">
        <v>20</v>
      </c>
      <c r="K684" t="s">
        <v>16</v>
      </c>
      <c r="L684">
        <v>4</v>
      </c>
      <c r="M684" s="7">
        <v>62.45</v>
      </c>
      <c r="N684" s="7">
        <v>116.54</v>
      </c>
      <c r="O684" t="s">
        <v>20</v>
      </c>
    </row>
    <row r="685" spans="1:15" x14ac:dyDescent="0.3">
      <c r="A685" t="s">
        <v>710</v>
      </c>
      <c r="B685" t="s">
        <v>22</v>
      </c>
      <c r="C685">
        <v>34</v>
      </c>
      <c r="D685" t="s">
        <v>20</v>
      </c>
      <c r="E685">
        <v>14</v>
      </c>
      <c r="F685" t="str">
        <f t="shared" si="10"/>
        <v>13-24 Months</v>
      </c>
      <c r="G685" t="s">
        <v>35</v>
      </c>
      <c r="H685" t="s">
        <v>18</v>
      </c>
      <c r="I685" t="s">
        <v>27</v>
      </c>
      <c r="J685" t="s">
        <v>20</v>
      </c>
      <c r="K685" t="s">
        <v>20</v>
      </c>
      <c r="L685">
        <v>5</v>
      </c>
      <c r="M685" s="7">
        <v>81.790000000000006</v>
      </c>
      <c r="N685" s="7">
        <v>1122.92</v>
      </c>
      <c r="O685" t="s">
        <v>20</v>
      </c>
    </row>
    <row r="686" spans="1:15" x14ac:dyDescent="0.3">
      <c r="A686" t="s">
        <v>711</v>
      </c>
      <c r="B686" t="s">
        <v>15</v>
      </c>
      <c r="C686">
        <v>42</v>
      </c>
      <c r="D686" t="s">
        <v>20</v>
      </c>
      <c r="E686">
        <v>10</v>
      </c>
      <c r="F686" t="str">
        <f t="shared" si="10"/>
        <v>7-12 Months</v>
      </c>
      <c r="G686" t="s">
        <v>17</v>
      </c>
      <c r="H686" t="s">
        <v>36</v>
      </c>
      <c r="I686" t="s">
        <v>24</v>
      </c>
      <c r="J686" t="s">
        <v>16</v>
      </c>
      <c r="K686" t="s">
        <v>16</v>
      </c>
      <c r="L686">
        <v>7</v>
      </c>
      <c r="M686" s="7">
        <v>67.540000000000006</v>
      </c>
      <c r="N686" s="7">
        <v>640.32000000000005</v>
      </c>
      <c r="O686" t="s">
        <v>20</v>
      </c>
    </row>
    <row r="687" spans="1:15" x14ac:dyDescent="0.3">
      <c r="A687" t="s">
        <v>712</v>
      </c>
      <c r="B687" t="s">
        <v>22</v>
      </c>
      <c r="C687">
        <v>74</v>
      </c>
      <c r="D687" t="s">
        <v>16</v>
      </c>
      <c r="E687">
        <v>35</v>
      </c>
      <c r="F687" t="str">
        <f t="shared" si="10"/>
        <v>25-48 Months</v>
      </c>
      <c r="G687" t="s">
        <v>17</v>
      </c>
      <c r="H687" t="s">
        <v>36</v>
      </c>
      <c r="I687" t="s">
        <v>27</v>
      </c>
      <c r="J687" t="s">
        <v>20</v>
      </c>
      <c r="K687" t="s">
        <v>20</v>
      </c>
      <c r="L687">
        <v>5</v>
      </c>
      <c r="M687" s="7">
        <v>68.290000000000006</v>
      </c>
      <c r="N687" s="7">
        <v>2447.3000000000002</v>
      </c>
      <c r="O687" t="s">
        <v>20</v>
      </c>
    </row>
    <row r="688" spans="1:15" x14ac:dyDescent="0.3">
      <c r="A688" t="s">
        <v>713</v>
      </c>
      <c r="B688" t="s">
        <v>22</v>
      </c>
      <c r="C688">
        <v>45</v>
      </c>
      <c r="D688" t="s">
        <v>20</v>
      </c>
      <c r="E688">
        <v>25</v>
      </c>
      <c r="F688" t="str">
        <f t="shared" si="10"/>
        <v>25-48 Months</v>
      </c>
      <c r="G688" t="s">
        <v>17</v>
      </c>
      <c r="H688" t="s">
        <v>18</v>
      </c>
      <c r="I688" t="s">
        <v>27</v>
      </c>
      <c r="J688" t="s">
        <v>20</v>
      </c>
      <c r="K688" t="s">
        <v>20</v>
      </c>
      <c r="L688">
        <v>5</v>
      </c>
      <c r="M688" s="7">
        <v>80.03</v>
      </c>
      <c r="N688" s="7">
        <v>2083.29</v>
      </c>
      <c r="O688" t="s">
        <v>20</v>
      </c>
    </row>
    <row r="689" spans="1:15" x14ac:dyDescent="0.3">
      <c r="A689" t="s">
        <v>714</v>
      </c>
      <c r="B689" t="s">
        <v>15</v>
      </c>
      <c r="C689">
        <v>19</v>
      </c>
      <c r="D689" t="s">
        <v>20</v>
      </c>
      <c r="E689">
        <v>3</v>
      </c>
      <c r="F689" t="str">
        <f t="shared" si="10"/>
        <v>0-6 Months</v>
      </c>
      <c r="G689" t="s">
        <v>17</v>
      </c>
      <c r="H689" t="s">
        <v>36</v>
      </c>
      <c r="I689" t="s">
        <v>19</v>
      </c>
      <c r="J689" t="s">
        <v>20</v>
      </c>
      <c r="K689" t="s">
        <v>20</v>
      </c>
      <c r="L689">
        <v>6</v>
      </c>
      <c r="M689" s="7">
        <v>69.03</v>
      </c>
      <c r="N689" s="7">
        <v>198.72</v>
      </c>
      <c r="O689" t="s">
        <v>20</v>
      </c>
    </row>
    <row r="690" spans="1:15" x14ac:dyDescent="0.3">
      <c r="A690" t="s">
        <v>715</v>
      </c>
      <c r="B690" t="s">
        <v>15</v>
      </c>
      <c r="C690">
        <v>52</v>
      </c>
      <c r="D690" t="s">
        <v>20</v>
      </c>
      <c r="E690">
        <v>17</v>
      </c>
      <c r="F690" t="str">
        <f t="shared" si="10"/>
        <v>13-24 Months</v>
      </c>
      <c r="G690" t="s">
        <v>23</v>
      </c>
      <c r="H690" t="s">
        <v>18</v>
      </c>
      <c r="I690" t="s">
        <v>24</v>
      </c>
      <c r="J690" t="s">
        <v>16</v>
      </c>
      <c r="K690" t="s">
        <v>16</v>
      </c>
      <c r="L690">
        <v>3</v>
      </c>
      <c r="M690" s="7">
        <v>78.73</v>
      </c>
      <c r="N690" s="7">
        <v>1384</v>
      </c>
      <c r="O690" t="s">
        <v>20</v>
      </c>
    </row>
    <row r="691" spans="1:15" x14ac:dyDescent="0.3">
      <c r="A691" t="s">
        <v>716</v>
      </c>
      <c r="B691" t="s">
        <v>22</v>
      </c>
      <c r="C691">
        <v>54</v>
      </c>
      <c r="D691" t="s">
        <v>20</v>
      </c>
      <c r="E691">
        <v>12</v>
      </c>
      <c r="F691" t="str">
        <f t="shared" si="10"/>
        <v>7-12 Months</v>
      </c>
      <c r="G691" t="s">
        <v>23</v>
      </c>
      <c r="H691" t="s">
        <v>18</v>
      </c>
      <c r="I691" t="s">
        <v>24</v>
      </c>
      <c r="J691" t="s">
        <v>20</v>
      </c>
      <c r="K691" t="s">
        <v>20</v>
      </c>
      <c r="L691">
        <v>6</v>
      </c>
      <c r="M691" s="7">
        <v>78.150000000000006</v>
      </c>
      <c r="N691" s="7">
        <v>929.82</v>
      </c>
      <c r="O691" t="s">
        <v>20</v>
      </c>
    </row>
    <row r="692" spans="1:15" x14ac:dyDescent="0.3">
      <c r="A692" t="s">
        <v>717</v>
      </c>
      <c r="B692" t="s">
        <v>22</v>
      </c>
      <c r="C692">
        <v>22</v>
      </c>
      <c r="D692" t="s">
        <v>20</v>
      </c>
      <c r="E692">
        <v>54</v>
      </c>
      <c r="F692" t="str">
        <f t="shared" si="10"/>
        <v>49+ Months</v>
      </c>
      <c r="G692" t="s">
        <v>23</v>
      </c>
      <c r="H692" t="s">
        <v>18</v>
      </c>
      <c r="I692" t="s">
        <v>27</v>
      </c>
      <c r="J692" t="s">
        <v>16</v>
      </c>
      <c r="K692" t="s">
        <v>16</v>
      </c>
      <c r="L692">
        <v>2</v>
      </c>
      <c r="M692" s="7">
        <v>71.98</v>
      </c>
      <c r="N692" s="7">
        <v>3752.33</v>
      </c>
      <c r="O692" t="s">
        <v>20</v>
      </c>
    </row>
    <row r="693" spans="1:15" x14ac:dyDescent="0.3">
      <c r="A693" t="s">
        <v>718</v>
      </c>
      <c r="B693" t="s">
        <v>22</v>
      </c>
      <c r="C693">
        <v>18</v>
      </c>
      <c r="D693" t="s">
        <v>20</v>
      </c>
      <c r="E693">
        <v>24</v>
      </c>
      <c r="F693" t="str">
        <f t="shared" si="10"/>
        <v>13-24 Months</v>
      </c>
      <c r="G693" t="s">
        <v>35</v>
      </c>
      <c r="H693" t="s">
        <v>18</v>
      </c>
      <c r="I693" t="s">
        <v>30</v>
      </c>
      <c r="J693" t="s">
        <v>20</v>
      </c>
      <c r="K693" t="s">
        <v>20</v>
      </c>
      <c r="L693">
        <v>3</v>
      </c>
      <c r="M693" s="7">
        <v>56.12</v>
      </c>
      <c r="N693" s="7">
        <v>1351.92</v>
      </c>
      <c r="O693" t="s">
        <v>20</v>
      </c>
    </row>
    <row r="694" spans="1:15" x14ac:dyDescent="0.3">
      <c r="A694" t="s">
        <v>719</v>
      </c>
      <c r="B694" t="s">
        <v>15</v>
      </c>
      <c r="C694">
        <v>57</v>
      </c>
      <c r="D694" t="s">
        <v>20</v>
      </c>
      <c r="E694">
        <v>29</v>
      </c>
      <c r="F694" t="str">
        <f t="shared" si="10"/>
        <v>25-48 Months</v>
      </c>
      <c r="G694" t="s">
        <v>35</v>
      </c>
      <c r="H694" t="s">
        <v>36</v>
      </c>
      <c r="I694" t="s">
        <v>19</v>
      </c>
      <c r="J694" t="s">
        <v>20</v>
      </c>
      <c r="K694" t="s">
        <v>20</v>
      </c>
      <c r="L694">
        <v>7</v>
      </c>
      <c r="M694" s="7">
        <v>70.28</v>
      </c>
      <c r="N694" s="7">
        <v>1998.87</v>
      </c>
      <c r="O694" t="s">
        <v>20</v>
      </c>
    </row>
    <row r="695" spans="1:15" x14ac:dyDescent="0.3">
      <c r="A695" t="s">
        <v>720</v>
      </c>
      <c r="B695" t="s">
        <v>22</v>
      </c>
      <c r="C695">
        <v>29</v>
      </c>
      <c r="D695" t="s">
        <v>20</v>
      </c>
      <c r="E695">
        <v>43</v>
      </c>
      <c r="F695" t="str">
        <f t="shared" si="10"/>
        <v>25-48 Months</v>
      </c>
      <c r="G695" t="s">
        <v>35</v>
      </c>
      <c r="H695" t="s">
        <v>18</v>
      </c>
      <c r="I695" t="s">
        <v>24</v>
      </c>
      <c r="J695" t="s">
        <v>16</v>
      </c>
      <c r="K695" t="s">
        <v>20</v>
      </c>
      <c r="L695">
        <v>2</v>
      </c>
      <c r="M695" s="7">
        <v>75.06</v>
      </c>
      <c r="N695" s="7">
        <v>3088.15</v>
      </c>
      <c r="O695" t="s">
        <v>20</v>
      </c>
    </row>
    <row r="696" spans="1:15" x14ac:dyDescent="0.3">
      <c r="A696" t="s">
        <v>721</v>
      </c>
      <c r="B696" t="s">
        <v>22</v>
      </c>
      <c r="C696">
        <v>73</v>
      </c>
      <c r="D696" t="s">
        <v>16</v>
      </c>
      <c r="E696">
        <v>25</v>
      </c>
      <c r="F696" t="str">
        <f t="shared" si="10"/>
        <v>25-48 Months</v>
      </c>
      <c r="G696" t="s">
        <v>17</v>
      </c>
      <c r="H696" t="s">
        <v>18</v>
      </c>
      <c r="I696" t="s">
        <v>24</v>
      </c>
      <c r="J696" t="s">
        <v>20</v>
      </c>
      <c r="K696" t="s">
        <v>16</v>
      </c>
      <c r="L696">
        <v>5</v>
      </c>
      <c r="M696" s="7">
        <v>85.36</v>
      </c>
      <c r="N696" s="7">
        <v>2221.6999999999998</v>
      </c>
      <c r="O696" t="s">
        <v>16</v>
      </c>
    </row>
    <row r="697" spans="1:15" x14ac:dyDescent="0.3">
      <c r="A697" t="s">
        <v>722</v>
      </c>
      <c r="B697" t="s">
        <v>22</v>
      </c>
      <c r="C697">
        <v>53</v>
      </c>
      <c r="D697" t="s">
        <v>20</v>
      </c>
      <c r="E697">
        <v>60</v>
      </c>
      <c r="F697" t="str">
        <f t="shared" si="10"/>
        <v>49+ Months</v>
      </c>
      <c r="G697" t="s">
        <v>23</v>
      </c>
      <c r="H697" t="s">
        <v>20</v>
      </c>
      <c r="I697" t="s">
        <v>30</v>
      </c>
      <c r="J697" t="s">
        <v>20</v>
      </c>
      <c r="K697" t="s">
        <v>20</v>
      </c>
      <c r="L697">
        <v>4</v>
      </c>
      <c r="M697" s="7">
        <v>46.6</v>
      </c>
      <c r="N697" s="7">
        <v>2929.1</v>
      </c>
      <c r="O697" t="s">
        <v>20</v>
      </c>
    </row>
    <row r="698" spans="1:15" x14ac:dyDescent="0.3">
      <c r="A698" t="s">
        <v>723</v>
      </c>
      <c r="B698" t="s">
        <v>15</v>
      </c>
      <c r="C698">
        <v>62</v>
      </c>
      <c r="D698" t="s">
        <v>16</v>
      </c>
      <c r="E698">
        <v>65</v>
      </c>
      <c r="F698" t="str">
        <f t="shared" si="10"/>
        <v>49+ Months</v>
      </c>
      <c r="G698" t="s">
        <v>17</v>
      </c>
      <c r="H698" t="s">
        <v>36</v>
      </c>
      <c r="I698" t="s">
        <v>19</v>
      </c>
      <c r="J698" t="s">
        <v>16</v>
      </c>
      <c r="K698" t="s">
        <v>20</v>
      </c>
      <c r="L698">
        <v>5</v>
      </c>
      <c r="M698" s="7">
        <v>65.45</v>
      </c>
      <c r="N698" s="7">
        <v>4458.67</v>
      </c>
      <c r="O698" t="s">
        <v>20</v>
      </c>
    </row>
    <row r="699" spans="1:15" x14ac:dyDescent="0.3">
      <c r="A699" t="s">
        <v>724</v>
      </c>
      <c r="B699" t="s">
        <v>22</v>
      </c>
      <c r="C699">
        <v>40</v>
      </c>
      <c r="D699" t="s">
        <v>20</v>
      </c>
      <c r="E699">
        <v>28</v>
      </c>
      <c r="F699" t="str">
        <f t="shared" si="10"/>
        <v>25-48 Months</v>
      </c>
      <c r="G699" t="s">
        <v>17</v>
      </c>
      <c r="H699" t="s">
        <v>36</v>
      </c>
      <c r="I699" t="s">
        <v>27</v>
      </c>
      <c r="J699" t="s">
        <v>16</v>
      </c>
      <c r="K699" t="s">
        <v>20</v>
      </c>
      <c r="L699">
        <v>5</v>
      </c>
      <c r="M699" s="7">
        <v>59.2</v>
      </c>
      <c r="N699" s="7">
        <v>1626.34</v>
      </c>
      <c r="O699" t="s">
        <v>20</v>
      </c>
    </row>
    <row r="700" spans="1:15" x14ac:dyDescent="0.3">
      <c r="A700" t="s">
        <v>725</v>
      </c>
      <c r="B700" t="s">
        <v>22</v>
      </c>
      <c r="C700">
        <v>64</v>
      </c>
      <c r="D700" t="s">
        <v>16</v>
      </c>
      <c r="E700">
        <v>16</v>
      </c>
      <c r="F700" t="str">
        <f t="shared" si="10"/>
        <v>13-24 Months</v>
      </c>
      <c r="G700" t="s">
        <v>23</v>
      </c>
      <c r="H700" t="s">
        <v>18</v>
      </c>
      <c r="I700" t="s">
        <v>30</v>
      </c>
      <c r="J700" t="s">
        <v>20</v>
      </c>
      <c r="K700" t="s">
        <v>20</v>
      </c>
      <c r="L700">
        <v>4</v>
      </c>
      <c r="M700" s="7">
        <v>68.23</v>
      </c>
      <c r="N700" s="7">
        <v>1033.96</v>
      </c>
      <c r="O700" t="s">
        <v>20</v>
      </c>
    </row>
    <row r="701" spans="1:15" x14ac:dyDescent="0.3">
      <c r="A701" t="s">
        <v>726</v>
      </c>
      <c r="B701" t="s">
        <v>15</v>
      </c>
      <c r="C701">
        <v>48</v>
      </c>
      <c r="D701" t="s">
        <v>20</v>
      </c>
      <c r="E701">
        <v>47</v>
      </c>
      <c r="F701" t="str">
        <f t="shared" si="10"/>
        <v>25-48 Months</v>
      </c>
      <c r="G701" t="s">
        <v>17</v>
      </c>
      <c r="H701" t="s">
        <v>36</v>
      </c>
      <c r="I701" t="s">
        <v>27</v>
      </c>
      <c r="J701" t="s">
        <v>20</v>
      </c>
      <c r="K701" t="s">
        <v>20</v>
      </c>
      <c r="L701">
        <v>4</v>
      </c>
      <c r="M701" s="7">
        <v>59.79</v>
      </c>
      <c r="N701" s="7">
        <v>2963.19</v>
      </c>
      <c r="O701" t="s">
        <v>20</v>
      </c>
    </row>
    <row r="702" spans="1:15" x14ac:dyDescent="0.3">
      <c r="A702" t="s">
        <v>727</v>
      </c>
      <c r="B702" t="s">
        <v>22</v>
      </c>
      <c r="C702">
        <v>28</v>
      </c>
      <c r="D702" t="s">
        <v>20</v>
      </c>
      <c r="E702">
        <v>58</v>
      </c>
      <c r="F702" t="str">
        <f t="shared" si="10"/>
        <v>49+ Months</v>
      </c>
      <c r="G702" t="s">
        <v>17</v>
      </c>
      <c r="H702" t="s">
        <v>18</v>
      </c>
      <c r="I702" t="s">
        <v>24</v>
      </c>
      <c r="J702" t="s">
        <v>20</v>
      </c>
      <c r="K702" t="s">
        <v>20</v>
      </c>
      <c r="L702">
        <v>3</v>
      </c>
      <c r="M702" s="7">
        <v>78.349999999999994</v>
      </c>
      <c r="N702" s="7">
        <v>4420.16</v>
      </c>
      <c r="O702" t="s">
        <v>20</v>
      </c>
    </row>
    <row r="703" spans="1:15" x14ac:dyDescent="0.3">
      <c r="A703" t="s">
        <v>728</v>
      </c>
      <c r="B703" t="s">
        <v>22</v>
      </c>
      <c r="C703">
        <v>27</v>
      </c>
      <c r="D703" t="s">
        <v>20</v>
      </c>
      <c r="E703">
        <v>27</v>
      </c>
      <c r="F703" t="str">
        <f t="shared" si="10"/>
        <v>25-48 Months</v>
      </c>
      <c r="G703" t="s">
        <v>17</v>
      </c>
      <c r="H703" t="s">
        <v>20</v>
      </c>
      <c r="I703" t="s">
        <v>24</v>
      </c>
      <c r="J703" t="s">
        <v>20</v>
      </c>
      <c r="K703" t="s">
        <v>20</v>
      </c>
      <c r="L703">
        <v>4</v>
      </c>
      <c r="M703" s="7">
        <v>28.7</v>
      </c>
      <c r="N703" s="7">
        <v>805.66</v>
      </c>
      <c r="O703" t="s">
        <v>20</v>
      </c>
    </row>
    <row r="704" spans="1:15" x14ac:dyDescent="0.3">
      <c r="A704" t="s">
        <v>729</v>
      </c>
      <c r="B704" t="s">
        <v>15</v>
      </c>
      <c r="C704">
        <v>20</v>
      </c>
      <c r="D704" t="s">
        <v>20</v>
      </c>
      <c r="E704">
        <v>53</v>
      </c>
      <c r="F704" t="str">
        <f t="shared" si="10"/>
        <v>49+ Months</v>
      </c>
      <c r="G704" t="s">
        <v>17</v>
      </c>
      <c r="H704" t="s">
        <v>18</v>
      </c>
      <c r="I704" t="s">
        <v>19</v>
      </c>
      <c r="J704" t="s">
        <v>20</v>
      </c>
      <c r="K704" t="s">
        <v>16</v>
      </c>
      <c r="L704">
        <v>3</v>
      </c>
      <c r="M704" s="7">
        <v>77.83</v>
      </c>
      <c r="N704" s="7">
        <v>4334.51</v>
      </c>
      <c r="O704" t="s">
        <v>20</v>
      </c>
    </row>
    <row r="705" spans="1:15" x14ac:dyDescent="0.3">
      <c r="A705" t="s">
        <v>730</v>
      </c>
      <c r="B705" t="s">
        <v>22</v>
      </c>
      <c r="C705">
        <v>71</v>
      </c>
      <c r="D705" t="s">
        <v>16</v>
      </c>
      <c r="E705">
        <v>42</v>
      </c>
      <c r="F705" t="str">
        <f t="shared" si="10"/>
        <v>25-48 Months</v>
      </c>
      <c r="G705" t="s">
        <v>35</v>
      </c>
      <c r="H705" t="s">
        <v>36</v>
      </c>
      <c r="I705" t="s">
        <v>24</v>
      </c>
      <c r="J705" t="s">
        <v>20</v>
      </c>
      <c r="K705" t="s">
        <v>20</v>
      </c>
      <c r="L705">
        <v>3</v>
      </c>
      <c r="M705" s="7">
        <v>55.61</v>
      </c>
      <c r="N705" s="7">
        <v>2435.83</v>
      </c>
      <c r="O705" t="s">
        <v>20</v>
      </c>
    </row>
    <row r="706" spans="1:15" x14ac:dyDescent="0.3">
      <c r="A706" t="s">
        <v>731</v>
      </c>
      <c r="B706" t="s">
        <v>15</v>
      </c>
      <c r="C706">
        <v>31</v>
      </c>
      <c r="D706" t="s">
        <v>20</v>
      </c>
      <c r="E706">
        <v>59</v>
      </c>
      <c r="F706" t="str">
        <f t="shared" ref="F706:F769" si="11">IF(E706&lt;=6,"0-6 Months",
 IF(E706&lt;=12,"7-12 Months",
 IF(E706&lt;=24,"13-24 Months",
 IF(E706&lt;=48,"25-48 Months","49+ Months"))))</f>
        <v>49+ Months</v>
      </c>
      <c r="G706" t="s">
        <v>17</v>
      </c>
      <c r="H706" t="s">
        <v>18</v>
      </c>
      <c r="I706" t="s">
        <v>24</v>
      </c>
      <c r="J706" t="s">
        <v>20</v>
      </c>
      <c r="K706" t="s">
        <v>16</v>
      </c>
      <c r="L706">
        <v>4</v>
      </c>
      <c r="M706" s="7">
        <v>76.45</v>
      </c>
      <c r="N706" s="7">
        <v>4431.0200000000004</v>
      </c>
      <c r="O706" t="s">
        <v>20</v>
      </c>
    </row>
    <row r="707" spans="1:15" x14ac:dyDescent="0.3">
      <c r="A707" t="s">
        <v>732</v>
      </c>
      <c r="B707" t="s">
        <v>15</v>
      </c>
      <c r="C707">
        <v>33</v>
      </c>
      <c r="D707" t="s">
        <v>20</v>
      </c>
      <c r="E707">
        <v>47</v>
      </c>
      <c r="F707" t="str">
        <f t="shared" si="11"/>
        <v>25-48 Months</v>
      </c>
      <c r="G707" t="s">
        <v>17</v>
      </c>
      <c r="H707" t="s">
        <v>36</v>
      </c>
      <c r="I707" t="s">
        <v>27</v>
      </c>
      <c r="J707" t="s">
        <v>16</v>
      </c>
      <c r="K707" t="s">
        <v>20</v>
      </c>
      <c r="L707">
        <v>6</v>
      </c>
      <c r="M707" s="7">
        <v>70.08</v>
      </c>
      <c r="N707" s="7">
        <v>3524.6</v>
      </c>
      <c r="O707" t="s">
        <v>20</v>
      </c>
    </row>
    <row r="708" spans="1:15" x14ac:dyDescent="0.3">
      <c r="A708" t="s">
        <v>733</v>
      </c>
      <c r="B708" t="s">
        <v>22</v>
      </c>
      <c r="C708">
        <v>27</v>
      </c>
      <c r="D708" t="s">
        <v>20</v>
      </c>
      <c r="E708">
        <v>34</v>
      </c>
      <c r="F708" t="str">
        <f t="shared" si="11"/>
        <v>25-48 Months</v>
      </c>
      <c r="G708" t="s">
        <v>17</v>
      </c>
      <c r="H708" t="s">
        <v>36</v>
      </c>
      <c r="I708" t="s">
        <v>19</v>
      </c>
      <c r="J708" t="s">
        <v>20</v>
      </c>
      <c r="K708" t="s">
        <v>20</v>
      </c>
      <c r="L708">
        <v>8</v>
      </c>
      <c r="M708" s="7">
        <v>73.069999999999993</v>
      </c>
      <c r="N708" s="7">
        <v>2548.04</v>
      </c>
      <c r="O708" t="s">
        <v>16</v>
      </c>
    </row>
    <row r="709" spans="1:15" x14ac:dyDescent="0.3">
      <c r="A709" t="s">
        <v>734</v>
      </c>
      <c r="B709" t="s">
        <v>22</v>
      </c>
      <c r="C709">
        <v>46</v>
      </c>
      <c r="D709" t="s">
        <v>20</v>
      </c>
      <c r="E709">
        <v>37</v>
      </c>
      <c r="F709" t="str">
        <f t="shared" si="11"/>
        <v>25-48 Months</v>
      </c>
      <c r="G709" t="s">
        <v>17</v>
      </c>
      <c r="H709" t="s">
        <v>36</v>
      </c>
      <c r="I709" t="s">
        <v>24</v>
      </c>
      <c r="J709" t="s">
        <v>20</v>
      </c>
      <c r="K709" t="s">
        <v>20</v>
      </c>
      <c r="L709">
        <v>5</v>
      </c>
      <c r="M709" s="7">
        <v>60.62</v>
      </c>
      <c r="N709" s="7">
        <v>2270.12</v>
      </c>
      <c r="O709" t="s">
        <v>20</v>
      </c>
    </row>
    <row r="710" spans="1:15" x14ac:dyDescent="0.3">
      <c r="A710" t="s">
        <v>735</v>
      </c>
      <c r="B710" t="s">
        <v>22</v>
      </c>
      <c r="C710">
        <v>27</v>
      </c>
      <c r="D710" t="s">
        <v>20</v>
      </c>
      <c r="E710">
        <v>6</v>
      </c>
      <c r="F710" t="str">
        <f t="shared" si="11"/>
        <v>0-6 Months</v>
      </c>
      <c r="G710" t="s">
        <v>35</v>
      </c>
      <c r="H710" t="s">
        <v>18</v>
      </c>
      <c r="I710" t="s">
        <v>24</v>
      </c>
      <c r="J710" t="s">
        <v>16</v>
      </c>
      <c r="K710" t="s">
        <v>16</v>
      </c>
      <c r="L710">
        <v>5</v>
      </c>
      <c r="M710" s="7">
        <v>74.099999999999994</v>
      </c>
      <c r="N710" s="7">
        <v>458.68</v>
      </c>
      <c r="O710" t="s">
        <v>16</v>
      </c>
    </row>
    <row r="711" spans="1:15" x14ac:dyDescent="0.3">
      <c r="A711" t="s">
        <v>736</v>
      </c>
      <c r="B711" t="s">
        <v>22</v>
      </c>
      <c r="C711">
        <v>29</v>
      </c>
      <c r="D711" t="s">
        <v>20</v>
      </c>
      <c r="E711">
        <v>7</v>
      </c>
      <c r="F711" t="str">
        <f t="shared" si="11"/>
        <v>7-12 Months</v>
      </c>
      <c r="G711" t="s">
        <v>17</v>
      </c>
      <c r="H711" t="s">
        <v>36</v>
      </c>
      <c r="I711" t="s">
        <v>24</v>
      </c>
      <c r="J711" t="s">
        <v>16</v>
      </c>
      <c r="K711" t="s">
        <v>20</v>
      </c>
      <c r="L711">
        <v>3</v>
      </c>
      <c r="M711" s="7">
        <v>57.83</v>
      </c>
      <c r="N711" s="7">
        <v>375.32</v>
      </c>
      <c r="O711" t="s">
        <v>16</v>
      </c>
    </row>
    <row r="712" spans="1:15" x14ac:dyDescent="0.3">
      <c r="A712" t="s">
        <v>737</v>
      </c>
      <c r="B712" t="s">
        <v>15</v>
      </c>
      <c r="C712">
        <v>47</v>
      </c>
      <c r="D712" t="s">
        <v>20</v>
      </c>
      <c r="E712">
        <v>25</v>
      </c>
      <c r="F712" t="str">
        <f t="shared" si="11"/>
        <v>25-48 Months</v>
      </c>
      <c r="G712" t="s">
        <v>17</v>
      </c>
      <c r="H712" t="s">
        <v>20</v>
      </c>
      <c r="I712" t="s">
        <v>27</v>
      </c>
      <c r="J712" t="s">
        <v>16</v>
      </c>
      <c r="K712" t="s">
        <v>16</v>
      </c>
      <c r="L712">
        <v>5</v>
      </c>
      <c r="M712" s="7">
        <v>35.86</v>
      </c>
      <c r="N712" s="7">
        <v>880.8</v>
      </c>
      <c r="O712" t="s">
        <v>20</v>
      </c>
    </row>
    <row r="713" spans="1:15" x14ac:dyDescent="0.3">
      <c r="A713" t="s">
        <v>738</v>
      </c>
      <c r="B713" t="s">
        <v>22</v>
      </c>
      <c r="C713">
        <v>58</v>
      </c>
      <c r="D713" t="s">
        <v>20</v>
      </c>
      <c r="E713">
        <v>33</v>
      </c>
      <c r="F713" t="str">
        <f t="shared" si="11"/>
        <v>25-48 Months</v>
      </c>
      <c r="G713" t="s">
        <v>23</v>
      </c>
      <c r="H713" t="s">
        <v>20</v>
      </c>
      <c r="I713" t="s">
        <v>24</v>
      </c>
      <c r="J713" t="s">
        <v>20</v>
      </c>
      <c r="K713" t="s">
        <v>20</v>
      </c>
      <c r="L713">
        <v>2</v>
      </c>
      <c r="M713" s="7">
        <v>28.21</v>
      </c>
      <c r="N713" s="7">
        <v>987.71</v>
      </c>
      <c r="O713" t="s">
        <v>20</v>
      </c>
    </row>
    <row r="714" spans="1:15" x14ac:dyDescent="0.3">
      <c r="A714" t="s">
        <v>739</v>
      </c>
      <c r="B714" t="s">
        <v>15</v>
      </c>
      <c r="C714">
        <v>18</v>
      </c>
      <c r="D714" t="s">
        <v>20</v>
      </c>
      <c r="E714">
        <v>55</v>
      </c>
      <c r="F714" t="str">
        <f t="shared" si="11"/>
        <v>49+ Months</v>
      </c>
      <c r="G714" t="s">
        <v>35</v>
      </c>
      <c r="H714" t="s">
        <v>18</v>
      </c>
      <c r="I714" t="s">
        <v>24</v>
      </c>
      <c r="J714" t="s">
        <v>20</v>
      </c>
      <c r="K714" t="s">
        <v>16</v>
      </c>
      <c r="L714">
        <v>3</v>
      </c>
      <c r="M714" s="7">
        <v>78.19</v>
      </c>
      <c r="N714" s="7">
        <v>4067.25</v>
      </c>
      <c r="O714" t="s">
        <v>20</v>
      </c>
    </row>
    <row r="715" spans="1:15" x14ac:dyDescent="0.3">
      <c r="A715" t="s">
        <v>740</v>
      </c>
      <c r="B715" t="s">
        <v>22</v>
      </c>
      <c r="C715">
        <v>22</v>
      </c>
      <c r="D715" t="s">
        <v>20</v>
      </c>
      <c r="E715">
        <v>58</v>
      </c>
      <c r="F715" t="str">
        <f t="shared" si="11"/>
        <v>49+ Months</v>
      </c>
      <c r="G715" t="s">
        <v>23</v>
      </c>
      <c r="H715" t="s">
        <v>18</v>
      </c>
      <c r="I715" t="s">
        <v>30</v>
      </c>
      <c r="J715" t="s">
        <v>20</v>
      </c>
      <c r="K715" t="s">
        <v>20</v>
      </c>
      <c r="L715">
        <v>3</v>
      </c>
      <c r="M715" s="7">
        <v>73.83</v>
      </c>
      <c r="N715" s="7">
        <v>4223.49</v>
      </c>
      <c r="O715" t="s">
        <v>20</v>
      </c>
    </row>
    <row r="716" spans="1:15" x14ac:dyDescent="0.3">
      <c r="A716" t="s">
        <v>741</v>
      </c>
      <c r="B716" t="s">
        <v>22</v>
      </c>
      <c r="C716">
        <v>37</v>
      </c>
      <c r="D716" t="s">
        <v>20</v>
      </c>
      <c r="E716">
        <v>7</v>
      </c>
      <c r="F716" t="str">
        <f t="shared" si="11"/>
        <v>7-12 Months</v>
      </c>
      <c r="G716" t="s">
        <v>35</v>
      </c>
      <c r="H716" t="s">
        <v>20</v>
      </c>
      <c r="I716" t="s">
        <v>24</v>
      </c>
      <c r="J716" t="s">
        <v>16</v>
      </c>
      <c r="K716" t="s">
        <v>16</v>
      </c>
      <c r="L716">
        <v>2</v>
      </c>
      <c r="M716" s="7">
        <v>44.96</v>
      </c>
      <c r="N716" s="7">
        <v>309.95</v>
      </c>
      <c r="O716" t="s">
        <v>20</v>
      </c>
    </row>
    <row r="717" spans="1:15" x14ac:dyDescent="0.3">
      <c r="A717" t="s">
        <v>742</v>
      </c>
      <c r="B717" t="s">
        <v>22</v>
      </c>
      <c r="C717">
        <v>25</v>
      </c>
      <c r="D717" t="s">
        <v>20</v>
      </c>
      <c r="E717">
        <v>57</v>
      </c>
      <c r="F717" t="str">
        <f t="shared" si="11"/>
        <v>49+ Months</v>
      </c>
      <c r="G717" t="s">
        <v>17</v>
      </c>
      <c r="H717" t="s">
        <v>36</v>
      </c>
      <c r="I717" t="s">
        <v>24</v>
      </c>
      <c r="J717" t="s">
        <v>16</v>
      </c>
      <c r="K717" t="s">
        <v>16</v>
      </c>
      <c r="L717">
        <v>6</v>
      </c>
      <c r="M717" s="7">
        <v>71.150000000000006</v>
      </c>
      <c r="N717" s="7">
        <v>3962.14</v>
      </c>
      <c r="O717" t="s">
        <v>16</v>
      </c>
    </row>
    <row r="718" spans="1:15" x14ac:dyDescent="0.3">
      <c r="A718" t="s">
        <v>743</v>
      </c>
      <c r="B718" t="s">
        <v>15</v>
      </c>
      <c r="C718">
        <v>60</v>
      </c>
      <c r="D718" t="s">
        <v>16</v>
      </c>
      <c r="E718">
        <v>12</v>
      </c>
      <c r="F718" t="str">
        <f t="shared" si="11"/>
        <v>7-12 Months</v>
      </c>
      <c r="G718" t="s">
        <v>17</v>
      </c>
      <c r="H718" t="s">
        <v>36</v>
      </c>
      <c r="I718" t="s">
        <v>24</v>
      </c>
      <c r="J718" t="s">
        <v>20</v>
      </c>
      <c r="K718" t="s">
        <v>16</v>
      </c>
      <c r="L718">
        <v>4</v>
      </c>
      <c r="M718" s="7">
        <v>64.260000000000005</v>
      </c>
      <c r="N718" s="7">
        <v>778.81</v>
      </c>
      <c r="O718" t="s">
        <v>20</v>
      </c>
    </row>
    <row r="719" spans="1:15" x14ac:dyDescent="0.3">
      <c r="A719" t="s">
        <v>744</v>
      </c>
      <c r="B719" t="s">
        <v>22</v>
      </c>
      <c r="C719">
        <v>29</v>
      </c>
      <c r="D719" t="s">
        <v>20</v>
      </c>
      <c r="E719">
        <v>16</v>
      </c>
      <c r="F719" t="str">
        <f t="shared" si="11"/>
        <v>13-24 Months</v>
      </c>
      <c r="G719" t="s">
        <v>17</v>
      </c>
      <c r="H719" t="s">
        <v>20</v>
      </c>
      <c r="I719" t="s">
        <v>24</v>
      </c>
      <c r="J719" t="s">
        <v>20</v>
      </c>
      <c r="K719" t="s">
        <v>20</v>
      </c>
      <c r="L719">
        <v>2</v>
      </c>
      <c r="M719" s="7">
        <v>38.979999999999997</v>
      </c>
      <c r="N719" s="7">
        <v>673.2</v>
      </c>
      <c r="O719" t="s">
        <v>16</v>
      </c>
    </row>
    <row r="720" spans="1:15" x14ac:dyDescent="0.3">
      <c r="A720" t="s">
        <v>745</v>
      </c>
      <c r="B720" t="s">
        <v>22</v>
      </c>
      <c r="C720">
        <v>18</v>
      </c>
      <c r="D720" t="s">
        <v>20</v>
      </c>
      <c r="E720">
        <v>43</v>
      </c>
      <c r="F720" t="str">
        <f t="shared" si="11"/>
        <v>25-48 Months</v>
      </c>
      <c r="G720" t="s">
        <v>35</v>
      </c>
      <c r="H720" t="s">
        <v>20</v>
      </c>
      <c r="I720" t="s">
        <v>24</v>
      </c>
      <c r="J720" t="s">
        <v>16</v>
      </c>
      <c r="K720" t="s">
        <v>20</v>
      </c>
      <c r="L720">
        <v>7</v>
      </c>
      <c r="M720" s="7">
        <v>51.31</v>
      </c>
      <c r="N720" s="7">
        <v>2120.14</v>
      </c>
      <c r="O720" t="s">
        <v>20</v>
      </c>
    </row>
    <row r="721" spans="1:15" x14ac:dyDescent="0.3">
      <c r="A721" t="s">
        <v>746</v>
      </c>
      <c r="B721" t="s">
        <v>22</v>
      </c>
      <c r="C721">
        <v>74</v>
      </c>
      <c r="D721" t="s">
        <v>16</v>
      </c>
      <c r="E721">
        <v>7</v>
      </c>
      <c r="F721" t="str">
        <f t="shared" si="11"/>
        <v>7-12 Months</v>
      </c>
      <c r="G721" t="s">
        <v>17</v>
      </c>
      <c r="H721" t="s">
        <v>36</v>
      </c>
      <c r="I721" t="s">
        <v>24</v>
      </c>
      <c r="J721" t="s">
        <v>20</v>
      </c>
      <c r="K721" t="s">
        <v>20</v>
      </c>
      <c r="L721">
        <v>2</v>
      </c>
      <c r="M721" s="7">
        <v>47.28</v>
      </c>
      <c r="N721" s="7">
        <v>341.81</v>
      </c>
      <c r="O721" t="s">
        <v>16</v>
      </c>
    </row>
    <row r="722" spans="1:15" x14ac:dyDescent="0.3">
      <c r="A722" t="s">
        <v>747</v>
      </c>
      <c r="B722" t="s">
        <v>22</v>
      </c>
      <c r="C722">
        <v>71</v>
      </c>
      <c r="D722" t="s">
        <v>16</v>
      </c>
      <c r="E722">
        <v>51</v>
      </c>
      <c r="F722" t="str">
        <f t="shared" si="11"/>
        <v>49+ Months</v>
      </c>
      <c r="G722" t="s">
        <v>17</v>
      </c>
      <c r="H722" t="s">
        <v>18</v>
      </c>
      <c r="I722" t="s">
        <v>27</v>
      </c>
      <c r="J722" t="s">
        <v>20</v>
      </c>
      <c r="K722" t="s">
        <v>16</v>
      </c>
      <c r="L722">
        <v>7</v>
      </c>
      <c r="M722" s="7">
        <v>82.5</v>
      </c>
      <c r="N722" s="7">
        <v>4381.18</v>
      </c>
      <c r="O722" t="s">
        <v>20</v>
      </c>
    </row>
    <row r="723" spans="1:15" x14ac:dyDescent="0.3">
      <c r="A723" t="s">
        <v>748</v>
      </c>
      <c r="B723" t="s">
        <v>15</v>
      </c>
      <c r="C723">
        <v>37</v>
      </c>
      <c r="D723" t="s">
        <v>20</v>
      </c>
      <c r="E723">
        <v>32</v>
      </c>
      <c r="F723" t="str">
        <f t="shared" si="11"/>
        <v>25-48 Months</v>
      </c>
      <c r="G723" t="s">
        <v>17</v>
      </c>
      <c r="H723" t="s">
        <v>18</v>
      </c>
      <c r="I723" t="s">
        <v>24</v>
      </c>
      <c r="J723" t="s">
        <v>16</v>
      </c>
      <c r="K723" t="s">
        <v>20</v>
      </c>
      <c r="L723">
        <v>8</v>
      </c>
      <c r="M723" s="7">
        <v>84.82</v>
      </c>
      <c r="N723" s="7">
        <v>2750.94</v>
      </c>
      <c r="O723" t="s">
        <v>16</v>
      </c>
    </row>
    <row r="724" spans="1:15" x14ac:dyDescent="0.3">
      <c r="A724" t="s">
        <v>749</v>
      </c>
      <c r="B724" t="s">
        <v>22</v>
      </c>
      <c r="C724">
        <v>45</v>
      </c>
      <c r="D724" t="s">
        <v>20</v>
      </c>
      <c r="E724">
        <v>8</v>
      </c>
      <c r="F724" t="str">
        <f t="shared" si="11"/>
        <v>7-12 Months</v>
      </c>
      <c r="G724" t="s">
        <v>17</v>
      </c>
      <c r="H724" t="s">
        <v>36</v>
      </c>
      <c r="I724" t="s">
        <v>27</v>
      </c>
      <c r="J724" t="s">
        <v>20</v>
      </c>
      <c r="K724" t="s">
        <v>20</v>
      </c>
      <c r="L724">
        <v>7</v>
      </c>
      <c r="M724" s="7">
        <v>79.03</v>
      </c>
      <c r="N724" s="7">
        <v>591.52</v>
      </c>
      <c r="O724" t="s">
        <v>20</v>
      </c>
    </row>
    <row r="725" spans="1:15" x14ac:dyDescent="0.3">
      <c r="A725" t="s">
        <v>750</v>
      </c>
      <c r="B725" t="s">
        <v>15</v>
      </c>
      <c r="C725">
        <v>74</v>
      </c>
      <c r="D725" t="s">
        <v>16</v>
      </c>
      <c r="E725">
        <v>72</v>
      </c>
      <c r="F725" t="str">
        <f t="shared" si="11"/>
        <v>49+ Months</v>
      </c>
      <c r="G725" t="s">
        <v>17</v>
      </c>
      <c r="H725" t="s">
        <v>18</v>
      </c>
      <c r="I725" t="s">
        <v>27</v>
      </c>
      <c r="J725" t="s">
        <v>16</v>
      </c>
      <c r="K725" t="s">
        <v>20</v>
      </c>
      <c r="L725">
        <v>6</v>
      </c>
      <c r="M725" s="7">
        <v>82.64</v>
      </c>
      <c r="N725" s="7">
        <v>6018.98</v>
      </c>
      <c r="O725" t="s">
        <v>20</v>
      </c>
    </row>
    <row r="726" spans="1:15" x14ac:dyDescent="0.3">
      <c r="A726" t="s">
        <v>751</v>
      </c>
      <c r="B726" t="s">
        <v>15</v>
      </c>
      <c r="C726">
        <v>60</v>
      </c>
      <c r="D726" t="s">
        <v>16</v>
      </c>
      <c r="E726">
        <v>45</v>
      </c>
      <c r="F726" t="str">
        <f t="shared" si="11"/>
        <v>25-48 Months</v>
      </c>
      <c r="G726" t="s">
        <v>35</v>
      </c>
      <c r="H726" t="s">
        <v>18</v>
      </c>
      <c r="I726" t="s">
        <v>30</v>
      </c>
      <c r="J726" t="s">
        <v>20</v>
      </c>
      <c r="K726" t="s">
        <v>20</v>
      </c>
      <c r="L726">
        <v>4</v>
      </c>
      <c r="M726" s="7">
        <v>85.26</v>
      </c>
      <c r="N726" s="7">
        <v>4115.07</v>
      </c>
      <c r="O726" t="s">
        <v>20</v>
      </c>
    </row>
    <row r="727" spans="1:15" x14ac:dyDescent="0.3">
      <c r="A727" t="s">
        <v>752</v>
      </c>
      <c r="B727" t="s">
        <v>15</v>
      </c>
      <c r="C727">
        <v>54</v>
      </c>
      <c r="D727" t="s">
        <v>20</v>
      </c>
      <c r="E727">
        <v>59</v>
      </c>
      <c r="F727" t="str">
        <f t="shared" si="11"/>
        <v>49+ Months</v>
      </c>
      <c r="G727" t="s">
        <v>17</v>
      </c>
      <c r="H727" t="s">
        <v>18</v>
      </c>
      <c r="I727" t="s">
        <v>24</v>
      </c>
      <c r="J727" t="s">
        <v>20</v>
      </c>
      <c r="K727" t="s">
        <v>16</v>
      </c>
      <c r="L727">
        <v>4</v>
      </c>
      <c r="M727" s="7">
        <v>68.7</v>
      </c>
      <c r="N727" s="7">
        <v>3950.87</v>
      </c>
      <c r="O727" t="s">
        <v>20</v>
      </c>
    </row>
    <row r="728" spans="1:15" x14ac:dyDescent="0.3">
      <c r="A728" t="s">
        <v>753</v>
      </c>
      <c r="B728" t="s">
        <v>15</v>
      </c>
      <c r="C728">
        <v>64</v>
      </c>
      <c r="D728" t="s">
        <v>16</v>
      </c>
      <c r="E728">
        <v>4</v>
      </c>
      <c r="F728" t="str">
        <f t="shared" si="11"/>
        <v>0-6 Months</v>
      </c>
      <c r="G728" t="s">
        <v>23</v>
      </c>
      <c r="H728" t="s">
        <v>18</v>
      </c>
      <c r="I728" t="s">
        <v>24</v>
      </c>
      <c r="J728" t="s">
        <v>20</v>
      </c>
      <c r="K728" t="s">
        <v>20</v>
      </c>
      <c r="L728">
        <v>4</v>
      </c>
      <c r="M728" s="7">
        <v>77.72</v>
      </c>
      <c r="N728" s="7">
        <v>317.83</v>
      </c>
      <c r="O728" t="s">
        <v>20</v>
      </c>
    </row>
    <row r="729" spans="1:15" x14ac:dyDescent="0.3">
      <c r="A729" t="s">
        <v>754</v>
      </c>
      <c r="B729" t="s">
        <v>15</v>
      </c>
      <c r="C729">
        <v>54</v>
      </c>
      <c r="D729" t="s">
        <v>20</v>
      </c>
      <c r="E729">
        <v>67</v>
      </c>
      <c r="F729" t="str">
        <f t="shared" si="11"/>
        <v>49+ Months</v>
      </c>
      <c r="G729" t="s">
        <v>23</v>
      </c>
      <c r="H729" t="s">
        <v>36</v>
      </c>
      <c r="I729" t="s">
        <v>30</v>
      </c>
      <c r="J729" t="s">
        <v>20</v>
      </c>
      <c r="K729" t="s">
        <v>20</v>
      </c>
      <c r="L729">
        <v>1</v>
      </c>
      <c r="M729" s="7">
        <v>55.87</v>
      </c>
      <c r="N729" s="7">
        <v>4018.44</v>
      </c>
      <c r="O729" t="s">
        <v>20</v>
      </c>
    </row>
    <row r="730" spans="1:15" x14ac:dyDescent="0.3">
      <c r="A730" t="s">
        <v>755</v>
      </c>
      <c r="B730" t="s">
        <v>15</v>
      </c>
      <c r="C730">
        <v>29</v>
      </c>
      <c r="D730" t="s">
        <v>20</v>
      </c>
      <c r="E730">
        <v>29</v>
      </c>
      <c r="F730" t="str">
        <f t="shared" si="11"/>
        <v>25-48 Months</v>
      </c>
      <c r="G730" t="s">
        <v>17</v>
      </c>
      <c r="H730" t="s">
        <v>36</v>
      </c>
      <c r="I730" t="s">
        <v>30</v>
      </c>
      <c r="J730" t="s">
        <v>20</v>
      </c>
      <c r="K730" t="s">
        <v>16</v>
      </c>
      <c r="L730">
        <v>2</v>
      </c>
      <c r="M730" s="7">
        <v>52.86</v>
      </c>
      <c r="N730" s="7">
        <v>1606.03</v>
      </c>
      <c r="O730" t="s">
        <v>20</v>
      </c>
    </row>
    <row r="731" spans="1:15" x14ac:dyDescent="0.3">
      <c r="A731" t="s">
        <v>756</v>
      </c>
      <c r="B731" t="s">
        <v>22</v>
      </c>
      <c r="C731">
        <v>54</v>
      </c>
      <c r="D731" t="s">
        <v>20</v>
      </c>
      <c r="E731">
        <v>29</v>
      </c>
      <c r="F731" t="str">
        <f t="shared" si="11"/>
        <v>25-48 Months</v>
      </c>
      <c r="G731" t="s">
        <v>17</v>
      </c>
      <c r="H731" t="s">
        <v>36</v>
      </c>
      <c r="I731" t="s">
        <v>30</v>
      </c>
      <c r="J731" t="s">
        <v>20</v>
      </c>
      <c r="K731" t="s">
        <v>20</v>
      </c>
      <c r="L731">
        <v>2</v>
      </c>
      <c r="M731" s="7">
        <v>53.05</v>
      </c>
      <c r="N731" s="7">
        <v>1584.8</v>
      </c>
      <c r="O731" t="s">
        <v>20</v>
      </c>
    </row>
    <row r="732" spans="1:15" x14ac:dyDescent="0.3">
      <c r="A732" t="s">
        <v>757</v>
      </c>
      <c r="B732" t="s">
        <v>15</v>
      </c>
      <c r="C732">
        <v>66</v>
      </c>
      <c r="D732" t="s">
        <v>16</v>
      </c>
      <c r="E732">
        <v>28</v>
      </c>
      <c r="F732" t="str">
        <f t="shared" si="11"/>
        <v>25-48 Months</v>
      </c>
      <c r="G732" t="s">
        <v>17</v>
      </c>
      <c r="H732" t="s">
        <v>18</v>
      </c>
      <c r="I732" t="s">
        <v>24</v>
      </c>
      <c r="J732" t="s">
        <v>16</v>
      </c>
      <c r="K732" t="s">
        <v>20</v>
      </c>
      <c r="L732">
        <v>4</v>
      </c>
      <c r="M732" s="7">
        <v>74.900000000000006</v>
      </c>
      <c r="N732" s="7">
        <v>2255.29</v>
      </c>
      <c r="O732" t="s">
        <v>20</v>
      </c>
    </row>
    <row r="733" spans="1:15" x14ac:dyDescent="0.3">
      <c r="A733" t="s">
        <v>758</v>
      </c>
      <c r="B733" t="s">
        <v>15</v>
      </c>
      <c r="C733">
        <v>66</v>
      </c>
      <c r="D733" t="s">
        <v>16</v>
      </c>
      <c r="E733">
        <v>44</v>
      </c>
      <c r="F733" t="str">
        <f t="shared" si="11"/>
        <v>25-48 Months</v>
      </c>
      <c r="G733" t="s">
        <v>17</v>
      </c>
      <c r="H733" t="s">
        <v>20</v>
      </c>
      <c r="I733" t="s">
        <v>27</v>
      </c>
      <c r="J733" t="s">
        <v>20</v>
      </c>
      <c r="K733" t="s">
        <v>16</v>
      </c>
      <c r="L733">
        <v>8</v>
      </c>
      <c r="M733" s="7">
        <v>50.68</v>
      </c>
      <c r="N733" s="7">
        <v>2112.39</v>
      </c>
      <c r="O733" t="s">
        <v>20</v>
      </c>
    </row>
    <row r="734" spans="1:15" x14ac:dyDescent="0.3">
      <c r="A734" t="s">
        <v>759</v>
      </c>
      <c r="B734" t="s">
        <v>15</v>
      </c>
      <c r="C734">
        <v>73</v>
      </c>
      <c r="D734" t="s">
        <v>16</v>
      </c>
      <c r="E734">
        <v>4</v>
      </c>
      <c r="F734" t="str">
        <f t="shared" si="11"/>
        <v>0-6 Months</v>
      </c>
      <c r="G734" t="s">
        <v>23</v>
      </c>
      <c r="H734" t="s">
        <v>18</v>
      </c>
      <c r="I734" t="s">
        <v>24</v>
      </c>
      <c r="J734" t="s">
        <v>16</v>
      </c>
      <c r="K734" t="s">
        <v>20</v>
      </c>
      <c r="L734">
        <v>3</v>
      </c>
      <c r="M734" s="7">
        <v>74.69</v>
      </c>
      <c r="N734" s="7">
        <v>311.8</v>
      </c>
      <c r="O734" t="s">
        <v>16</v>
      </c>
    </row>
    <row r="735" spans="1:15" x14ac:dyDescent="0.3">
      <c r="A735" t="s">
        <v>760</v>
      </c>
      <c r="B735" t="s">
        <v>22</v>
      </c>
      <c r="C735">
        <v>61</v>
      </c>
      <c r="D735" t="s">
        <v>16</v>
      </c>
      <c r="E735">
        <v>9</v>
      </c>
      <c r="F735" t="str">
        <f t="shared" si="11"/>
        <v>7-12 Months</v>
      </c>
      <c r="G735" t="s">
        <v>17</v>
      </c>
      <c r="H735" t="s">
        <v>36</v>
      </c>
      <c r="I735" t="s">
        <v>19</v>
      </c>
      <c r="J735" t="s">
        <v>20</v>
      </c>
      <c r="K735" t="s">
        <v>20</v>
      </c>
      <c r="L735">
        <v>4</v>
      </c>
      <c r="M735" s="7">
        <v>51.12</v>
      </c>
      <c r="N735" s="7">
        <v>453.22</v>
      </c>
      <c r="O735" t="s">
        <v>16</v>
      </c>
    </row>
    <row r="736" spans="1:15" x14ac:dyDescent="0.3">
      <c r="A736" t="s">
        <v>761</v>
      </c>
      <c r="B736" t="s">
        <v>22</v>
      </c>
      <c r="C736">
        <v>73</v>
      </c>
      <c r="D736" t="s">
        <v>16</v>
      </c>
      <c r="E736">
        <v>5</v>
      </c>
      <c r="F736" t="str">
        <f t="shared" si="11"/>
        <v>0-6 Months</v>
      </c>
      <c r="G736" t="s">
        <v>17</v>
      </c>
      <c r="H736" t="s">
        <v>20</v>
      </c>
      <c r="I736" t="s">
        <v>19</v>
      </c>
      <c r="J736" t="s">
        <v>16</v>
      </c>
      <c r="K736" t="s">
        <v>20</v>
      </c>
      <c r="L736">
        <v>2</v>
      </c>
      <c r="M736" s="7">
        <v>32.25</v>
      </c>
      <c r="N736" s="7">
        <v>157.65</v>
      </c>
      <c r="O736" t="s">
        <v>16</v>
      </c>
    </row>
    <row r="737" spans="1:15" x14ac:dyDescent="0.3">
      <c r="A737" t="s">
        <v>762</v>
      </c>
      <c r="B737" t="s">
        <v>15</v>
      </c>
      <c r="C737">
        <v>45</v>
      </c>
      <c r="D737" t="s">
        <v>20</v>
      </c>
      <c r="E737">
        <v>56</v>
      </c>
      <c r="F737" t="str">
        <f t="shared" si="11"/>
        <v>49+ Months</v>
      </c>
      <c r="G737" t="s">
        <v>17</v>
      </c>
      <c r="H737" t="s">
        <v>18</v>
      </c>
      <c r="I737" t="s">
        <v>24</v>
      </c>
      <c r="J737" t="s">
        <v>20</v>
      </c>
      <c r="K737" t="s">
        <v>20</v>
      </c>
      <c r="L737">
        <v>4</v>
      </c>
      <c r="M737" s="7">
        <v>85.87</v>
      </c>
      <c r="N737" s="7">
        <v>4824.63</v>
      </c>
      <c r="O737" t="s">
        <v>20</v>
      </c>
    </row>
    <row r="738" spans="1:15" x14ac:dyDescent="0.3">
      <c r="A738" t="s">
        <v>763</v>
      </c>
      <c r="B738" t="s">
        <v>22</v>
      </c>
      <c r="C738">
        <v>64</v>
      </c>
      <c r="D738" t="s">
        <v>16</v>
      </c>
      <c r="E738">
        <v>50</v>
      </c>
      <c r="F738" t="str">
        <f t="shared" si="11"/>
        <v>49+ Months</v>
      </c>
      <c r="G738" t="s">
        <v>35</v>
      </c>
      <c r="H738" t="s">
        <v>36</v>
      </c>
      <c r="I738" t="s">
        <v>19</v>
      </c>
      <c r="J738" t="s">
        <v>16</v>
      </c>
      <c r="K738" t="s">
        <v>20</v>
      </c>
      <c r="L738">
        <v>6</v>
      </c>
      <c r="M738" s="7">
        <v>58.13</v>
      </c>
      <c r="N738" s="7">
        <v>2689.68</v>
      </c>
      <c r="O738" t="s">
        <v>20</v>
      </c>
    </row>
    <row r="739" spans="1:15" x14ac:dyDescent="0.3">
      <c r="A739" t="s">
        <v>764</v>
      </c>
      <c r="B739" t="s">
        <v>15</v>
      </c>
      <c r="C739">
        <v>32</v>
      </c>
      <c r="D739" t="s">
        <v>20</v>
      </c>
      <c r="E739">
        <v>15</v>
      </c>
      <c r="F739" t="str">
        <f t="shared" si="11"/>
        <v>13-24 Months</v>
      </c>
      <c r="G739" t="s">
        <v>35</v>
      </c>
      <c r="H739" t="s">
        <v>20</v>
      </c>
      <c r="I739" t="s">
        <v>30</v>
      </c>
      <c r="J739" t="s">
        <v>20</v>
      </c>
      <c r="K739" t="s">
        <v>20</v>
      </c>
      <c r="L739">
        <v>7</v>
      </c>
      <c r="M739" s="7">
        <v>57.5</v>
      </c>
      <c r="N739" s="7">
        <v>836.63</v>
      </c>
      <c r="O739" t="s">
        <v>20</v>
      </c>
    </row>
    <row r="740" spans="1:15" x14ac:dyDescent="0.3">
      <c r="A740" t="s">
        <v>765</v>
      </c>
      <c r="B740" t="s">
        <v>15</v>
      </c>
      <c r="C740">
        <v>23</v>
      </c>
      <c r="D740" t="s">
        <v>20</v>
      </c>
      <c r="E740">
        <v>32</v>
      </c>
      <c r="F740" t="str">
        <f t="shared" si="11"/>
        <v>25-48 Months</v>
      </c>
      <c r="G740" t="s">
        <v>35</v>
      </c>
      <c r="H740" t="s">
        <v>18</v>
      </c>
      <c r="I740" t="s">
        <v>27</v>
      </c>
      <c r="J740" t="s">
        <v>20</v>
      </c>
      <c r="K740" t="s">
        <v>20</v>
      </c>
      <c r="L740">
        <v>3</v>
      </c>
      <c r="M740" s="7">
        <v>81.97</v>
      </c>
      <c r="N740" s="7">
        <v>2482.96</v>
      </c>
      <c r="O740" t="s">
        <v>20</v>
      </c>
    </row>
    <row r="741" spans="1:15" x14ac:dyDescent="0.3">
      <c r="A741" t="s">
        <v>766</v>
      </c>
      <c r="B741" t="s">
        <v>22</v>
      </c>
      <c r="C741">
        <v>61</v>
      </c>
      <c r="D741" t="s">
        <v>16</v>
      </c>
      <c r="E741">
        <v>28</v>
      </c>
      <c r="F741" t="str">
        <f t="shared" si="11"/>
        <v>25-48 Months</v>
      </c>
      <c r="G741" t="s">
        <v>23</v>
      </c>
      <c r="H741" t="s">
        <v>36</v>
      </c>
      <c r="I741" t="s">
        <v>27</v>
      </c>
      <c r="J741" t="s">
        <v>20</v>
      </c>
      <c r="K741" t="s">
        <v>16</v>
      </c>
      <c r="L741">
        <v>5</v>
      </c>
      <c r="M741" s="7">
        <v>61.18</v>
      </c>
      <c r="N741" s="7">
        <v>1614.01</v>
      </c>
      <c r="O741" t="s">
        <v>20</v>
      </c>
    </row>
    <row r="742" spans="1:15" x14ac:dyDescent="0.3">
      <c r="A742" t="s">
        <v>767</v>
      </c>
      <c r="B742" t="s">
        <v>15</v>
      </c>
      <c r="C742">
        <v>37</v>
      </c>
      <c r="D742" t="s">
        <v>20</v>
      </c>
      <c r="E742">
        <v>22</v>
      </c>
      <c r="F742" t="str">
        <f t="shared" si="11"/>
        <v>13-24 Months</v>
      </c>
      <c r="G742" t="s">
        <v>17</v>
      </c>
      <c r="H742" t="s">
        <v>36</v>
      </c>
      <c r="I742" t="s">
        <v>19</v>
      </c>
      <c r="J742" t="s">
        <v>20</v>
      </c>
      <c r="K742" t="s">
        <v>20</v>
      </c>
      <c r="L742">
        <v>4</v>
      </c>
      <c r="M742" s="7">
        <v>59.23</v>
      </c>
      <c r="N742" s="7">
        <v>1269.1500000000001</v>
      </c>
      <c r="O742" t="s">
        <v>20</v>
      </c>
    </row>
    <row r="743" spans="1:15" x14ac:dyDescent="0.3">
      <c r="A743" t="s">
        <v>768</v>
      </c>
      <c r="B743" t="s">
        <v>22</v>
      </c>
      <c r="C743">
        <v>67</v>
      </c>
      <c r="D743" t="s">
        <v>16</v>
      </c>
      <c r="E743">
        <v>17</v>
      </c>
      <c r="F743" t="str">
        <f t="shared" si="11"/>
        <v>13-24 Months</v>
      </c>
      <c r="G743" t="s">
        <v>23</v>
      </c>
      <c r="H743" t="s">
        <v>18</v>
      </c>
      <c r="I743" t="s">
        <v>30</v>
      </c>
      <c r="J743" t="s">
        <v>20</v>
      </c>
      <c r="K743" t="s">
        <v>20</v>
      </c>
      <c r="L743">
        <v>3</v>
      </c>
      <c r="M743" s="7">
        <v>71.64</v>
      </c>
      <c r="N743" s="7">
        <v>1276.78</v>
      </c>
      <c r="O743" t="s">
        <v>16</v>
      </c>
    </row>
    <row r="744" spans="1:15" x14ac:dyDescent="0.3">
      <c r="A744" t="s">
        <v>769</v>
      </c>
      <c r="B744" t="s">
        <v>22</v>
      </c>
      <c r="C744">
        <v>31</v>
      </c>
      <c r="D744" t="s">
        <v>20</v>
      </c>
      <c r="E744">
        <v>59</v>
      </c>
      <c r="F744" t="str">
        <f t="shared" si="11"/>
        <v>49+ Months</v>
      </c>
      <c r="G744" t="s">
        <v>17</v>
      </c>
      <c r="H744" t="s">
        <v>20</v>
      </c>
      <c r="I744" t="s">
        <v>24</v>
      </c>
      <c r="J744" t="s">
        <v>20</v>
      </c>
      <c r="K744" t="s">
        <v>20</v>
      </c>
      <c r="L744">
        <v>2</v>
      </c>
      <c r="M744" s="7">
        <v>30.83</v>
      </c>
      <c r="N744" s="7">
        <v>1731.98</v>
      </c>
      <c r="O744" t="s">
        <v>20</v>
      </c>
    </row>
    <row r="745" spans="1:15" x14ac:dyDescent="0.3">
      <c r="A745" t="s">
        <v>770</v>
      </c>
      <c r="B745" t="s">
        <v>15</v>
      </c>
      <c r="C745">
        <v>19</v>
      </c>
      <c r="D745" t="s">
        <v>20</v>
      </c>
      <c r="E745">
        <v>71</v>
      </c>
      <c r="F745" t="str">
        <f t="shared" si="11"/>
        <v>49+ Months</v>
      </c>
      <c r="G745" t="s">
        <v>23</v>
      </c>
      <c r="H745" t="s">
        <v>20</v>
      </c>
      <c r="I745" t="s">
        <v>19</v>
      </c>
      <c r="J745" t="s">
        <v>16</v>
      </c>
      <c r="K745" t="s">
        <v>20</v>
      </c>
      <c r="L745">
        <v>1</v>
      </c>
      <c r="M745" s="7">
        <v>34.729999999999997</v>
      </c>
      <c r="N745" s="7">
        <v>2478.2199999999998</v>
      </c>
      <c r="O745" t="s">
        <v>20</v>
      </c>
    </row>
    <row r="746" spans="1:15" x14ac:dyDescent="0.3">
      <c r="A746" t="s">
        <v>771</v>
      </c>
      <c r="B746" t="s">
        <v>15</v>
      </c>
      <c r="C746">
        <v>26</v>
      </c>
      <c r="D746" t="s">
        <v>20</v>
      </c>
      <c r="E746">
        <v>57</v>
      </c>
      <c r="F746" t="str">
        <f t="shared" si="11"/>
        <v>49+ Months</v>
      </c>
      <c r="G746" t="s">
        <v>23</v>
      </c>
      <c r="H746" t="s">
        <v>36</v>
      </c>
      <c r="I746" t="s">
        <v>24</v>
      </c>
      <c r="J746" t="s">
        <v>20</v>
      </c>
      <c r="K746" t="s">
        <v>20</v>
      </c>
      <c r="L746">
        <v>5</v>
      </c>
      <c r="M746" s="7">
        <v>68.069999999999993</v>
      </c>
      <c r="N746" s="7">
        <v>4034.36</v>
      </c>
      <c r="O746" t="s">
        <v>20</v>
      </c>
    </row>
    <row r="747" spans="1:15" x14ac:dyDescent="0.3">
      <c r="A747" t="s">
        <v>772</v>
      </c>
      <c r="B747" t="s">
        <v>22</v>
      </c>
      <c r="C747">
        <v>54</v>
      </c>
      <c r="D747" t="s">
        <v>20</v>
      </c>
      <c r="E747">
        <v>26</v>
      </c>
      <c r="F747" t="str">
        <f t="shared" si="11"/>
        <v>25-48 Months</v>
      </c>
      <c r="G747" t="s">
        <v>17</v>
      </c>
      <c r="H747" t="s">
        <v>18</v>
      </c>
      <c r="I747" t="s">
        <v>19</v>
      </c>
      <c r="J747" t="s">
        <v>20</v>
      </c>
      <c r="K747" t="s">
        <v>16</v>
      </c>
      <c r="L747">
        <v>2</v>
      </c>
      <c r="M747" s="7">
        <v>73.75</v>
      </c>
      <c r="N747" s="7">
        <v>1838.03</v>
      </c>
      <c r="O747" t="s">
        <v>20</v>
      </c>
    </row>
    <row r="748" spans="1:15" x14ac:dyDescent="0.3">
      <c r="A748" t="s">
        <v>773</v>
      </c>
      <c r="B748" t="s">
        <v>15</v>
      </c>
      <c r="C748">
        <v>37</v>
      </c>
      <c r="D748" t="s">
        <v>20</v>
      </c>
      <c r="E748">
        <v>25</v>
      </c>
      <c r="F748" t="str">
        <f t="shared" si="11"/>
        <v>25-48 Months</v>
      </c>
      <c r="G748" t="s">
        <v>23</v>
      </c>
      <c r="H748" t="s">
        <v>18</v>
      </c>
      <c r="I748" t="s">
        <v>24</v>
      </c>
      <c r="J748" t="s">
        <v>20</v>
      </c>
      <c r="K748" t="s">
        <v>16</v>
      </c>
      <c r="L748">
        <v>4</v>
      </c>
      <c r="M748" s="7">
        <v>83.26</v>
      </c>
      <c r="N748" s="7">
        <v>2222.7800000000002</v>
      </c>
      <c r="O748" t="s">
        <v>20</v>
      </c>
    </row>
    <row r="749" spans="1:15" x14ac:dyDescent="0.3">
      <c r="A749" t="s">
        <v>774</v>
      </c>
      <c r="B749" t="s">
        <v>15</v>
      </c>
      <c r="C749">
        <v>43</v>
      </c>
      <c r="D749" t="s">
        <v>20</v>
      </c>
      <c r="E749">
        <v>10</v>
      </c>
      <c r="F749" t="str">
        <f t="shared" si="11"/>
        <v>7-12 Months</v>
      </c>
      <c r="G749" t="s">
        <v>35</v>
      </c>
      <c r="H749" t="s">
        <v>36</v>
      </c>
      <c r="I749" t="s">
        <v>19</v>
      </c>
      <c r="J749" t="s">
        <v>16</v>
      </c>
      <c r="K749" t="s">
        <v>16</v>
      </c>
      <c r="L749">
        <v>2</v>
      </c>
      <c r="M749" s="7">
        <v>52.4</v>
      </c>
      <c r="N749" s="7">
        <v>554.73</v>
      </c>
      <c r="O749" t="s">
        <v>20</v>
      </c>
    </row>
    <row r="750" spans="1:15" x14ac:dyDescent="0.3">
      <c r="A750" t="s">
        <v>775</v>
      </c>
      <c r="B750" t="s">
        <v>15</v>
      </c>
      <c r="C750">
        <v>46</v>
      </c>
      <c r="D750" t="s">
        <v>20</v>
      </c>
      <c r="E750">
        <v>45</v>
      </c>
      <c r="F750" t="str">
        <f t="shared" si="11"/>
        <v>25-48 Months</v>
      </c>
      <c r="G750" t="s">
        <v>17</v>
      </c>
      <c r="H750" t="s">
        <v>18</v>
      </c>
      <c r="I750" t="s">
        <v>30</v>
      </c>
      <c r="J750" t="s">
        <v>20</v>
      </c>
      <c r="K750" t="s">
        <v>20</v>
      </c>
      <c r="L750">
        <v>4</v>
      </c>
      <c r="M750" s="7">
        <v>70.41</v>
      </c>
      <c r="N750" s="7">
        <v>3042.31</v>
      </c>
      <c r="O750" t="s">
        <v>20</v>
      </c>
    </row>
    <row r="751" spans="1:15" x14ac:dyDescent="0.3">
      <c r="A751" t="s">
        <v>776</v>
      </c>
      <c r="B751" t="s">
        <v>22</v>
      </c>
      <c r="C751">
        <v>18</v>
      </c>
      <c r="D751" t="s">
        <v>20</v>
      </c>
      <c r="E751">
        <v>11</v>
      </c>
      <c r="F751" t="str">
        <f t="shared" si="11"/>
        <v>7-12 Months</v>
      </c>
      <c r="G751" t="s">
        <v>35</v>
      </c>
      <c r="H751" t="s">
        <v>36</v>
      </c>
      <c r="I751" t="s">
        <v>27</v>
      </c>
      <c r="J751" t="s">
        <v>20</v>
      </c>
      <c r="K751" t="s">
        <v>20</v>
      </c>
      <c r="L751">
        <v>1</v>
      </c>
      <c r="M751" s="7">
        <v>54.45</v>
      </c>
      <c r="N751" s="7">
        <v>645.87</v>
      </c>
      <c r="O751" t="s">
        <v>20</v>
      </c>
    </row>
    <row r="752" spans="1:15" x14ac:dyDescent="0.3">
      <c r="A752" t="s">
        <v>777</v>
      </c>
      <c r="B752" t="s">
        <v>22</v>
      </c>
      <c r="C752">
        <v>72</v>
      </c>
      <c r="D752" t="s">
        <v>16</v>
      </c>
      <c r="E752">
        <v>53</v>
      </c>
      <c r="F752" t="str">
        <f t="shared" si="11"/>
        <v>49+ Months</v>
      </c>
      <c r="G752" t="s">
        <v>17</v>
      </c>
      <c r="H752" t="s">
        <v>36</v>
      </c>
      <c r="I752" t="s">
        <v>19</v>
      </c>
      <c r="J752" t="s">
        <v>20</v>
      </c>
      <c r="K752" t="s">
        <v>20</v>
      </c>
      <c r="L752">
        <v>5</v>
      </c>
      <c r="M752" s="7">
        <v>56.75</v>
      </c>
      <c r="N752" s="7">
        <v>3089.16</v>
      </c>
      <c r="O752" t="s">
        <v>20</v>
      </c>
    </row>
    <row r="753" spans="1:15" x14ac:dyDescent="0.3">
      <c r="A753" t="s">
        <v>778</v>
      </c>
      <c r="B753" t="s">
        <v>15</v>
      </c>
      <c r="C753">
        <v>52</v>
      </c>
      <c r="D753" t="s">
        <v>20</v>
      </c>
      <c r="E753">
        <v>72</v>
      </c>
      <c r="F753" t="str">
        <f t="shared" si="11"/>
        <v>49+ Months</v>
      </c>
      <c r="G753" t="s">
        <v>23</v>
      </c>
      <c r="H753" t="s">
        <v>36</v>
      </c>
      <c r="I753" t="s">
        <v>27</v>
      </c>
      <c r="J753" t="s">
        <v>20</v>
      </c>
      <c r="K753" t="s">
        <v>20</v>
      </c>
      <c r="L753">
        <v>4</v>
      </c>
      <c r="M753" s="7">
        <v>58.3</v>
      </c>
      <c r="N753" s="7">
        <v>4053.94</v>
      </c>
      <c r="O753" t="s">
        <v>20</v>
      </c>
    </row>
    <row r="754" spans="1:15" x14ac:dyDescent="0.3">
      <c r="A754" t="s">
        <v>779</v>
      </c>
      <c r="B754" t="s">
        <v>22</v>
      </c>
      <c r="C754">
        <v>23</v>
      </c>
      <c r="D754" t="s">
        <v>20</v>
      </c>
      <c r="E754">
        <v>68</v>
      </c>
      <c r="F754" t="str">
        <f t="shared" si="11"/>
        <v>49+ Months</v>
      </c>
      <c r="G754" t="s">
        <v>17</v>
      </c>
      <c r="H754" t="s">
        <v>36</v>
      </c>
      <c r="I754" t="s">
        <v>30</v>
      </c>
      <c r="J754" t="s">
        <v>16</v>
      </c>
      <c r="K754" t="s">
        <v>20</v>
      </c>
      <c r="L754">
        <v>2</v>
      </c>
      <c r="M754" s="7">
        <v>56.97</v>
      </c>
      <c r="N754" s="7">
        <v>3986.17</v>
      </c>
      <c r="O754" t="s">
        <v>20</v>
      </c>
    </row>
    <row r="755" spans="1:15" x14ac:dyDescent="0.3">
      <c r="A755" t="s">
        <v>780</v>
      </c>
      <c r="B755" t="s">
        <v>22</v>
      </c>
      <c r="C755">
        <v>54</v>
      </c>
      <c r="D755" t="s">
        <v>20</v>
      </c>
      <c r="E755">
        <v>28</v>
      </c>
      <c r="F755" t="str">
        <f t="shared" si="11"/>
        <v>25-48 Months</v>
      </c>
      <c r="G755" t="s">
        <v>17</v>
      </c>
      <c r="H755" t="s">
        <v>18</v>
      </c>
      <c r="I755" t="s">
        <v>19</v>
      </c>
      <c r="J755" t="s">
        <v>20</v>
      </c>
      <c r="K755" t="s">
        <v>20</v>
      </c>
      <c r="L755">
        <v>1</v>
      </c>
      <c r="M755" s="7">
        <v>57.19</v>
      </c>
      <c r="N755" s="7">
        <v>1643.91</v>
      </c>
      <c r="O755" t="s">
        <v>20</v>
      </c>
    </row>
    <row r="756" spans="1:15" x14ac:dyDescent="0.3">
      <c r="A756" t="s">
        <v>781</v>
      </c>
      <c r="B756" t="s">
        <v>22</v>
      </c>
      <c r="C756">
        <v>70</v>
      </c>
      <c r="D756" t="s">
        <v>16</v>
      </c>
      <c r="E756">
        <v>65</v>
      </c>
      <c r="F756" t="str">
        <f t="shared" si="11"/>
        <v>49+ Months</v>
      </c>
      <c r="G756" t="s">
        <v>35</v>
      </c>
      <c r="H756" t="s">
        <v>18</v>
      </c>
      <c r="I756" t="s">
        <v>30</v>
      </c>
      <c r="J756" t="s">
        <v>20</v>
      </c>
      <c r="K756" t="s">
        <v>20</v>
      </c>
      <c r="L756">
        <v>6</v>
      </c>
      <c r="M756" s="7">
        <v>91.37</v>
      </c>
      <c r="N756" s="7">
        <v>6039.96</v>
      </c>
      <c r="O756" t="s">
        <v>20</v>
      </c>
    </row>
    <row r="757" spans="1:15" x14ac:dyDescent="0.3">
      <c r="A757" t="s">
        <v>782</v>
      </c>
      <c r="B757" t="s">
        <v>22</v>
      </c>
      <c r="C757">
        <v>22</v>
      </c>
      <c r="D757" t="s">
        <v>20</v>
      </c>
      <c r="E757">
        <v>49</v>
      </c>
      <c r="F757" t="str">
        <f t="shared" si="11"/>
        <v>49+ Months</v>
      </c>
      <c r="G757" t="s">
        <v>35</v>
      </c>
      <c r="H757" t="s">
        <v>18</v>
      </c>
      <c r="I757" t="s">
        <v>24</v>
      </c>
      <c r="J757" t="s">
        <v>20</v>
      </c>
      <c r="K757" t="s">
        <v>20</v>
      </c>
      <c r="L757">
        <v>4</v>
      </c>
      <c r="M757" s="7">
        <v>70.66</v>
      </c>
      <c r="N757" s="7">
        <v>3579.61</v>
      </c>
      <c r="O757" t="s">
        <v>20</v>
      </c>
    </row>
    <row r="758" spans="1:15" x14ac:dyDescent="0.3">
      <c r="A758" t="s">
        <v>783</v>
      </c>
      <c r="B758" t="s">
        <v>22</v>
      </c>
      <c r="C758">
        <v>50</v>
      </c>
      <c r="D758" t="s">
        <v>20</v>
      </c>
      <c r="E758">
        <v>47</v>
      </c>
      <c r="F758" t="str">
        <f t="shared" si="11"/>
        <v>25-48 Months</v>
      </c>
      <c r="G758" t="s">
        <v>23</v>
      </c>
      <c r="H758" t="s">
        <v>36</v>
      </c>
      <c r="I758" t="s">
        <v>27</v>
      </c>
      <c r="J758" t="s">
        <v>16</v>
      </c>
      <c r="K758" t="s">
        <v>20</v>
      </c>
      <c r="L758">
        <v>6</v>
      </c>
      <c r="M758" s="7">
        <v>71.16</v>
      </c>
      <c r="N758" s="7">
        <v>3220.54</v>
      </c>
      <c r="O758" t="s">
        <v>20</v>
      </c>
    </row>
    <row r="759" spans="1:15" x14ac:dyDescent="0.3">
      <c r="A759" t="s">
        <v>784</v>
      </c>
      <c r="B759" t="s">
        <v>15</v>
      </c>
      <c r="C759">
        <v>66</v>
      </c>
      <c r="D759" t="s">
        <v>16</v>
      </c>
      <c r="E759">
        <v>52</v>
      </c>
      <c r="F759" t="str">
        <f t="shared" si="11"/>
        <v>49+ Months</v>
      </c>
      <c r="G759" t="s">
        <v>17</v>
      </c>
      <c r="H759" t="s">
        <v>36</v>
      </c>
      <c r="I759" t="s">
        <v>30</v>
      </c>
      <c r="J759" t="s">
        <v>16</v>
      </c>
      <c r="K759" t="s">
        <v>20</v>
      </c>
      <c r="L759">
        <v>4</v>
      </c>
      <c r="M759" s="7">
        <v>67.42</v>
      </c>
      <c r="N759" s="7">
        <v>3774.52</v>
      </c>
      <c r="O759" t="s">
        <v>20</v>
      </c>
    </row>
    <row r="760" spans="1:15" x14ac:dyDescent="0.3">
      <c r="A760" t="s">
        <v>785</v>
      </c>
      <c r="B760" t="s">
        <v>15</v>
      </c>
      <c r="C760">
        <v>68</v>
      </c>
      <c r="D760" t="s">
        <v>16</v>
      </c>
      <c r="E760">
        <v>54</v>
      </c>
      <c r="F760" t="str">
        <f t="shared" si="11"/>
        <v>49+ Months</v>
      </c>
      <c r="G760" t="s">
        <v>35</v>
      </c>
      <c r="H760" t="s">
        <v>36</v>
      </c>
      <c r="I760" t="s">
        <v>27</v>
      </c>
      <c r="J760" t="s">
        <v>20</v>
      </c>
      <c r="K760" t="s">
        <v>20</v>
      </c>
      <c r="L760">
        <v>5</v>
      </c>
      <c r="M760" s="7">
        <v>57.84</v>
      </c>
      <c r="N760" s="7">
        <v>3302.21</v>
      </c>
      <c r="O760" t="s">
        <v>16</v>
      </c>
    </row>
    <row r="761" spans="1:15" x14ac:dyDescent="0.3">
      <c r="A761" t="s">
        <v>786</v>
      </c>
      <c r="B761" t="s">
        <v>15</v>
      </c>
      <c r="C761">
        <v>31</v>
      </c>
      <c r="D761" t="s">
        <v>20</v>
      </c>
      <c r="E761">
        <v>60</v>
      </c>
      <c r="F761" t="str">
        <f t="shared" si="11"/>
        <v>49+ Months</v>
      </c>
      <c r="G761" t="s">
        <v>17</v>
      </c>
      <c r="H761" t="s">
        <v>36</v>
      </c>
      <c r="I761" t="s">
        <v>30</v>
      </c>
      <c r="J761" t="s">
        <v>16</v>
      </c>
      <c r="K761" t="s">
        <v>20</v>
      </c>
      <c r="L761">
        <v>5</v>
      </c>
      <c r="M761" s="7">
        <v>56.93</v>
      </c>
      <c r="N761" s="7">
        <v>3550.1</v>
      </c>
      <c r="O761" t="s">
        <v>20</v>
      </c>
    </row>
    <row r="762" spans="1:15" x14ac:dyDescent="0.3">
      <c r="A762" t="s">
        <v>787</v>
      </c>
      <c r="B762" t="s">
        <v>22</v>
      </c>
      <c r="C762">
        <v>29</v>
      </c>
      <c r="D762" t="s">
        <v>20</v>
      </c>
      <c r="E762">
        <v>57</v>
      </c>
      <c r="F762" t="str">
        <f t="shared" si="11"/>
        <v>49+ Months</v>
      </c>
      <c r="G762" t="s">
        <v>35</v>
      </c>
      <c r="H762" t="s">
        <v>20</v>
      </c>
      <c r="I762" t="s">
        <v>27</v>
      </c>
      <c r="J762" t="s">
        <v>20</v>
      </c>
      <c r="K762" t="s">
        <v>16</v>
      </c>
      <c r="L762">
        <v>5</v>
      </c>
      <c r="M762" s="7">
        <v>45.53</v>
      </c>
      <c r="N762" s="7">
        <v>2398.52</v>
      </c>
      <c r="O762" t="s">
        <v>20</v>
      </c>
    </row>
    <row r="763" spans="1:15" x14ac:dyDescent="0.3">
      <c r="A763" t="s">
        <v>788</v>
      </c>
      <c r="B763" t="s">
        <v>22</v>
      </c>
      <c r="C763">
        <v>59</v>
      </c>
      <c r="D763" t="s">
        <v>20</v>
      </c>
      <c r="E763">
        <v>47</v>
      </c>
      <c r="F763" t="str">
        <f t="shared" si="11"/>
        <v>25-48 Months</v>
      </c>
      <c r="G763" t="s">
        <v>17</v>
      </c>
      <c r="H763" t="s">
        <v>18</v>
      </c>
      <c r="I763" t="s">
        <v>27</v>
      </c>
      <c r="J763" t="s">
        <v>20</v>
      </c>
      <c r="K763" t="s">
        <v>16</v>
      </c>
      <c r="L763">
        <v>3</v>
      </c>
      <c r="M763" s="7">
        <v>68.709999999999994</v>
      </c>
      <c r="N763" s="7">
        <v>3276.07</v>
      </c>
      <c r="O763" t="s">
        <v>20</v>
      </c>
    </row>
    <row r="764" spans="1:15" x14ac:dyDescent="0.3">
      <c r="A764" t="s">
        <v>789</v>
      </c>
      <c r="B764" t="s">
        <v>15</v>
      </c>
      <c r="C764">
        <v>37</v>
      </c>
      <c r="D764" t="s">
        <v>20</v>
      </c>
      <c r="E764">
        <v>31</v>
      </c>
      <c r="F764" t="str">
        <f t="shared" si="11"/>
        <v>25-48 Months</v>
      </c>
      <c r="G764" t="s">
        <v>17</v>
      </c>
      <c r="H764" t="s">
        <v>18</v>
      </c>
      <c r="I764" t="s">
        <v>19</v>
      </c>
      <c r="J764" t="s">
        <v>20</v>
      </c>
      <c r="K764" t="s">
        <v>20</v>
      </c>
      <c r="L764">
        <v>3</v>
      </c>
      <c r="M764" s="7">
        <v>59.76</v>
      </c>
      <c r="N764" s="7">
        <v>1913.76</v>
      </c>
      <c r="O764" t="s">
        <v>20</v>
      </c>
    </row>
    <row r="765" spans="1:15" x14ac:dyDescent="0.3">
      <c r="A765" t="s">
        <v>790</v>
      </c>
      <c r="B765" t="s">
        <v>22</v>
      </c>
      <c r="C765">
        <v>70</v>
      </c>
      <c r="D765" t="s">
        <v>16</v>
      </c>
      <c r="E765">
        <v>46</v>
      </c>
      <c r="F765" t="str">
        <f t="shared" si="11"/>
        <v>25-48 Months</v>
      </c>
      <c r="G765" t="s">
        <v>23</v>
      </c>
      <c r="H765" t="s">
        <v>18</v>
      </c>
      <c r="I765" t="s">
        <v>24</v>
      </c>
      <c r="J765" t="s">
        <v>16</v>
      </c>
      <c r="K765" t="s">
        <v>20</v>
      </c>
      <c r="L765">
        <v>4</v>
      </c>
      <c r="M765" s="7">
        <v>78.819999999999993</v>
      </c>
      <c r="N765" s="7">
        <v>3831.14</v>
      </c>
      <c r="O765" t="s">
        <v>16</v>
      </c>
    </row>
    <row r="766" spans="1:15" x14ac:dyDescent="0.3">
      <c r="A766" t="s">
        <v>791</v>
      </c>
      <c r="B766" t="s">
        <v>15</v>
      </c>
      <c r="C766">
        <v>67</v>
      </c>
      <c r="D766" t="s">
        <v>16</v>
      </c>
      <c r="E766">
        <v>26</v>
      </c>
      <c r="F766" t="str">
        <f t="shared" si="11"/>
        <v>25-48 Months</v>
      </c>
      <c r="G766" t="s">
        <v>17</v>
      </c>
      <c r="H766" t="s">
        <v>36</v>
      </c>
      <c r="I766" t="s">
        <v>19</v>
      </c>
      <c r="J766" t="s">
        <v>20</v>
      </c>
      <c r="K766" t="s">
        <v>16</v>
      </c>
      <c r="L766">
        <v>6</v>
      </c>
      <c r="M766" s="7">
        <v>69.349999999999994</v>
      </c>
      <c r="N766" s="7">
        <v>1931.81</v>
      </c>
      <c r="O766" t="s">
        <v>16</v>
      </c>
    </row>
    <row r="767" spans="1:15" x14ac:dyDescent="0.3">
      <c r="A767" t="s">
        <v>792</v>
      </c>
      <c r="B767" t="s">
        <v>15</v>
      </c>
      <c r="C767">
        <v>41</v>
      </c>
      <c r="D767" t="s">
        <v>20</v>
      </c>
      <c r="E767">
        <v>5</v>
      </c>
      <c r="F767" t="str">
        <f t="shared" si="11"/>
        <v>0-6 Months</v>
      </c>
      <c r="G767" t="s">
        <v>17</v>
      </c>
      <c r="H767" t="s">
        <v>18</v>
      </c>
      <c r="I767" t="s">
        <v>19</v>
      </c>
      <c r="J767" t="s">
        <v>20</v>
      </c>
      <c r="K767" t="s">
        <v>16</v>
      </c>
      <c r="L767">
        <v>3</v>
      </c>
      <c r="M767" s="7">
        <v>72.7</v>
      </c>
      <c r="N767" s="7">
        <v>387.69</v>
      </c>
      <c r="O767" t="s">
        <v>16</v>
      </c>
    </row>
    <row r="768" spans="1:15" x14ac:dyDescent="0.3">
      <c r="A768" t="s">
        <v>793</v>
      </c>
      <c r="B768" t="s">
        <v>15</v>
      </c>
      <c r="C768">
        <v>60</v>
      </c>
      <c r="D768" t="s">
        <v>16</v>
      </c>
      <c r="E768">
        <v>52</v>
      </c>
      <c r="F768" t="str">
        <f t="shared" si="11"/>
        <v>49+ Months</v>
      </c>
      <c r="G768" t="s">
        <v>17</v>
      </c>
      <c r="H768" t="s">
        <v>20</v>
      </c>
      <c r="I768" t="s">
        <v>24</v>
      </c>
      <c r="J768" t="s">
        <v>20</v>
      </c>
      <c r="K768" t="s">
        <v>16</v>
      </c>
      <c r="L768">
        <v>2</v>
      </c>
      <c r="M768" s="7">
        <v>33.79</v>
      </c>
      <c r="N768" s="7">
        <v>1730.67</v>
      </c>
      <c r="O768" t="s">
        <v>20</v>
      </c>
    </row>
    <row r="769" spans="1:15" x14ac:dyDescent="0.3">
      <c r="A769" t="s">
        <v>794</v>
      </c>
      <c r="B769" t="s">
        <v>22</v>
      </c>
      <c r="C769">
        <v>51</v>
      </c>
      <c r="D769" t="s">
        <v>20</v>
      </c>
      <c r="E769">
        <v>54</v>
      </c>
      <c r="F769" t="str">
        <f t="shared" si="11"/>
        <v>49+ Months</v>
      </c>
      <c r="G769" t="s">
        <v>17</v>
      </c>
      <c r="H769" t="s">
        <v>36</v>
      </c>
      <c r="I769" t="s">
        <v>27</v>
      </c>
      <c r="J769" t="s">
        <v>20</v>
      </c>
      <c r="K769" t="s">
        <v>20</v>
      </c>
      <c r="L769">
        <v>2</v>
      </c>
      <c r="M769" s="7">
        <v>58.34</v>
      </c>
      <c r="N769" s="7">
        <v>3350.22</v>
      </c>
      <c r="O769" t="s">
        <v>20</v>
      </c>
    </row>
    <row r="770" spans="1:15" x14ac:dyDescent="0.3">
      <c r="A770" t="s">
        <v>795</v>
      </c>
      <c r="B770" t="s">
        <v>22</v>
      </c>
      <c r="C770">
        <v>42</v>
      </c>
      <c r="D770" t="s">
        <v>20</v>
      </c>
      <c r="E770">
        <v>33</v>
      </c>
      <c r="F770" t="str">
        <f t="shared" ref="F770:F833" si="12">IF(E770&lt;=6,"0-6 Months",
 IF(E770&lt;=12,"7-12 Months",
 IF(E770&lt;=24,"13-24 Months",
 IF(E770&lt;=48,"25-48 Months","49+ Months"))))</f>
        <v>25-48 Months</v>
      </c>
      <c r="G770" t="s">
        <v>17</v>
      </c>
      <c r="H770" t="s">
        <v>20</v>
      </c>
      <c r="I770" t="s">
        <v>30</v>
      </c>
      <c r="J770" t="s">
        <v>20</v>
      </c>
      <c r="K770" t="s">
        <v>16</v>
      </c>
      <c r="L770">
        <v>3</v>
      </c>
      <c r="M770" s="7">
        <v>34.49</v>
      </c>
      <c r="N770" s="7">
        <v>1047.25</v>
      </c>
      <c r="O770" t="s">
        <v>20</v>
      </c>
    </row>
    <row r="771" spans="1:15" x14ac:dyDescent="0.3">
      <c r="A771" t="s">
        <v>796</v>
      </c>
      <c r="B771" t="s">
        <v>15</v>
      </c>
      <c r="C771">
        <v>67</v>
      </c>
      <c r="D771" t="s">
        <v>16</v>
      </c>
      <c r="E771">
        <v>50</v>
      </c>
      <c r="F771" t="str">
        <f t="shared" si="12"/>
        <v>49+ Months</v>
      </c>
      <c r="G771" t="s">
        <v>17</v>
      </c>
      <c r="H771" t="s">
        <v>20</v>
      </c>
      <c r="I771" t="s">
        <v>27</v>
      </c>
      <c r="J771" t="s">
        <v>20</v>
      </c>
      <c r="K771" t="s">
        <v>16</v>
      </c>
      <c r="L771">
        <v>1</v>
      </c>
      <c r="M771" s="7">
        <v>27.41</v>
      </c>
      <c r="N771" s="7">
        <v>1337.93</v>
      </c>
      <c r="O771" t="s">
        <v>20</v>
      </c>
    </row>
    <row r="772" spans="1:15" x14ac:dyDescent="0.3">
      <c r="A772" t="s">
        <v>797</v>
      </c>
      <c r="B772" t="s">
        <v>15</v>
      </c>
      <c r="C772">
        <v>46</v>
      </c>
      <c r="D772" t="s">
        <v>20</v>
      </c>
      <c r="E772">
        <v>38</v>
      </c>
      <c r="F772" t="str">
        <f t="shared" si="12"/>
        <v>25-48 Months</v>
      </c>
      <c r="G772" t="s">
        <v>17</v>
      </c>
      <c r="H772" t="s">
        <v>18</v>
      </c>
      <c r="I772" t="s">
        <v>27</v>
      </c>
      <c r="J772" t="s">
        <v>20</v>
      </c>
      <c r="K772" t="s">
        <v>16</v>
      </c>
      <c r="L772">
        <v>2</v>
      </c>
      <c r="M772" s="7">
        <v>70.86</v>
      </c>
      <c r="N772" s="7">
        <v>2526.33</v>
      </c>
      <c r="O772" t="s">
        <v>20</v>
      </c>
    </row>
    <row r="773" spans="1:15" x14ac:dyDescent="0.3">
      <c r="A773" t="s">
        <v>798</v>
      </c>
      <c r="B773" t="s">
        <v>15</v>
      </c>
      <c r="C773">
        <v>74</v>
      </c>
      <c r="D773" t="s">
        <v>16</v>
      </c>
      <c r="E773">
        <v>27</v>
      </c>
      <c r="F773" t="str">
        <f t="shared" si="12"/>
        <v>25-48 Months</v>
      </c>
      <c r="G773" t="s">
        <v>17</v>
      </c>
      <c r="H773" t="s">
        <v>36</v>
      </c>
      <c r="I773" t="s">
        <v>30</v>
      </c>
      <c r="J773" t="s">
        <v>20</v>
      </c>
      <c r="K773" t="s">
        <v>16</v>
      </c>
      <c r="L773">
        <v>7</v>
      </c>
      <c r="M773" s="7">
        <v>68.8</v>
      </c>
      <c r="N773" s="7">
        <v>1971.45</v>
      </c>
      <c r="O773" t="s">
        <v>20</v>
      </c>
    </row>
    <row r="774" spans="1:15" x14ac:dyDescent="0.3">
      <c r="A774" t="s">
        <v>799</v>
      </c>
      <c r="B774" t="s">
        <v>15</v>
      </c>
      <c r="C774">
        <v>56</v>
      </c>
      <c r="D774" t="s">
        <v>20</v>
      </c>
      <c r="E774">
        <v>15</v>
      </c>
      <c r="F774" t="str">
        <f t="shared" si="12"/>
        <v>13-24 Months</v>
      </c>
      <c r="G774" t="s">
        <v>23</v>
      </c>
      <c r="H774" t="s">
        <v>36</v>
      </c>
      <c r="I774" t="s">
        <v>27</v>
      </c>
      <c r="J774" t="s">
        <v>20</v>
      </c>
      <c r="K774" t="s">
        <v>20</v>
      </c>
      <c r="L774">
        <v>2</v>
      </c>
      <c r="M774" s="7">
        <v>48.8</v>
      </c>
      <c r="N774" s="7">
        <v>782.13</v>
      </c>
      <c r="O774" t="s">
        <v>20</v>
      </c>
    </row>
    <row r="775" spans="1:15" x14ac:dyDescent="0.3">
      <c r="A775" t="s">
        <v>800</v>
      </c>
      <c r="B775" t="s">
        <v>22</v>
      </c>
      <c r="C775">
        <v>48</v>
      </c>
      <c r="D775" t="s">
        <v>20</v>
      </c>
      <c r="E775">
        <v>61</v>
      </c>
      <c r="F775" t="str">
        <f t="shared" si="12"/>
        <v>49+ Months</v>
      </c>
      <c r="G775" t="s">
        <v>17</v>
      </c>
      <c r="H775" t="s">
        <v>18</v>
      </c>
      <c r="I775" t="s">
        <v>19</v>
      </c>
      <c r="J775" t="s">
        <v>20</v>
      </c>
      <c r="K775" t="s">
        <v>16</v>
      </c>
      <c r="L775">
        <v>6</v>
      </c>
      <c r="M775" s="7">
        <v>98.96</v>
      </c>
      <c r="N775" s="7">
        <v>5800.9</v>
      </c>
      <c r="O775" t="s">
        <v>20</v>
      </c>
    </row>
    <row r="776" spans="1:15" x14ac:dyDescent="0.3">
      <c r="A776" t="s">
        <v>801</v>
      </c>
      <c r="B776" t="s">
        <v>22</v>
      </c>
      <c r="C776">
        <v>73</v>
      </c>
      <c r="D776" t="s">
        <v>16</v>
      </c>
      <c r="E776">
        <v>21</v>
      </c>
      <c r="F776" t="str">
        <f t="shared" si="12"/>
        <v>13-24 Months</v>
      </c>
      <c r="G776" t="s">
        <v>35</v>
      </c>
      <c r="H776" t="s">
        <v>18</v>
      </c>
      <c r="I776" t="s">
        <v>27</v>
      </c>
      <c r="J776" t="s">
        <v>20</v>
      </c>
      <c r="K776" t="s">
        <v>20</v>
      </c>
      <c r="L776">
        <v>3</v>
      </c>
      <c r="M776" s="7">
        <v>75.88</v>
      </c>
      <c r="N776" s="7">
        <v>1559.65</v>
      </c>
      <c r="O776" t="s">
        <v>20</v>
      </c>
    </row>
    <row r="777" spans="1:15" x14ac:dyDescent="0.3">
      <c r="A777" t="s">
        <v>802</v>
      </c>
      <c r="B777" t="s">
        <v>15</v>
      </c>
      <c r="C777">
        <v>64</v>
      </c>
      <c r="D777" t="s">
        <v>16</v>
      </c>
      <c r="E777">
        <v>46</v>
      </c>
      <c r="F777" t="str">
        <f t="shared" si="12"/>
        <v>25-48 Months</v>
      </c>
      <c r="G777" t="s">
        <v>35</v>
      </c>
      <c r="H777" t="s">
        <v>36</v>
      </c>
      <c r="I777" t="s">
        <v>19</v>
      </c>
      <c r="J777" t="s">
        <v>16</v>
      </c>
      <c r="K777" t="s">
        <v>20</v>
      </c>
      <c r="L777">
        <v>6</v>
      </c>
      <c r="M777" s="7">
        <v>64.92</v>
      </c>
      <c r="N777" s="7">
        <v>3217.52</v>
      </c>
      <c r="O777" t="s">
        <v>20</v>
      </c>
    </row>
    <row r="778" spans="1:15" x14ac:dyDescent="0.3">
      <c r="A778" t="s">
        <v>803</v>
      </c>
      <c r="B778" t="s">
        <v>15</v>
      </c>
      <c r="C778">
        <v>60</v>
      </c>
      <c r="D778" t="s">
        <v>16</v>
      </c>
      <c r="E778">
        <v>69</v>
      </c>
      <c r="F778" t="str">
        <f t="shared" si="12"/>
        <v>49+ Months</v>
      </c>
      <c r="G778" t="s">
        <v>17</v>
      </c>
      <c r="H778" t="s">
        <v>18</v>
      </c>
      <c r="I778" t="s">
        <v>19</v>
      </c>
      <c r="J778" t="s">
        <v>20</v>
      </c>
      <c r="K778" t="s">
        <v>20</v>
      </c>
      <c r="L778">
        <v>4</v>
      </c>
      <c r="M778" s="7">
        <v>88.69</v>
      </c>
      <c r="N778" s="7">
        <v>6184.3</v>
      </c>
      <c r="O778" t="s">
        <v>20</v>
      </c>
    </row>
    <row r="779" spans="1:15" x14ac:dyDescent="0.3">
      <c r="A779" t="s">
        <v>804</v>
      </c>
      <c r="B779" t="s">
        <v>22</v>
      </c>
      <c r="C779">
        <v>67</v>
      </c>
      <c r="D779" t="s">
        <v>16</v>
      </c>
      <c r="E779">
        <v>6</v>
      </c>
      <c r="F779" t="str">
        <f t="shared" si="12"/>
        <v>0-6 Months</v>
      </c>
      <c r="G779" t="s">
        <v>23</v>
      </c>
      <c r="H779" t="s">
        <v>36</v>
      </c>
      <c r="I779" t="s">
        <v>19</v>
      </c>
      <c r="J779" t="s">
        <v>20</v>
      </c>
      <c r="K779" t="s">
        <v>16</v>
      </c>
      <c r="L779">
        <v>1</v>
      </c>
      <c r="M779" s="7">
        <v>54.6</v>
      </c>
      <c r="N779" s="7">
        <v>327.45</v>
      </c>
      <c r="O779" t="s">
        <v>20</v>
      </c>
    </row>
    <row r="780" spans="1:15" x14ac:dyDescent="0.3">
      <c r="A780" t="s">
        <v>805</v>
      </c>
      <c r="B780" t="s">
        <v>22</v>
      </c>
      <c r="C780">
        <v>40</v>
      </c>
      <c r="D780" t="s">
        <v>20</v>
      </c>
      <c r="E780">
        <v>38</v>
      </c>
      <c r="F780" t="str">
        <f t="shared" si="12"/>
        <v>25-48 Months</v>
      </c>
      <c r="G780" t="s">
        <v>35</v>
      </c>
      <c r="H780" t="s">
        <v>36</v>
      </c>
      <c r="I780" t="s">
        <v>30</v>
      </c>
      <c r="J780" t="s">
        <v>16</v>
      </c>
      <c r="K780" t="s">
        <v>16</v>
      </c>
      <c r="L780">
        <v>2</v>
      </c>
      <c r="M780" s="7">
        <v>55.37</v>
      </c>
      <c r="N780" s="7">
        <v>2104.21</v>
      </c>
      <c r="O780" t="s">
        <v>20</v>
      </c>
    </row>
    <row r="781" spans="1:15" x14ac:dyDescent="0.3">
      <c r="A781" t="s">
        <v>806</v>
      </c>
      <c r="B781" t="s">
        <v>15</v>
      </c>
      <c r="C781">
        <v>61</v>
      </c>
      <c r="D781" t="s">
        <v>16</v>
      </c>
      <c r="E781">
        <v>62</v>
      </c>
      <c r="F781" t="str">
        <f t="shared" si="12"/>
        <v>49+ Months</v>
      </c>
      <c r="G781" t="s">
        <v>35</v>
      </c>
      <c r="H781" t="s">
        <v>18</v>
      </c>
      <c r="I781" t="s">
        <v>30</v>
      </c>
      <c r="J781" t="s">
        <v>20</v>
      </c>
      <c r="K781" t="s">
        <v>16</v>
      </c>
      <c r="L781">
        <v>4</v>
      </c>
      <c r="M781" s="7">
        <v>74.73</v>
      </c>
      <c r="N781" s="7">
        <v>4778.7</v>
      </c>
      <c r="O781" t="s">
        <v>20</v>
      </c>
    </row>
    <row r="782" spans="1:15" x14ac:dyDescent="0.3">
      <c r="A782" t="s">
        <v>807</v>
      </c>
      <c r="B782" t="s">
        <v>15</v>
      </c>
      <c r="C782">
        <v>55</v>
      </c>
      <c r="D782" t="s">
        <v>20</v>
      </c>
      <c r="E782">
        <v>62</v>
      </c>
      <c r="F782" t="str">
        <f t="shared" si="12"/>
        <v>49+ Months</v>
      </c>
      <c r="G782" t="s">
        <v>23</v>
      </c>
      <c r="H782" t="s">
        <v>36</v>
      </c>
      <c r="I782" t="s">
        <v>19</v>
      </c>
      <c r="J782" t="s">
        <v>16</v>
      </c>
      <c r="K782" t="s">
        <v>16</v>
      </c>
      <c r="L782">
        <v>1</v>
      </c>
      <c r="M782" s="7">
        <v>66.13</v>
      </c>
      <c r="N782" s="7">
        <v>4398.24</v>
      </c>
      <c r="O782" t="s">
        <v>20</v>
      </c>
    </row>
    <row r="783" spans="1:15" x14ac:dyDescent="0.3">
      <c r="A783" t="s">
        <v>808</v>
      </c>
      <c r="B783" t="s">
        <v>15</v>
      </c>
      <c r="C783">
        <v>37</v>
      </c>
      <c r="D783" t="s">
        <v>20</v>
      </c>
      <c r="E783">
        <v>46</v>
      </c>
      <c r="F783" t="str">
        <f t="shared" si="12"/>
        <v>25-48 Months</v>
      </c>
      <c r="G783" t="s">
        <v>17</v>
      </c>
      <c r="H783" t="s">
        <v>18</v>
      </c>
      <c r="I783" t="s">
        <v>24</v>
      </c>
      <c r="J783" t="s">
        <v>20</v>
      </c>
      <c r="K783" t="s">
        <v>20</v>
      </c>
      <c r="L783">
        <v>2</v>
      </c>
      <c r="M783" s="7">
        <v>60.04</v>
      </c>
      <c r="N783" s="7">
        <v>2702.9</v>
      </c>
      <c r="O783" t="s">
        <v>20</v>
      </c>
    </row>
    <row r="784" spans="1:15" x14ac:dyDescent="0.3">
      <c r="A784" t="s">
        <v>809</v>
      </c>
      <c r="B784" t="s">
        <v>22</v>
      </c>
      <c r="C784">
        <v>40</v>
      </c>
      <c r="D784" t="s">
        <v>20</v>
      </c>
      <c r="E784">
        <v>13</v>
      </c>
      <c r="F784" t="str">
        <f t="shared" si="12"/>
        <v>13-24 Months</v>
      </c>
      <c r="G784" t="s">
        <v>23</v>
      </c>
      <c r="H784" t="s">
        <v>36</v>
      </c>
      <c r="I784" t="s">
        <v>27</v>
      </c>
      <c r="J784" t="s">
        <v>20</v>
      </c>
      <c r="K784" t="s">
        <v>16</v>
      </c>
      <c r="L784">
        <v>1</v>
      </c>
      <c r="M784" s="7">
        <v>34.53</v>
      </c>
      <c r="N784" s="7">
        <v>425.38</v>
      </c>
      <c r="O784" t="s">
        <v>16</v>
      </c>
    </row>
    <row r="785" spans="1:15" x14ac:dyDescent="0.3">
      <c r="A785" t="s">
        <v>810</v>
      </c>
      <c r="B785" t="s">
        <v>22</v>
      </c>
      <c r="C785">
        <v>62</v>
      </c>
      <c r="D785" t="s">
        <v>16</v>
      </c>
      <c r="E785">
        <v>3</v>
      </c>
      <c r="F785" t="str">
        <f t="shared" si="12"/>
        <v>0-6 Months</v>
      </c>
      <c r="G785" t="s">
        <v>23</v>
      </c>
      <c r="H785" t="s">
        <v>18</v>
      </c>
      <c r="I785" t="s">
        <v>30</v>
      </c>
      <c r="J785" t="s">
        <v>20</v>
      </c>
      <c r="K785" t="s">
        <v>16</v>
      </c>
      <c r="L785">
        <v>5</v>
      </c>
      <c r="M785" s="7">
        <v>85.68</v>
      </c>
      <c r="N785" s="7">
        <v>244.09</v>
      </c>
      <c r="O785" t="s">
        <v>20</v>
      </c>
    </row>
    <row r="786" spans="1:15" x14ac:dyDescent="0.3">
      <c r="A786" t="s">
        <v>811</v>
      </c>
      <c r="B786" t="s">
        <v>22</v>
      </c>
      <c r="C786">
        <v>69</v>
      </c>
      <c r="D786" t="s">
        <v>16</v>
      </c>
      <c r="E786">
        <v>6</v>
      </c>
      <c r="F786" t="str">
        <f t="shared" si="12"/>
        <v>0-6 Months</v>
      </c>
      <c r="G786" t="s">
        <v>23</v>
      </c>
      <c r="H786" t="s">
        <v>20</v>
      </c>
      <c r="I786" t="s">
        <v>19</v>
      </c>
      <c r="J786" t="s">
        <v>20</v>
      </c>
      <c r="K786" t="s">
        <v>20</v>
      </c>
      <c r="L786">
        <v>2</v>
      </c>
      <c r="M786" s="7">
        <v>30.5</v>
      </c>
      <c r="N786" s="7">
        <v>168.96</v>
      </c>
      <c r="O786" t="s">
        <v>16</v>
      </c>
    </row>
    <row r="787" spans="1:15" x14ac:dyDescent="0.3">
      <c r="A787" t="s">
        <v>812</v>
      </c>
      <c r="B787" t="s">
        <v>15</v>
      </c>
      <c r="C787">
        <v>33</v>
      </c>
      <c r="D787" t="s">
        <v>20</v>
      </c>
      <c r="E787">
        <v>8</v>
      </c>
      <c r="F787" t="str">
        <f t="shared" si="12"/>
        <v>7-12 Months</v>
      </c>
      <c r="G787" t="s">
        <v>17</v>
      </c>
      <c r="H787" t="s">
        <v>18</v>
      </c>
      <c r="I787" t="s">
        <v>30</v>
      </c>
      <c r="J787" t="s">
        <v>20</v>
      </c>
      <c r="K787" t="s">
        <v>20</v>
      </c>
      <c r="L787">
        <v>3</v>
      </c>
      <c r="M787" s="7">
        <v>57.66</v>
      </c>
      <c r="N787" s="7">
        <v>465.37</v>
      </c>
      <c r="O787" t="s">
        <v>20</v>
      </c>
    </row>
    <row r="788" spans="1:15" x14ac:dyDescent="0.3">
      <c r="A788" t="s">
        <v>813</v>
      </c>
      <c r="B788" t="s">
        <v>15</v>
      </c>
      <c r="C788">
        <v>67</v>
      </c>
      <c r="D788" t="s">
        <v>16</v>
      </c>
      <c r="E788">
        <v>44</v>
      </c>
      <c r="F788" t="str">
        <f t="shared" si="12"/>
        <v>25-48 Months</v>
      </c>
      <c r="G788" t="s">
        <v>35</v>
      </c>
      <c r="H788" t="s">
        <v>18</v>
      </c>
      <c r="I788" t="s">
        <v>27</v>
      </c>
      <c r="J788" t="s">
        <v>20</v>
      </c>
      <c r="K788" t="s">
        <v>16</v>
      </c>
      <c r="L788">
        <v>5</v>
      </c>
      <c r="M788" s="7">
        <v>82.01</v>
      </c>
      <c r="N788" s="7">
        <v>3856.19</v>
      </c>
      <c r="O788" t="s">
        <v>20</v>
      </c>
    </row>
    <row r="789" spans="1:15" x14ac:dyDescent="0.3">
      <c r="A789" t="s">
        <v>814</v>
      </c>
      <c r="B789" t="s">
        <v>22</v>
      </c>
      <c r="C789">
        <v>59</v>
      </c>
      <c r="D789" t="s">
        <v>20</v>
      </c>
      <c r="E789">
        <v>33</v>
      </c>
      <c r="F789" t="str">
        <f t="shared" si="12"/>
        <v>25-48 Months</v>
      </c>
      <c r="G789" t="s">
        <v>35</v>
      </c>
      <c r="H789" t="s">
        <v>18</v>
      </c>
      <c r="I789" t="s">
        <v>27</v>
      </c>
      <c r="J789" t="s">
        <v>20</v>
      </c>
      <c r="K789" t="s">
        <v>16</v>
      </c>
      <c r="L789">
        <v>5</v>
      </c>
      <c r="M789" s="7">
        <v>83.55</v>
      </c>
      <c r="N789" s="7">
        <v>2851.15</v>
      </c>
      <c r="O789" t="s">
        <v>20</v>
      </c>
    </row>
    <row r="790" spans="1:15" x14ac:dyDescent="0.3">
      <c r="A790" t="s">
        <v>815</v>
      </c>
      <c r="B790" t="s">
        <v>22</v>
      </c>
      <c r="C790">
        <v>72</v>
      </c>
      <c r="D790" t="s">
        <v>16</v>
      </c>
      <c r="E790">
        <v>50</v>
      </c>
      <c r="F790" t="str">
        <f t="shared" si="12"/>
        <v>49+ Months</v>
      </c>
      <c r="G790" t="s">
        <v>17</v>
      </c>
      <c r="H790" t="s">
        <v>18</v>
      </c>
      <c r="I790" t="s">
        <v>19</v>
      </c>
      <c r="J790" t="s">
        <v>20</v>
      </c>
      <c r="K790" t="s">
        <v>16</v>
      </c>
      <c r="L790">
        <v>5</v>
      </c>
      <c r="M790" s="7">
        <v>81.819999999999993</v>
      </c>
      <c r="N790" s="7">
        <v>4413.67</v>
      </c>
      <c r="O790" t="s">
        <v>16</v>
      </c>
    </row>
    <row r="791" spans="1:15" x14ac:dyDescent="0.3">
      <c r="A791" t="s">
        <v>816</v>
      </c>
      <c r="B791" t="s">
        <v>15</v>
      </c>
      <c r="C791">
        <v>25</v>
      </c>
      <c r="D791" t="s">
        <v>20</v>
      </c>
      <c r="E791">
        <v>11</v>
      </c>
      <c r="F791" t="str">
        <f t="shared" si="12"/>
        <v>7-12 Months</v>
      </c>
      <c r="G791" t="s">
        <v>17</v>
      </c>
      <c r="H791" t="s">
        <v>18</v>
      </c>
      <c r="I791" t="s">
        <v>24</v>
      </c>
      <c r="J791" t="s">
        <v>20</v>
      </c>
      <c r="K791" t="s">
        <v>20</v>
      </c>
      <c r="L791">
        <v>2</v>
      </c>
      <c r="M791" s="7">
        <v>73.12</v>
      </c>
      <c r="N791" s="7">
        <v>857.02</v>
      </c>
      <c r="O791" t="s">
        <v>16</v>
      </c>
    </row>
    <row r="792" spans="1:15" x14ac:dyDescent="0.3">
      <c r="A792" t="s">
        <v>817</v>
      </c>
      <c r="B792" t="s">
        <v>22</v>
      </c>
      <c r="C792">
        <v>67</v>
      </c>
      <c r="D792" t="s">
        <v>16</v>
      </c>
      <c r="E792">
        <v>28</v>
      </c>
      <c r="F792" t="str">
        <f t="shared" si="12"/>
        <v>25-48 Months</v>
      </c>
      <c r="G792" t="s">
        <v>17</v>
      </c>
      <c r="H792" t="s">
        <v>36</v>
      </c>
      <c r="I792" t="s">
        <v>19</v>
      </c>
      <c r="J792" t="s">
        <v>20</v>
      </c>
      <c r="K792" t="s">
        <v>20</v>
      </c>
      <c r="L792">
        <v>4</v>
      </c>
      <c r="M792" s="7">
        <v>55.71</v>
      </c>
      <c r="N792" s="7">
        <v>1557.85</v>
      </c>
      <c r="O792" t="s">
        <v>20</v>
      </c>
    </row>
    <row r="793" spans="1:15" x14ac:dyDescent="0.3">
      <c r="A793" t="s">
        <v>818</v>
      </c>
      <c r="B793" t="s">
        <v>22</v>
      </c>
      <c r="C793">
        <v>38</v>
      </c>
      <c r="D793" t="s">
        <v>20</v>
      </c>
      <c r="E793">
        <v>70</v>
      </c>
      <c r="F793" t="str">
        <f t="shared" si="12"/>
        <v>49+ Months</v>
      </c>
      <c r="G793" t="s">
        <v>35</v>
      </c>
      <c r="H793" t="s">
        <v>36</v>
      </c>
      <c r="I793" t="s">
        <v>19</v>
      </c>
      <c r="J793" t="s">
        <v>16</v>
      </c>
      <c r="K793" t="s">
        <v>20</v>
      </c>
      <c r="L793">
        <v>3</v>
      </c>
      <c r="M793" s="7">
        <v>54.03</v>
      </c>
      <c r="N793" s="7">
        <v>3773.96</v>
      </c>
      <c r="O793" t="s">
        <v>20</v>
      </c>
    </row>
    <row r="794" spans="1:15" x14ac:dyDescent="0.3">
      <c r="A794" t="s">
        <v>819</v>
      </c>
      <c r="B794" t="s">
        <v>15</v>
      </c>
      <c r="C794">
        <v>18</v>
      </c>
      <c r="D794" t="s">
        <v>20</v>
      </c>
      <c r="E794">
        <v>41</v>
      </c>
      <c r="F794" t="str">
        <f t="shared" si="12"/>
        <v>25-48 Months</v>
      </c>
      <c r="G794" t="s">
        <v>23</v>
      </c>
      <c r="H794" t="s">
        <v>18</v>
      </c>
      <c r="I794" t="s">
        <v>27</v>
      </c>
      <c r="J794" t="s">
        <v>20</v>
      </c>
      <c r="K794" t="s">
        <v>20</v>
      </c>
      <c r="L794">
        <v>2</v>
      </c>
      <c r="M794" s="7">
        <v>80.16</v>
      </c>
      <c r="N794" s="7">
        <v>3354.06</v>
      </c>
      <c r="O794" t="s">
        <v>20</v>
      </c>
    </row>
    <row r="795" spans="1:15" x14ac:dyDescent="0.3">
      <c r="A795" t="s">
        <v>820</v>
      </c>
      <c r="B795" t="s">
        <v>22</v>
      </c>
      <c r="C795">
        <v>72</v>
      </c>
      <c r="D795" t="s">
        <v>16</v>
      </c>
      <c r="E795">
        <v>16</v>
      </c>
      <c r="F795" t="str">
        <f t="shared" si="12"/>
        <v>13-24 Months</v>
      </c>
      <c r="G795" t="s">
        <v>23</v>
      </c>
      <c r="H795" t="s">
        <v>18</v>
      </c>
      <c r="I795" t="s">
        <v>19</v>
      </c>
      <c r="J795" t="s">
        <v>16</v>
      </c>
      <c r="K795" t="s">
        <v>20</v>
      </c>
      <c r="L795">
        <v>1</v>
      </c>
      <c r="M795" s="7">
        <v>73.709999999999994</v>
      </c>
      <c r="N795" s="7">
        <v>1105.94</v>
      </c>
      <c r="O795" t="s">
        <v>20</v>
      </c>
    </row>
    <row r="796" spans="1:15" x14ac:dyDescent="0.3">
      <c r="A796" t="s">
        <v>821</v>
      </c>
      <c r="B796" t="s">
        <v>15</v>
      </c>
      <c r="C796">
        <v>25</v>
      </c>
      <c r="D796" t="s">
        <v>20</v>
      </c>
      <c r="E796">
        <v>68</v>
      </c>
      <c r="F796" t="str">
        <f t="shared" si="12"/>
        <v>49+ Months</v>
      </c>
      <c r="G796" t="s">
        <v>17</v>
      </c>
      <c r="H796" t="s">
        <v>36</v>
      </c>
      <c r="I796" t="s">
        <v>27</v>
      </c>
      <c r="J796" t="s">
        <v>20</v>
      </c>
      <c r="K796" t="s">
        <v>16</v>
      </c>
      <c r="L796">
        <v>6</v>
      </c>
      <c r="M796" s="7">
        <v>65.540000000000006</v>
      </c>
      <c r="N796" s="7">
        <v>4533.51</v>
      </c>
      <c r="O796" t="s">
        <v>20</v>
      </c>
    </row>
    <row r="797" spans="1:15" x14ac:dyDescent="0.3">
      <c r="A797" t="s">
        <v>822</v>
      </c>
      <c r="B797" t="s">
        <v>15</v>
      </c>
      <c r="C797">
        <v>46</v>
      </c>
      <c r="D797" t="s">
        <v>20</v>
      </c>
      <c r="E797">
        <v>48</v>
      </c>
      <c r="F797" t="str">
        <f t="shared" si="12"/>
        <v>25-48 Months</v>
      </c>
      <c r="G797" t="s">
        <v>23</v>
      </c>
      <c r="H797" t="s">
        <v>36</v>
      </c>
      <c r="I797" t="s">
        <v>19</v>
      </c>
      <c r="J797" t="s">
        <v>20</v>
      </c>
      <c r="K797" t="s">
        <v>20</v>
      </c>
      <c r="L797">
        <v>2</v>
      </c>
      <c r="M797" s="7">
        <v>54.84</v>
      </c>
      <c r="N797" s="7">
        <v>2617.19</v>
      </c>
      <c r="O797" t="s">
        <v>20</v>
      </c>
    </row>
    <row r="798" spans="1:15" x14ac:dyDescent="0.3">
      <c r="A798" t="s">
        <v>823</v>
      </c>
      <c r="B798" t="s">
        <v>15</v>
      </c>
      <c r="C798">
        <v>49</v>
      </c>
      <c r="D798" t="s">
        <v>20</v>
      </c>
      <c r="E798">
        <v>56</v>
      </c>
      <c r="F798" t="str">
        <f t="shared" si="12"/>
        <v>49+ Months</v>
      </c>
      <c r="G798" t="s">
        <v>17</v>
      </c>
      <c r="H798" t="s">
        <v>18</v>
      </c>
      <c r="I798" t="s">
        <v>27</v>
      </c>
      <c r="J798" t="s">
        <v>20</v>
      </c>
      <c r="K798" t="s">
        <v>20</v>
      </c>
      <c r="L798">
        <v>3</v>
      </c>
      <c r="M798" s="7">
        <v>81.12</v>
      </c>
      <c r="N798" s="7">
        <v>4646.47</v>
      </c>
      <c r="O798" t="s">
        <v>20</v>
      </c>
    </row>
    <row r="799" spans="1:15" x14ac:dyDescent="0.3">
      <c r="A799" t="s">
        <v>824</v>
      </c>
      <c r="B799" t="s">
        <v>15</v>
      </c>
      <c r="C799">
        <v>55</v>
      </c>
      <c r="D799" t="s">
        <v>20</v>
      </c>
      <c r="E799">
        <v>64</v>
      </c>
      <c r="F799" t="str">
        <f t="shared" si="12"/>
        <v>49+ Months</v>
      </c>
      <c r="G799" t="s">
        <v>17</v>
      </c>
      <c r="H799" t="s">
        <v>20</v>
      </c>
      <c r="I799" t="s">
        <v>24</v>
      </c>
      <c r="J799" t="s">
        <v>20</v>
      </c>
      <c r="K799" t="s">
        <v>20</v>
      </c>
      <c r="L799">
        <v>1</v>
      </c>
      <c r="M799" s="7">
        <v>22.44</v>
      </c>
      <c r="N799" s="7">
        <v>1451.14</v>
      </c>
      <c r="O799" t="s">
        <v>20</v>
      </c>
    </row>
    <row r="800" spans="1:15" x14ac:dyDescent="0.3">
      <c r="A800" t="s">
        <v>825</v>
      </c>
      <c r="B800" t="s">
        <v>15</v>
      </c>
      <c r="C800">
        <v>22</v>
      </c>
      <c r="D800" t="s">
        <v>20</v>
      </c>
      <c r="E800">
        <v>59</v>
      </c>
      <c r="F800" t="str">
        <f t="shared" si="12"/>
        <v>49+ Months</v>
      </c>
      <c r="G800" t="s">
        <v>23</v>
      </c>
      <c r="H800" t="s">
        <v>18</v>
      </c>
      <c r="I800" t="s">
        <v>27</v>
      </c>
      <c r="J800" t="s">
        <v>20</v>
      </c>
      <c r="K800" t="s">
        <v>20</v>
      </c>
      <c r="L800">
        <v>4</v>
      </c>
      <c r="M800" s="7">
        <v>81.31</v>
      </c>
      <c r="N800" s="7">
        <v>4651.76</v>
      </c>
      <c r="O800" t="s">
        <v>20</v>
      </c>
    </row>
    <row r="801" spans="1:15" x14ac:dyDescent="0.3">
      <c r="A801" t="s">
        <v>826</v>
      </c>
      <c r="B801" t="s">
        <v>15</v>
      </c>
      <c r="C801">
        <v>64</v>
      </c>
      <c r="D801" t="s">
        <v>16</v>
      </c>
      <c r="E801">
        <v>62</v>
      </c>
      <c r="F801" t="str">
        <f t="shared" si="12"/>
        <v>49+ Months</v>
      </c>
      <c r="G801" t="s">
        <v>35</v>
      </c>
      <c r="H801" t="s">
        <v>36</v>
      </c>
      <c r="I801" t="s">
        <v>27</v>
      </c>
      <c r="J801" t="s">
        <v>20</v>
      </c>
      <c r="K801" t="s">
        <v>20</v>
      </c>
      <c r="L801">
        <v>5</v>
      </c>
      <c r="M801" s="7">
        <v>64.09</v>
      </c>
      <c r="N801" s="7">
        <v>4042.09</v>
      </c>
      <c r="O801" t="s">
        <v>20</v>
      </c>
    </row>
    <row r="802" spans="1:15" x14ac:dyDescent="0.3">
      <c r="A802" t="s">
        <v>827</v>
      </c>
      <c r="B802" t="s">
        <v>15</v>
      </c>
      <c r="C802">
        <v>39</v>
      </c>
      <c r="D802" t="s">
        <v>20</v>
      </c>
      <c r="E802">
        <v>11</v>
      </c>
      <c r="F802" t="str">
        <f t="shared" si="12"/>
        <v>7-12 Months</v>
      </c>
      <c r="G802" t="s">
        <v>35</v>
      </c>
      <c r="H802" t="s">
        <v>18</v>
      </c>
      <c r="I802" t="s">
        <v>27</v>
      </c>
      <c r="J802" t="s">
        <v>20</v>
      </c>
      <c r="K802" t="s">
        <v>20</v>
      </c>
      <c r="L802">
        <v>7</v>
      </c>
      <c r="M802" s="7">
        <v>95.6</v>
      </c>
      <c r="N802" s="7">
        <v>1029.06</v>
      </c>
      <c r="O802" t="s">
        <v>20</v>
      </c>
    </row>
    <row r="803" spans="1:15" x14ac:dyDescent="0.3">
      <c r="A803" t="s">
        <v>828</v>
      </c>
      <c r="B803" t="s">
        <v>22</v>
      </c>
      <c r="C803">
        <v>64</v>
      </c>
      <c r="D803" t="s">
        <v>16</v>
      </c>
      <c r="E803">
        <v>18</v>
      </c>
      <c r="F803" t="str">
        <f t="shared" si="12"/>
        <v>13-24 Months</v>
      </c>
      <c r="G803" t="s">
        <v>35</v>
      </c>
      <c r="H803" t="s">
        <v>18</v>
      </c>
      <c r="I803" t="s">
        <v>24</v>
      </c>
      <c r="J803" t="s">
        <v>20</v>
      </c>
      <c r="K803" t="s">
        <v>16</v>
      </c>
      <c r="L803">
        <v>3</v>
      </c>
      <c r="M803" s="7">
        <v>68.39</v>
      </c>
      <c r="N803" s="7">
        <v>1170.8699999999999</v>
      </c>
      <c r="O803" t="s">
        <v>20</v>
      </c>
    </row>
    <row r="804" spans="1:15" x14ac:dyDescent="0.3">
      <c r="A804" t="s">
        <v>829</v>
      </c>
      <c r="B804" t="s">
        <v>15</v>
      </c>
      <c r="C804">
        <v>51</v>
      </c>
      <c r="D804" t="s">
        <v>20</v>
      </c>
      <c r="E804">
        <v>19</v>
      </c>
      <c r="F804" t="str">
        <f t="shared" si="12"/>
        <v>13-24 Months</v>
      </c>
      <c r="G804" t="s">
        <v>17</v>
      </c>
      <c r="H804" t="s">
        <v>20</v>
      </c>
      <c r="I804" t="s">
        <v>24</v>
      </c>
      <c r="J804" t="s">
        <v>16</v>
      </c>
      <c r="K804" t="s">
        <v>20</v>
      </c>
      <c r="L804">
        <v>2</v>
      </c>
      <c r="M804" s="7">
        <v>32.76</v>
      </c>
      <c r="N804" s="7">
        <v>639.88</v>
      </c>
      <c r="O804" t="s">
        <v>20</v>
      </c>
    </row>
    <row r="805" spans="1:15" x14ac:dyDescent="0.3">
      <c r="A805" t="s">
        <v>830</v>
      </c>
      <c r="B805" t="s">
        <v>15</v>
      </c>
      <c r="C805">
        <v>18</v>
      </c>
      <c r="D805" t="s">
        <v>20</v>
      </c>
      <c r="E805">
        <v>55</v>
      </c>
      <c r="F805" t="str">
        <f t="shared" si="12"/>
        <v>49+ Months</v>
      </c>
      <c r="G805" t="s">
        <v>17</v>
      </c>
      <c r="H805" t="s">
        <v>18</v>
      </c>
      <c r="I805" t="s">
        <v>30</v>
      </c>
      <c r="J805" t="s">
        <v>16</v>
      </c>
      <c r="K805" t="s">
        <v>16</v>
      </c>
      <c r="L805">
        <v>4</v>
      </c>
      <c r="M805" s="7">
        <v>73.72</v>
      </c>
      <c r="N805" s="7">
        <v>3928.97</v>
      </c>
      <c r="O805" t="s">
        <v>20</v>
      </c>
    </row>
    <row r="806" spans="1:15" x14ac:dyDescent="0.3">
      <c r="A806" t="s">
        <v>831</v>
      </c>
      <c r="B806" t="s">
        <v>22</v>
      </c>
      <c r="C806">
        <v>72</v>
      </c>
      <c r="D806" t="s">
        <v>16</v>
      </c>
      <c r="E806">
        <v>26</v>
      </c>
      <c r="F806" t="str">
        <f t="shared" si="12"/>
        <v>25-48 Months</v>
      </c>
      <c r="G806" t="s">
        <v>23</v>
      </c>
      <c r="H806" t="s">
        <v>36</v>
      </c>
      <c r="I806" t="s">
        <v>24</v>
      </c>
      <c r="J806" t="s">
        <v>20</v>
      </c>
      <c r="K806" t="s">
        <v>20</v>
      </c>
      <c r="L806">
        <v>3</v>
      </c>
      <c r="M806" s="7">
        <v>57.32</v>
      </c>
      <c r="N806" s="7">
        <v>1583.08</v>
      </c>
      <c r="O806" t="s">
        <v>20</v>
      </c>
    </row>
    <row r="807" spans="1:15" x14ac:dyDescent="0.3">
      <c r="A807" t="s">
        <v>832</v>
      </c>
      <c r="B807" t="s">
        <v>22</v>
      </c>
      <c r="C807">
        <v>72</v>
      </c>
      <c r="D807" t="s">
        <v>16</v>
      </c>
      <c r="E807">
        <v>6</v>
      </c>
      <c r="F807" t="str">
        <f t="shared" si="12"/>
        <v>0-6 Months</v>
      </c>
      <c r="G807" t="s">
        <v>35</v>
      </c>
      <c r="H807" t="s">
        <v>18</v>
      </c>
      <c r="I807" t="s">
        <v>24</v>
      </c>
      <c r="J807" t="s">
        <v>20</v>
      </c>
      <c r="K807" t="s">
        <v>16</v>
      </c>
      <c r="L807">
        <v>2</v>
      </c>
      <c r="M807" s="7">
        <v>65.22</v>
      </c>
      <c r="N807" s="7">
        <v>372.49</v>
      </c>
      <c r="O807" t="s">
        <v>16</v>
      </c>
    </row>
    <row r="808" spans="1:15" x14ac:dyDescent="0.3">
      <c r="A808" t="s">
        <v>833</v>
      </c>
      <c r="B808" t="s">
        <v>22</v>
      </c>
      <c r="C808">
        <v>43</v>
      </c>
      <c r="D808" t="s">
        <v>20</v>
      </c>
      <c r="E808">
        <v>4</v>
      </c>
      <c r="F808" t="str">
        <f t="shared" si="12"/>
        <v>0-6 Months</v>
      </c>
      <c r="G808" t="s">
        <v>17</v>
      </c>
      <c r="H808" t="s">
        <v>36</v>
      </c>
      <c r="I808" t="s">
        <v>24</v>
      </c>
      <c r="J808" t="s">
        <v>16</v>
      </c>
      <c r="K808" t="s">
        <v>20</v>
      </c>
      <c r="L808">
        <v>2</v>
      </c>
      <c r="M808" s="7">
        <v>47.18</v>
      </c>
      <c r="N808" s="7">
        <v>191.74</v>
      </c>
      <c r="O808" t="s">
        <v>20</v>
      </c>
    </row>
    <row r="809" spans="1:15" x14ac:dyDescent="0.3">
      <c r="A809" t="s">
        <v>834</v>
      </c>
      <c r="B809" t="s">
        <v>15</v>
      </c>
      <c r="C809">
        <v>60</v>
      </c>
      <c r="D809" t="s">
        <v>16</v>
      </c>
      <c r="E809">
        <v>29</v>
      </c>
      <c r="F809" t="str">
        <f t="shared" si="12"/>
        <v>25-48 Months</v>
      </c>
      <c r="G809" t="s">
        <v>17</v>
      </c>
      <c r="H809" t="s">
        <v>20</v>
      </c>
      <c r="I809" t="s">
        <v>19</v>
      </c>
      <c r="J809" t="s">
        <v>20</v>
      </c>
      <c r="K809" t="s">
        <v>20</v>
      </c>
      <c r="L809">
        <v>2</v>
      </c>
      <c r="M809" s="7">
        <v>33.86</v>
      </c>
      <c r="N809" s="7">
        <v>993.18</v>
      </c>
      <c r="O809" t="s">
        <v>20</v>
      </c>
    </row>
    <row r="810" spans="1:15" x14ac:dyDescent="0.3">
      <c r="A810" t="s">
        <v>835</v>
      </c>
      <c r="B810" t="s">
        <v>22</v>
      </c>
      <c r="C810">
        <v>27</v>
      </c>
      <c r="D810" t="s">
        <v>20</v>
      </c>
      <c r="E810">
        <v>59</v>
      </c>
      <c r="F810" t="str">
        <f t="shared" si="12"/>
        <v>49+ Months</v>
      </c>
      <c r="G810" t="s">
        <v>17</v>
      </c>
      <c r="H810" t="s">
        <v>18</v>
      </c>
      <c r="I810" t="s">
        <v>30</v>
      </c>
      <c r="J810" t="s">
        <v>16</v>
      </c>
      <c r="K810" t="s">
        <v>20</v>
      </c>
      <c r="L810">
        <v>4</v>
      </c>
      <c r="M810" s="7">
        <v>72.42</v>
      </c>
      <c r="N810" s="7">
        <v>4066.14</v>
      </c>
      <c r="O810" t="s">
        <v>20</v>
      </c>
    </row>
    <row r="811" spans="1:15" x14ac:dyDescent="0.3">
      <c r="A811" t="s">
        <v>836</v>
      </c>
      <c r="B811" t="s">
        <v>15</v>
      </c>
      <c r="C811">
        <v>47</v>
      </c>
      <c r="D811" t="s">
        <v>20</v>
      </c>
      <c r="E811">
        <v>17</v>
      </c>
      <c r="F811" t="str">
        <f t="shared" si="12"/>
        <v>13-24 Months</v>
      </c>
      <c r="G811" t="s">
        <v>23</v>
      </c>
      <c r="H811" t="s">
        <v>20</v>
      </c>
      <c r="I811" t="s">
        <v>24</v>
      </c>
      <c r="J811" t="s">
        <v>16</v>
      </c>
      <c r="K811" t="s">
        <v>20</v>
      </c>
      <c r="L811">
        <v>6</v>
      </c>
      <c r="M811" s="7">
        <v>37.69</v>
      </c>
      <c r="N811" s="7">
        <v>634.57000000000005</v>
      </c>
      <c r="O811" t="s">
        <v>20</v>
      </c>
    </row>
    <row r="812" spans="1:15" x14ac:dyDescent="0.3">
      <c r="A812" t="s">
        <v>837</v>
      </c>
      <c r="B812" t="s">
        <v>15</v>
      </c>
      <c r="C812">
        <v>67</v>
      </c>
      <c r="D812" t="s">
        <v>16</v>
      </c>
      <c r="E812">
        <v>43</v>
      </c>
      <c r="F812" t="str">
        <f t="shared" si="12"/>
        <v>25-48 Months</v>
      </c>
      <c r="G812" t="s">
        <v>17</v>
      </c>
      <c r="H812" t="s">
        <v>36</v>
      </c>
      <c r="I812" t="s">
        <v>24</v>
      </c>
      <c r="J812" t="s">
        <v>20</v>
      </c>
      <c r="K812" t="s">
        <v>20</v>
      </c>
      <c r="L812">
        <v>3</v>
      </c>
      <c r="M812" s="7">
        <v>62.27</v>
      </c>
      <c r="N812" s="7">
        <v>2752.81</v>
      </c>
      <c r="O812" t="s">
        <v>16</v>
      </c>
    </row>
    <row r="813" spans="1:15" x14ac:dyDescent="0.3">
      <c r="A813" t="s">
        <v>838</v>
      </c>
      <c r="B813" t="s">
        <v>15</v>
      </c>
      <c r="C813">
        <v>35</v>
      </c>
      <c r="D813" t="s">
        <v>20</v>
      </c>
      <c r="E813">
        <v>66</v>
      </c>
      <c r="F813" t="str">
        <f t="shared" si="12"/>
        <v>49+ Months</v>
      </c>
      <c r="G813" t="s">
        <v>17</v>
      </c>
      <c r="H813" t="s">
        <v>36</v>
      </c>
      <c r="I813" t="s">
        <v>19</v>
      </c>
      <c r="J813" t="s">
        <v>20</v>
      </c>
      <c r="K813" t="s">
        <v>20</v>
      </c>
      <c r="L813">
        <v>1</v>
      </c>
      <c r="M813" s="7">
        <v>42.5</v>
      </c>
      <c r="N813" s="7">
        <v>2723.56</v>
      </c>
      <c r="O813" t="s">
        <v>20</v>
      </c>
    </row>
    <row r="814" spans="1:15" x14ac:dyDescent="0.3">
      <c r="A814" t="s">
        <v>839</v>
      </c>
      <c r="B814" t="s">
        <v>15</v>
      </c>
      <c r="C814">
        <v>34</v>
      </c>
      <c r="D814" t="s">
        <v>20</v>
      </c>
      <c r="E814">
        <v>34</v>
      </c>
      <c r="F814" t="str">
        <f t="shared" si="12"/>
        <v>25-48 Months</v>
      </c>
      <c r="G814" t="s">
        <v>17</v>
      </c>
      <c r="H814" t="s">
        <v>36</v>
      </c>
      <c r="I814" t="s">
        <v>30</v>
      </c>
      <c r="J814" t="s">
        <v>20</v>
      </c>
      <c r="K814" t="s">
        <v>16</v>
      </c>
      <c r="L814">
        <v>3</v>
      </c>
      <c r="M814" s="7">
        <v>45.2</v>
      </c>
      <c r="N814" s="7">
        <v>1441.85</v>
      </c>
      <c r="O814" t="s">
        <v>16</v>
      </c>
    </row>
    <row r="815" spans="1:15" x14ac:dyDescent="0.3">
      <c r="A815" t="s">
        <v>840</v>
      </c>
      <c r="B815" t="s">
        <v>22</v>
      </c>
      <c r="C815">
        <v>43</v>
      </c>
      <c r="D815" t="s">
        <v>20</v>
      </c>
      <c r="E815">
        <v>8</v>
      </c>
      <c r="F815" t="str">
        <f t="shared" si="12"/>
        <v>7-12 Months</v>
      </c>
      <c r="G815" t="s">
        <v>17</v>
      </c>
      <c r="H815" t="s">
        <v>20</v>
      </c>
      <c r="I815" t="s">
        <v>24</v>
      </c>
      <c r="J815" t="s">
        <v>20</v>
      </c>
      <c r="K815" t="s">
        <v>20</v>
      </c>
      <c r="L815">
        <v>3</v>
      </c>
      <c r="M815" s="7">
        <v>29.24</v>
      </c>
      <c r="N815" s="7">
        <v>238.23</v>
      </c>
      <c r="O815" t="s">
        <v>16</v>
      </c>
    </row>
    <row r="816" spans="1:15" x14ac:dyDescent="0.3">
      <c r="A816" t="s">
        <v>841</v>
      </c>
      <c r="B816" t="s">
        <v>22</v>
      </c>
      <c r="C816">
        <v>25</v>
      </c>
      <c r="D816" t="s">
        <v>20</v>
      </c>
      <c r="E816">
        <v>13</v>
      </c>
      <c r="F816" t="str">
        <f t="shared" si="12"/>
        <v>13-24 Months</v>
      </c>
      <c r="G816" t="s">
        <v>35</v>
      </c>
      <c r="H816" t="s">
        <v>18</v>
      </c>
      <c r="I816" t="s">
        <v>19</v>
      </c>
      <c r="J816" t="s">
        <v>20</v>
      </c>
      <c r="K816" t="s">
        <v>16</v>
      </c>
      <c r="L816">
        <v>3</v>
      </c>
      <c r="M816" s="7">
        <v>74.3</v>
      </c>
      <c r="N816" s="7">
        <v>923.26</v>
      </c>
      <c r="O816" t="s">
        <v>20</v>
      </c>
    </row>
    <row r="817" spans="1:15" x14ac:dyDescent="0.3">
      <c r="A817" t="s">
        <v>842</v>
      </c>
      <c r="B817" t="s">
        <v>15</v>
      </c>
      <c r="C817">
        <v>64</v>
      </c>
      <c r="D817" t="s">
        <v>16</v>
      </c>
      <c r="E817">
        <v>8</v>
      </c>
      <c r="F817" t="str">
        <f t="shared" si="12"/>
        <v>7-12 Months</v>
      </c>
      <c r="G817" t="s">
        <v>17</v>
      </c>
      <c r="H817" t="s">
        <v>18</v>
      </c>
      <c r="I817" t="s">
        <v>27</v>
      </c>
      <c r="J817" t="s">
        <v>20</v>
      </c>
      <c r="K817" t="s">
        <v>16</v>
      </c>
      <c r="L817">
        <v>3</v>
      </c>
      <c r="M817" s="7">
        <v>86.04</v>
      </c>
      <c r="N817" s="7">
        <v>708.31</v>
      </c>
      <c r="O817" t="s">
        <v>16</v>
      </c>
    </row>
    <row r="818" spans="1:15" x14ac:dyDescent="0.3">
      <c r="A818" t="s">
        <v>843</v>
      </c>
      <c r="B818" t="s">
        <v>15</v>
      </c>
      <c r="C818">
        <v>57</v>
      </c>
      <c r="D818" t="s">
        <v>20</v>
      </c>
      <c r="E818">
        <v>65</v>
      </c>
      <c r="F818" t="str">
        <f t="shared" si="12"/>
        <v>49+ Months</v>
      </c>
      <c r="G818" t="s">
        <v>23</v>
      </c>
      <c r="H818" t="s">
        <v>20</v>
      </c>
      <c r="I818" t="s">
        <v>27</v>
      </c>
      <c r="J818" t="s">
        <v>16</v>
      </c>
      <c r="K818" t="s">
        <v>16</v>
      </c>
      <c r="L818">
        <v>7</v>
      </c>
      <c r="M818" s="7">
        <v>52.02</v>
      </c>
      <c r="N818" s="7">
        <v>3564.95</v>
      </c>
      <c r="O818" t="s">
        <v>20</v>
      </c>
    </row>
    <row r="819" spans="1:15" x14ac:dyDescent="0.3">
      <c r="A819" t="s">
        <v>844</v>
      </c>
      <c r="B819" t="s">
        <v>15</v>
      </c>
      <c r="C819">
        <v>66</v>
      </c>
      <c r="D819" t="s">
        <v>16</v>
      </c>
      <c r="E819">
        <v>43</v>
      </c>
      <c r="F819" t="str">
        <f t="shared" si="12"/>
        <v>25-48 Months</v>
      </c>
      <c r="G819" t="s">
        <v>23</v>
      </c>
      <c r="H819" t="s">
        <v>36</v>
      </c>
      <c r="I819" t="s">
        <v>27</v>
      </c>
      <c r="J819" t="s">
        <v>20</v>
      </c>
      <c r="K819" t="s">
        <v>20</v>
      </c>
      <c r="L819">
        <v>1</v>
      </c>
      <c r="M819" s="7">
        <v>51.08</v>
      </c>
      <c r="N819" s="7">
        <v>2064.08</v>
      </c>
      <c r="O819" t="s">
        <v>20</v>
      </c>
    </row>
    <row r="820" spans="1:15" x14ac:dyDescent="0.3">
      <c r="A820" t="s">
        <v>845</v>
      </c>
      <c r="B820" t="s">
        <v>22</v>
      </c>
      <c r="C820">
        <v>29</v>
      </c>
      <c r="D820" t="s">
        <v>20</v>
      </c>
      <c r="E820">
        <v>39</v>
      </c>
      <c r="F820" t="str">
        <f t="shared" si="12"/>
        <v>25-48 Months</v>
      </c>
      <c r="G820" t="s">
        <v>35</v>
      </c>
      <c r="H820" t="s">
        <v>18</v>
      </c>
      <c r="I820" t="s">
        <v>27</v>
      </c>
      <c r="J820" t="s">
        <v>16</v>
      </c>
      <c r="K820" t="s">
        <v>20</v>
      </c>
      <c r="L820">
        <v>2</v>
      </c>
      <c r="M820" s="7">
        <v>68.31</v>
      </c>
      <c r="N820" s="7">
        <v>2637.5</v>
      </c>
      <c r="O820" t="s">
        <v>20</v>
      </c>
    </row>
    <row r="821" spans="1:15" x14ac:dyDescent="0.3">
      <c r="A821" t="s">
        <v>846</v>
      </c>
      <c r="B821" t="s">
        <v>15</v>
      </c>
      <c r="C821">
        <v>44</v>
      </c>
      <c r="D821" t="s">
        <v>20</v>
      </c>
      <c r="E821">
        <v>59</v>
      </c>
      <c r="F821" t="str">
        <f t="shared" si="12"/>
        <v>49+ Months</v>
      </c>
      <c r="G821" t="s">
        <v>17</v>
      </c>
      <c r="H821" t="s">
        <v>36</v>
      </c>
      <c r="I821" t="s">
        <v>19</v>
      </c>
      <c r="J821" t="s">
        <v>20</v>
      </c>
      <c r="K821" t="s">
        <v>16</v>
      </c>
      <c r="L821">
        <v>5</v>
      </c>
      <c r="M821" s="7">
        <v>64.3</v>
      </c>
      <c r="N821" s="7">
        <v>3760.27</v>
      </c>
      <c r="O821" t="s">
        <v>20</v>
      </c>
    </row>
    <row r="822" spans="1:15" x14ac:dyDescent="0.3">
      <c r="A822" t="s">
        <v>847</v>
      </c>
      <c r="B822" t="s">
        <v>15</v>
      </c>
      <c r="C822">
        <v>25</v>
      </c>
      <c r="D822" t="s">
        <v>20</v>
      </c>
      <c r="E822">
        <v>44</v>
      </c>
      <c r="F822" t="str">
        <f t="shared" si="12"/>
        <v>25-48 Months</v>
      </c>
      <c r="G822" t="s">
        <v>35</v>
      </c>
      <c r="H822" t="s">
        <v>36</v>
      </c>
      <c r="I822" t="s">
        <v>30</v>
      </c>
      <c r="J822" t="s">
        <v>16</v>
      </c>
      <c r="K822" t="s">
        <v>20</v>
      </c>
      <c r="L822">
        <v>4</v>
      </c>
      <c r="M822" s="7">
        <v>57.55</v>
      </c>
      <c r="N822" s="7">
        <v>2585.9</v>
      </c>
      <c r="O822" t="s">
        <v>20</v>
      </c>
    </row>
    <row r="823" spans="1:15" x14ac:dyDescent="0.3">
      <c r="A823" t="s">
        <v>848</v>
      </c>
      <c r="B823" t="s">
        <v>22</v>
      </c>
      <c r="C823">
        <v>42</v>
      </c>
      <c r="D823" t="s">
        <v>20</v>
      </c>
      <c r="E823">
        <v>9</v>
      </c>
      <c r="F823" t="str">
        <f t="shared" si="12"/>
        <v>7-12 Months</v>
      </c>
      <c r="G823" t="s">
        <v>23</v>
      </c>
      <c r="H823" t="s">
        <v>18</v>
      </c>
      <c r="I823" t="s">
        <v>19</v>
      </c>
      <c r="J823" t="s">
        <v>20</v>
      </c>
      <c r="K823" t="s">
        <v>20</v>
      </c>
      <c r="L823">
        <v>5</v>
      </c>
      <c r="M823" s="7">
        <v>86.99</v>
      </c>
      <c r="N823" s="7">
        <v>762.17</v>
      </c>
      <c r="O823" t="s">
        <v>20</v>
      </c>
    </row>
    <row r="824" spans="1:15" x14ac:dyDescent="0.3">
      <c r="A824" t="s">
        <v>849</v>
      </c>
      <c r="B824" t="s">
        <v>22</v>
      </c>
      <c r="C824">
        <v>63</v>
      </c>
      <c r="D824" t="s">
        <v>16</v>
      </c>
      <c r="E824">
        <v>37</v>
      </c>
      <c r="F824" t="str">
        <f t="shared" si="12"/>
        <v>25-48 Months</v>
      </c>
      <c r="G824" t="s">
        <v>35</v>
      </c>
      <c r="H824" t="s">
        <v>18</v>
      </c>
      <c r="I824" t="s">
        <v>30</v>
      </c>
      <c r="J824" t="s">
        <v>16</v>
      </c>
      <c r="K824" t="s">
        <v>20</v>
      </c>
      <c r="L824">
        <v>2</v>
      </c>
      <c r="M824" s="7">
        <v>63.07</v>
      </c>
      <c r="N824" s="7">
        <v>2303.19</v>
      </c>
      <c r="O824" t="s">
        <v>20</v>
      </c>
    </row>
    <row r="825" spans="1:15" x14ac:dyDescent="0.3">
      <c r="A825" t="s">
        <v>850</v>
      </c>
      <c r="B825" t="s">
        <v>15</v>
      </c>
      <c r="C825">
        <v>21</v>
      </c>
      <c r="D825" t="s">
        <v>20</v>
      </c>
      <c r="E825">
        <v>36</v>
      </c>
      <c r="F825" t="str">
        <f t="shared" si="12"/>
        <v>25-48 Months</v>
      </c>
      <c r="G825" t="s">
        <v>35</v>
      </c>
      <c r="H825" t="s">
        <v>36</v>
      </c>
      <c r="I825" t="s">
        <v>24</v>
      </c>
      <c r="J825" t="s">
        <v>20</v>
      </c>
      <c r="K825" t="s">
        <v>20</v>
      </c>
      <c r="L825">
        <v>4</v>
      </c>
      <c r="M825" s="7">
        <v>59.53</v>
      </c>
      <c r="N825" s="7">
        <v>1975.75</v>
      </c>
      <c r="O825" t="s">
        <v>20</v>
      </c>
    </row>
    <row r="826" spans="1:15" x14ac:dyDescent="0.3">
      <c r="A826" t="s">
        <v>851</v>
      </c>
      <c r="B826" t="s">
        <v>22</v>
      </c>
      <c r="C826">
        <v>50</v>
      </c>
      <c r="D826" t="s">
        <v>20</v>
      </c>
      <c r="E826">
        <v>28</v>
      </c>
      <c r="F826" t="str">
        <f t="shared" si="12"/>
        <v>25-48 Months</v>
      </c>
      <c r="G826" t="s">
        <v>17</v>
      </c>
      <c r="H826" t="s">
        <v>18</v>
      </c>
      <c r="I826" t="s">
        <v>30</v>
      </c>
      <c r="J826" t="s">
        <v>20</v>
      </c>
      <c r="K826" t="s">
        <v>16</v>
      </c>
      <c r="L826">
        <v>6</v>
      </c>
      <c r="M826" s="7">
        <v>88.08</v>
      </c>
      <c r="N826" s="7">
        <v>2317.25</v>
      </c>
      <c r="O826" t="s">
        <v>20</v>
      </c>
    </row>
    <row r="827" spans="1:15" x14ac:dyDescent="0.3">
      <c r="A827" t="s">
        <v>852</v>
      </c>
      <c r="B827" t="s">
        <v>22</v>
      </c>
      <c r="C827">
        <v>18</v>
      </c>
      <c r="D827" t="s">
        <v>20</v>
      </c>
      <c r="E827">
        <v>42</v>
      </c>
      <c r="F827" t="str">
        <f t="shared" si="12"/>
        <v>25-48 Months</v>
      </c>
      <c r="G827" t="s">
        <v>17</v>
      </c>
      <c r="H827" t="s">
        <v>36</v>
      </c>
      <c r="I827" t="s">
        <v>30</v>
      </c>
      <c r="J827" t="s">
        <v>20</v>
      </c>
      <c r="K827" t="s">
        <v>20</v>
      </c>
      <c r="L827">
        <v>4</v>
      </c>
      <c r="M827" s="7">
        <v>61.77</v>
      </c>
      <c r="N827" s="7">
        <v>2623.34</v>
      </c>
      <c r="O827" t="s">
        <v>20</v>
      </c>
    </row>
    <row r="828" spans="1:15" x14ac:dyDescent="0.3">
      <c r="A828" t="s">
        <v>853</v>
      </c>
      <c r="B828" t="s">
        <v>15</v>
      </c>
      <c r="C828">
        <v>36</v>
      </c>
      <c r="D828" t="s">
        <v>20</v>
      </c>
      <c r="E828">
        <v>43</v>
      </c>
      <c r="F828" t="str">
        <f t="shared" si="12"/>
        <v>25-48 Months</v>
      </c>
      <c r="G828" t="s">
        <v>17</v>
      </c>
      <c r="H828" t="s">
        <v>20</v>
      </c>
      <c r="I828" t="s">
        <v>24</v>
      </c>
      <c r="J828" t="s">
        <v>16</v>
      </c>
      <c r="K828" t="s">
        <v>16</v>
      </c>
      <c r="L828">
        <v>3</v>
      </c>
      <c r="M828" s="7">
        <v>27.58</v>
      </c>
      <c r="N828" s="7">
        <v>1132.03</v>
      </c>
      <c r="O828" t="s">
        <v>20</v>
      </c>
    </row>
    <row r="829" spans="1:15" x14ac:dyDescent="0.3">
      <c r="A829" t="s">
        <v>854</v>
      </c>
      <c r="B829" t="s">
        <v>22</v>
      </c>
      <c r="C829">
        <v>48</v>
      </c>
      <c r="D829" t="s">
        <v>20</v>
      </c>
      <c r="E829">
        <v>42</v>
      </c>
      <c r="F829" t="str">
        <f t="shared" si="12"/>
        <v>25-48 Months</v>
      </c>
      <c r="G829" t="s">
        <v>17</v>
      </c>
      <c r="H829" t="s">
        <v>18</v>
      </c>
      <c r="I829" t="s">
        <v>27</v>
      </c>
      <c r="J829" t="s">
        <v>16</v>
      </c>
      <c r="K829" t="s">
        <v>20</v>
      </c>
      <c r="L829">
        <v>4</v>
      </c>
      <c r="M829" s="7">
        <v>75.67</v>
      </c>
      <c r="N829" s="7">
        <v>2997.41</v>
      </c>
      <c r="O829" t="s">
        <v>16</v>
      </c>
    </row>
    <row r="830" spans="1:15" x14ac:dyDescent="0.3">
      <c r="A830" t="s">
        <v>855</v>
      </c>
      <c r="B830" t="s">
        <v>15</v>
      </c>
      <c r="C830">
        <v>33</v>
      </c>
      <c r="D830" t="s">
        <v>20</v>
      </c>
      <c r="E830">
        <v>66</v>
      </c>
      <c r="F830" t="str">
        <f t="shared" si="12"/>
        <v>49+ Months</v>
      </c>
      <c r="G830" t="s">
        <v>17</v>
      </c>
      <c r="H830" t="s">
        <v>18</v>
      </c>
      <c r="I830" t="s">
        <v>24</v>
      </c>
      <c r="J830" t="s">
        <v>16</v>
      </c>
      <c r="K830" t="s">
        <v>20</v>
      </c>
      <c r="L830">
        <v>5</v>
      </c>
      <c r="M830" s="7">
        <v>87.21</v>
      </c>
      <c r="N830" s="7">
        <v>5594.16</v>
      </c>
      <c r="O830" t="s">
        <v>16</v>
      </c>
    </row>
    <row r="831" spans="1:15" x14ac:dyDescent="0.3">
      <c r="A831" t="s">
        <v>856</v>
      </c>
      <c r="B831" t="s">
        <v>22</v>
      </c>
      <c r="C831">
        <v>31</v>
      </c>
      <c r="D831" t="s">
        <v>20</v>
      </c>
      <c r="E831">
        <v>55</v>
      </c>
      <c r="F831" t="str">
        <f t="shared" si="12"/>
        <v>49+ Months</v>
      </c>
      <c r="G831" t="s">
        <v>17</v>
      </c>
      <c r="H831" t="s">
        <v>18</v>
      </c>
      <c r="I831" t="s">
        <v>24</v>
      </c>
      <c r="J831" t="s">
        <v>20</v>
      </c>
      <c r="K831" t="s">
        <v>20</v>
      </c>
      <c r="L831">
        <v>3</v>
      </c>
      <c r="M831" s="7">
        <v>76.58</v>
      </c>
      <c r="N831" s="7">
        <v>3985.16</v>
      </c>
      <c r="O831" t="s">
        <v>20</v>
      </c>
    </row>
    <row r="832" spans="1:15" x14ac:dyDescent="0.3">
      <c r="A832" t="s">
        <v>857</v>
      </c>
      <c r="B832" t="s">
        <v>15</v>
      </c>
      <c r="C832">
        <v>70</v>
      </c>
      <c r="D832" t="s">
        <v>16</v>
      </c>
      <c r="E832">
        <v>72</v>
      </c>
      <c r="F832" t="str">
        <f t="shared" si="12"/>
        <v>49+ Months</v>
      </c>
      <c r="G832" t="s">
        <v>17</v>
      </c>
      <c r="H832" t="s">
        <v>36</v>
      </c>
      <c r="I832" t="s">
        <v>24</v>
      </c>
      <c r="J832" t="s">
        <v>20</v>
      </c>
      <c r="K832" t="s">
        <v>16</v>
      </c>
      <c r="L832">
        <v>4</v>
      </c>
      <c r="M832" s="7">
        <v>71.14</v>
      </c>
      <c r="N832" s="7">
        <v>4761.18</v>
      </c>
      <c r="O832" t="s">
        <v>16</v>
      </c>
    </row>
    <row r="833" spans="1:15" x14ac:dyDescent="0.3">
      <c r="A833" t="s">
        <v>858</v>
      </c>
      <c r="B833" t="s">
        <v>15</v>
      </c>
      <c r="C833">
        <v>65</v>
      </c>
      <c r="D833" t="s">
        <v>16</v>
      </c>
      <c r="E833">
        <v>48</v>
      </c>
      <c r="F833" t="str">
        <f t="shared" si="12"/>
        <v>25-48 Months</v>
      </c>
      <c r="G833" t="s">
        <v>17</v>
      </c>
      <c r="H833" t="s">
        <v>36</v>
      </c>
      <c r="I833" t="s">
        <v>19</v>
      </c>
      <c r="J833" t="s">
        <v>16</v>
      </c>
      <c r="K833" t="s">
        <v>16</v>
      </c>
      <c r="L833">
        <v>5</v>
      </c>
      <c r="M833" s="7">
        <v>59.29</v>
      </c>
      <c r="N833" s="7">
        <v>2747.5</v>
      </c>
      <c r="O833" t="s">
        <v>20</v>
      </c>
    </row>
    <row r="834" spans="1:15" x14ac:dyDescent="0.3">
      <c r="A834" t="s">
        <v>859</v>
      </c>
      <c r="B834" t="s">
        <v>15</v>
      </c>
      <c r="C834">
        <v>22</v>
      </c>
      <c r="D834" t="s">
        <v>20</v>
      </c>
      <c r="E834">
        <v>22</v>
      </c>
      <c r="F834" t="str">
        <f t="shared" ref="F834:F897" si="13">IF(E834&lt;=6,"0-6 Months",
 IF(E834&lt;=12,"7-12 Months",
 IF(E834&lt;=24,"13-24 Months",
 IF(E834&lt;=48,"25-48 Months","49+ Months"))))</f>
        <v>13-24 Months</v>
      </c>
      <c r="G834" t="s">
        <v>17</v>
      </c>
      <c r="H834" t="s">
        <v>18</v>
      </c>
      <c r="I834" t="s">
        <v>24</v>
      </c>
      <c r="J834" t="s">
        <v>16</v>
      </c>
      <c r="K834" t="s">
        <v>16</v>
      </c>
      <c r="L834">
        <v>4</v>
      </c>
      <c r="M834" s="7">
        <v>65.09</v>
      </c>
      <c r="N834" s="7">
        <v>1355.08</v>
      </c>
      <c r="O834" t="s">
        <v>20</v>
      </c>
    </row>
    <row r="835" spans="1:15" x14ac:dyDescent="0.3">
      <c r="A835" t="s">
        <v>860</v>
      </c>
      <c r="B835" t="s">
        <v>22</v>
      </c>
      <c r="C835">
        <v>58</v>
      </c>
      <c r="D835" t="s">
        <v>20</v>
      </c>
      <c r="E835">
        <v>27</v>
      </c>
      <c r="F835" t="str">
        <f t="shared" si="13"/>
        <v>25-48 Months</v>
      </c>
      <c r="G835" t="s">
        <v>17</v>
      </c>
      <c r="H835" t="s">
        <v>36</v>
      </c>
      <c r="I835" t="s">
        <v>27</v>
      </c>
      <c r="J835" t="s">
        <v>20</v>
      </c>
      <c r="K835" t="s">
        <v>20</v>
      </c>
      <c r="L835">
        <v>1</v>
      </c>
      <c r="M835" s="7">
        <v>43.74</v>
      </c>
      <c r="N835" s="7">
        <v>1237.55</v>
      </c>
      <c r="O835" t="s">
        <v>20</v>
      </c>
    </row>
    <row r="836" spans="1:15" x14ac:dyDescent="0.3">
      <c r="A836" t="s">
        <v>861</v>
      </c>
      <c r="B836" t="s">
        <v>15</v>
      </c>
      <c r="C836">
        <v>43</v>
      </c>
      <c r="D836" t="s">
        <v>20</v>
      </c>
      <c r="E836">
        <v>67</v>
      </c>
      <c r="F836" t="str">
        <f t="shared" si="13"/>
        <v>49+ Months</v>
      </c>
      <c r="G836" t="s">
        <v>17</v>
      </c>
      <c r="H836" t="s">
        <v>18</v>
      </c>
      <c r="I836" t="s">
        <v>19</v>
      </c>
      <c r="J836" t="s">
        <v>16</v>
      </c>
      <c r="K836" t="s">
        <v>16</v>
      </c>
      <c r="L836">
        <v>3</v>
      </c>
      <c r="M836" s="7">
        <v>56.37</v>
      </c>
      <c r="N836" s="7">
        <v>3512.51</v>
      </c>
      <c r="O836" t="s">
        <v>20</v>
      </c>
    </row>
    <row r="837" spans="1:15" x14ac:dyDescent="0.3">
      <c r="A837" t="s">
        <v>862</v>
      </c>
      <c r="B837" t="s">
        <v>22</v>
      </c>
      <c r="C837">
        <v>45</v>
      </c>
      <c r="D837" t="s">
        <v>20</v>
      </c>
      <c r="E837">
        <v>13</v>
      </c>
      <c r="F837" t="str">
        <f t="shared" si="13"/>
        <v>13-24 Months</v>
      </c>
      <c r="G837" t="s">
        <v>17</v>
      </c>
      <c r="H837" t="s">
        <v>18</v>
      </c>
      <c r="I837" t="s">
        <v>19</v>
      </c>
      <c r="J837" t="s">
        <v>16</v>
      </c>
      <c r="K837" t="s">
        <v>20</v>
      </c>
      <c r="L837">
        <v>5</v>
      </c>
      <c r="M837" s="7">
        <v>87.92</v>
      </c>
      <c r="N837" s="7">
        <v>1188.21</v>
      </c>
      <c r="O837" t="s">
        <v>20</v>
      </c>
    </row>
    <row r="838" spans="1:15" x14ac:dyDescent="0.3">
      <c r="A838" t="s">
        <v>863</v>
      </c>
      <c r="B838" t="s">
        <v>15</v>
      </c>
      <c r="C838">
        <v>19</v>
      </c>
      <c r="D838" t="s">
        <v>20</v>
      </c>
      <c r="E838">
        <v>45</v>
      </c>
      <c r="F838" t="str">
        <f t="shared" si="13"/>
        <v>25-48 Months</v>
      </c>
      <c r="G838" t="s">
        <v>17</v>
      </c>
      <c r="H838" t="s">
        <v>18</v>
      </c>
      <c r="I838" t="s">
        <v>19</v>
      </c>
      <c r="J838" t="s">
        <v>16</v>
      </c>
      <c r="K838" t="s">
        <v>16</v>
      </c>
      <c r="L838">
        <v>2</v>
      </c>
      <c r="M838" s="7">
        <v>70.98</v>
      </c>
      <c r="N838" s="7">
        <v>3134.2</v>
      </c>
      <c r="O838" t="s">
        <v>20</v>
      </c>
    </row>
    <row r="839" spans="1:15" x14ac:dyDescent="0.3">
      <c r="A839" t="s">
        <v>864</v>
      </c>
      <c r="B839" t="s">
        <v>15</v>
      </c>
      <c r="C839">
        <v>67</v>
      </c>
      <c r="D839" t="s">
        <v>16</v>
      </c>
      <c r="E839">
        <v>10</v>
      </c>
      <c r="F839" t="str">
        <f t="shared" si="13"/>
        <v>7-12 Months</v>
      </c>
      <c r="G839" t="s">
        <v>17</v>
      </c>
      <c r="H839" t="s">
        <v>18</v>
      </c>
      <c r="I839" t="s">
        <v>30</v>
      </c>
      <c r="J839" t="s">
        <v>16</v>
      </c>
      <c r="K839" t="s">
        <v>20</v>
      </c>
      <c r="L839">
        <v>7</v>
      </c>
      <c r="M839" s="7">
        <v>93.79</v>
      </c>
      <c r="N839" s="7">
        <v>964.21</v>
      </c>
      <c r="O839" t="s">
        <v>16</v>
      </c>
    </row>
    <row r="840" spans="1:15" x14ac:dyDescent="0.3">
      <c r="A840" t="s">
        <v>865</v>
      </c>
      <c r="B840" t="s">
        <v>22</v>
      </c>
      <c r="C840">
        <v>23</v>
      </c>
      <c r="D840" t="s">
        <v>20</v>
      </c>
      <c r="E840">
        <v>9</v>
      </c>
      <c r="F840" t="str">
        <f t="shared" si="13"/>
        <v>7-12 Months</v>
      </c>
      <c r="G840" t="s">
        <v>35</v>
      </c>
      <c r="H840" t="s">
        <v>18</v>
      </c>
      <c r="I840" t="s">
        <v>27</v>
      </c>
      <c r="J840" t="s">
        <v>16</v>
      </c>
      <c r="K840" t="s">
        <v>16</v>
      </c>
      <c r="L840">
        <v>4</v>
      </c>
      <c r="M840" s="7">
        <v>82.9</v>
      </c>
      <c r="N840" s="7">
        <v>692.7</v>
      </c>
      <c r="O840" t="s">
        <v>20</v>
      </c>
    </row>
    <row r="841" spans="1:15" x14ac:dyDescent="0.3">
      <c r="A841" t="s">
        <v>866</v>
      </c>
      <c r="B841" t="s">
        <v>15</v>
      </c>
      <c r="C841">
        <v>26</v>
      </c>
      <c r="D841" t="s">
        <v>20</v>
      </c>
      <c r="E841">
        <v>54</v>
      </c>
      <c r="F841" t="str">
        <f t="shared" si="13"/>
        <v>49+ Months</v>
      </c>
      <c r="G841" t="s">
        <v>17</v>
      </c>
      <c r="H841" t="s">
        <v>18</v>
      </c>
      <c r="I841" t="s">
        <v>30</v>
      </c>
      <c r="J841" t="s">
        <v>16</v>
      </c>
      <c r="K841" t="s">
        <v>16</v>
      </c>
      <c r="L841">
        <v>3</v>
      </c>
      <c r="M841" s="7">
        <v>82.28</v>
      </c>
      <c r="N841" s="7">
        <v>4742.2</v>
      </c>
      <c r="O841" t="s">
        <v>20</v>
      </c>
    </row>
    <row r="842" spans="1:15" x14ac:dyDescent="0.3">
      <c r="A842" t="s">
        <v>867</v>
      </c>
      <c r="B842" t="s">
        <v>15</v>
      </c>
      <c r="C842">
        <v>50</v>
      </c>
      <c r="D842" t="s">
        <v>20</v>
      </c>
      <c r="E842">
        <v>27</v>
      </c>
      <c r="F842" t="str">
        <f t="shared" si="13"/>
        <v>25-48 Months</v>
      </c>
      <c r="G842" t="s">
        <v>17</v>
      </c>
      <c r="H842" t="s">
        <v>20</v>
      </c>
      <c r="I842" t="s">
        <v>30</v>
      </c>
      <c r="J842" t="s">
        <v>20</v>
      </c>
      <c r="K842" t="s">
        <v>20</v>
      </c>
      <c r="L842">
        <v>5</v>
      </c>
      <c r="M842" s="7">
        <v>26.86</v>
      </c>
      <c r="N842" s="7">
        <v>756.24</v>
      </c>
      <c r="O842" t="s">
        <v>20</v>
      </c>
    </row>
    <row r="843" spans="1:15" x14ac:dyDescent="0.3">
      <c r="A843" t="s">
        <v>868</v>
      </c>
      <c r="B843" t="s">
        <v>22</v>
      </c>
      <c r="C843">
        <v>58</v>
      </c>
      <c r="D843" t="s">
        <v>20</v>
      </c>
      <c r="E843">
        <v>34</v>
      </c>
      <c r="F843" t="str">
        <f t="shared" si="13"/>
        <v>25-48 Months</v>
      </c>
      <c r="G843" t="s">
        <v>17</v>
      </c>
      <c r="H843" t="s">
        <v>36</v>
      </c>
      <c r="I843" t="s">
        <v>27</v>
      </c>
      <c r="J843" t="s">
        <v>20</v>
      </c>
      <c r="K843" t="s">
        <v>20</v>
      </c>
      <c r="L843">
        <v>4</v>
      </c>
      <c r="M843" s="7">
        <v>44.71</v>
      </c>
      <c r="N843" s="7">
        <v>1432.61</v>
      </c>
      <c r="O843" t="s">
        <v>20</v>
      </c>
    </row>
    <row r="844" spans="1:15" x14ac:dyDescent="0.3">
      <c r="A844" t="s">
        <v>869</v>
      </c>
      <c r="B844" t="s">
        <v>15</v>
      </c>
      <c r="C844">
        <v>42</v>
      </c>
      <c r="D844" t="s">
        <v>20</v>
      </c>
      <c r="E844">
        <v>1</v>
      </c>
      <c r="F844" t="str">
        <f t="shared" si="13"/>
        <v>0-6 Months</v>
      </c>
      <c r="G844" t="s">
        <v>35</v>
      </c>
      <c r="H844" t="s">
        <v>18</v>
      </c>
      <c r="I844" t="s">
        <v>27</v>
      </c>
      <c r="J844" t="s">
        <v>20</v>
      </c>
      <c r="K844" t="s">
        <v>20</v>
      </c>
      <c r="L844">
        <v>4</v>
      </c>
      <c r="M844" s="7">
        <v>73.709999999999994</v>
      </c>
      <c r="N844" s="7">
        <v>70.39</v>
      </c>
      <c r="O844" t="s">
        <v>16</v>
      </c>
    </row>
    <row r="845" spans="1:15" x14ac:dyDescent="0.3">
      <c r="A845" t="s">
        <v>870</v>
      </c>
      <c r="B845" t="s">
        <v>15</v>
      </c>
      <c r="C845">
        <v>65</v>
      </c>
      <c r="D845" t="s">
        <v>16</v>
      </c>
      <c r="E845">
        <v>32</v>
      </c>
      <c r="F845" t="str">
        <f t="shared" si="13"/>
        <v>25-48 Months</v>
      </c>
      <c r="G845" t="s">
        <v>35</v>
      </c>
      <c r="H845" t="s">
        <v>18</v>
      </c>
      <c r="I845" t="s">
        <v>30</v>
      </c>
      <c r="J845" t="s">
        <v>20</v>
      </c>
      <c r="K845" t="s">
        <v>16</v>
      </c>
      <c r="L845">
        <v>3</v>
      </c>
      <c r="M845" s="7">
        <v>72.87</v>
      </c>
      <c r="N845" s="7">
        <v>2385.56</v>
      </c>
      <c r="O845" t="s">
        <v>20</v>
      </c>
    </row>
    <row r="846" spans="1:15" x14ac:dyDescent="0.3">
      <c r="A846" t="s">
        <v>871</v>
      </c>
      <c r="B846" t="s">
        <v>15</v>
      </c>
      <c r="C846">
        <v>30</v>
      </c>
      <c r="D846" t="s">
        <v>20</v>
      </c>
      <c r="E846">
        <v>71</v>
      </c>
      <c r="F846" t="str">
        <f t="shared" si="13"/>
        <v>49+ Months</v>
      </c>
      <c r="G846" t="s">
        <v>35</v>
      </c>
      <c r="H846" t="s">
        <v>18</v>
      </c>
      <c r="I846" t="s">
        <v>24</v>
      </c>
      <c r="J846" t="s">
        <v>16</v>
      </c>
      <c r="K846" t="s">
        <v>20</v>
      </c>
      <c r="L846">
        <v>1</v>
      </c>
      <c r="M846" s="7">
        <v>68.400000000000006</v>
      </c>
      <c r="N846" s="7">
        <v>5183.96</v>
      </c>
      <c r="O846" t="s">
        <v>20</v>
      </c>
    </row>
    <row r="847" spans="1:15" x14ac:dyDescent="0.3">
      <c r="A847" t="s">
        <v>872</v>
      </c>
      <c r="B847" t="s">
        <v>15</v>
      </c>
      <c r="C847">
        <v>26</v>
      </c>
      <c r="D847" t="s">
        <v>20</v>
      </c>
      <c r="E847">
        <v>67</v>
      </c>
      <c r="F847" t="str">
        <f t="shared" si="13"/>
        <v>49+ Months</v>
      </c>
      <c r="G847" t="s">
        <v>23</v>
      </c>
      <c r="H847" t="s">
        <v>18</v>
      </c>
      <c r="I847" t="s">
        <v>30</v>
      </c>
      <c r="J847" t="s">
        <v>20</v>
      </c>
      <c r="K847" t="s">
        <v>20</v>
      </c>
      <c r="L847">
        <v>6</v>
      </c>
      <c r="M847" s="7">
        <v>87.87</v>
      </c>
      <c r="N847" s="7">
        <v>5836.27</v>
      </c>
      <c r="O847" t="s">
        <v>20</v>
      </c>
    </row>
    <row r="848" spans="1:15" x14ac:dyDescent="0.3">
      <c r="A848" t="s">
        <v>873</v>
      </c>
      <c r="B848" t="s">
        <v>22</v>
      </c>
      <c r="C848">
        <v>70</v>
      </c>
      <c r="D848" t="s">
        <v>16</v>
      </c>
      <c r="E848">
        <v>20</v>
      </c>
      <c r="F848" t="str">
        <f t="shared" si="13"/>
        <v>13-24 Months</v>
      </c>
      <c r="G848" t="s">
        <v>17</v>
      </c>
      <c r="H848" t="s">
        <v>36</v>
      </c>
      <c r="I848" t="s">
        <v>19</v>
      </c>
      <c r="J848" t="s">
        <v>20</v>
      </c>
      <c r="K848" t="s">
        <v>16</v>
      </c>
      <c r="L848">
        <v>5</v>
      </c>
      <c r="M848" s="7">
        <v>64.23</v>
      </c>
      <c r="N848" s="7">
        <v>1281.6500000000001</v>
      </c>
      <c r="O848" t="s">
        <v>16</v>
      </c>
    </row>
    <row r="849" spans="1:15" x14ac:dyDescent="0.3">
      <c r="A849" t="s">
        <v>874</v>
      </c>
      <c r="B849" t="s">
        <v>22</v>
      </c>
      <c r="C849">
        <v>30</v>
      </c>
      <c r="D849" t="s">
        <v>20</v>
      </c>
      <c r="E849">
        <v>35</v>
      </c>
      <c r="F849" t="str">
        <f t="shared" si="13"/>
        <v>25-48 Months</v>
      </c>
      <c r="G849" t="s">
        <v>17</v>
      </c>
      <c r="H849" t="s">
        <v>18</v>
      </c>
      <c r="I849" t="s">
        <v>30</v>
      </c>
      <c r="J849" t="s">
        <v>20</v>
      </c>
      <c r="K849" t="s">
        <v>20</v>
      </c>
      <c r="L849">
        <v>4</v>
      </c>
      <c r="M849" s="7">
        <v>68.06</v>
      </c>
      <c r="N849" s="7">
        <v>2282.17</v>
      </c>
      <c r="O849" t="s">
        <v>20</v>
      </c>
    </row>
    <row r="850" spans="1:15" x14ac:dyDescent="0.3">
      <c r="A850" t="s">
        <v>875</v>
      </c>
      <c r="B850" t="s">
        <v>15</v>
      </c>
      <c r="C850">
        <v>48</v>
      </c>
      <c r="D850" t="s">
        <v>20</v>
      </c>
      <c r="E850">
        <v>17</v>
      </c>
      <c r="F850" t="str">
        <f t="shared" si="13"/>
        <v>13-24 Months</v>
      </c>
      <c r="G850" t="s">
        <v>17</v>
      </c>
      <c r="H850" t="s">
        <v>18</v>
      </c>
      <c r="I850" t="s">
        <v>27</v>
      </c>
      <c r="J850" t="s">
        <v>16</v>
      </c>
      <c r="K850" t="s">
        <v>20</v>
      </c>
      <c r="L850">
        <v>6</v>
      </c>
      <c r="M850" s="7">
        <v>81.44</v>
      </c>
      <c r="N850" s="7">
        <v>1358.56</v>
      </c>
      <c r="O850" t="s">
        <v>16</v>
      </c>
    </row>
    <row r="851" spans="1:15" x14ac:dyDescent="0.3">
      <c r="A851" t="s">
        <v>876</v>
      </c>
      <c r="B851" t="s">
        <v>22</v>
      </c>
      <c r="C851">
        <v>58</v>
      </c>
      <c r="D851" t="s">
        <v>20</v>
      </c>
      <c r="E851">
        <v>18</v>
      </c>
      <c r="F851" t="str">
        <f t="shared" si="13"/>
        <v>13-24 Months</v>
      </c>
      <c r="G851" t="s">
        <v>35</v>
      </c>
      <c r="H851" t="s">
        <v>18</v>
      </c>
      <c r="I851" t="s">
        <v>30</v>
      </c>
      <c r="J851" t="s">
        <v>20</v>
      </c>
      <c r="K851" t="s">
        <v>16</v>
      </c>
      <c r="L851">
        <v>4</v>
      </c>
      <c r="M851" s="7">
        <v>76.739999999999995</v>
      </c>
      <c r="N851" s="7">
        <v>1334.03</v>
      </c>
      <c r="O851" t="s">
        <v>20</v>
      </c>
    </row>
    <row r="852" spans="1:15" x14ac:dyDescent="0.3">
      <c r="A852" t="s">
        <v>877</v>
      </c>
      <c r="B852" t="s">
        <v>15</v>
      </c>
      <c r="C852">
        <v>28</v>
      </c>
      <c r="D852" t="s">
        <v>20</v>
      </c>
      <c r="E852">
        <v>45</v>
      </c>
      <c r="F852" t="str">
        <f t="shared" si="13"/>
        <v>25-48 Months</v>
      </c>
      <c r="G852" t="s">
        <v>23</v>
      </c>
      <c r="H852" t="s">
        <v>18</v>
      </c>
      <c r="I852" t="s">
        <v>27</v>
      </c>
      <c r="J852" t="s">
        <v>16</v>
      </c>
      <c r="K852" t="s">
        <v>20</v>
      </c>
      <c r="L852">
        <v>2</v>
      </c>
      <c r="M852" s="7">
        <v>69.95</v>
      </c>
      <c r="N852" s="7">
        <v>3072.49</v>
      </c>
      <c r="O852" t="s">
        <v>20</v>
      </c>
    </row>
    <row r="853" spans="1:15" x14ac:dyDescent="0.3">
      <c r="A853" t="s">
        <v>878</v>
      </c>
      <c r="B853" t="s">
        <v>22</v>
      </c>
      <c r="C853">
        <v>21</v>
      </c>
      <c r="D853" t="s">
        <v>20</v>
      </c>
      <c r="E853">
        <v>53</v>
      </c>
      <c r="F853" t="str">
        <f t="shared" si="13"/>
        <v>49+ Months</v>
      </c>
      <c r="G853" t="s">
        <v>23</v>
      </c>
      <c r="H853" t="s">
        <v>18</v>
      </c>
      <c r="I853" t="s">
        <v>24</v>
      </c>
      <c r="J853" t="s">
        <v>20</v>
      </c>
      <c r="K853" t="s">
        <v>20</v>
      </c>
      <c r="L853">
        <v>2</v>
      </c>
      <c r="M853" s="7">
        <v>67.5</v>
      </c>
      <c r="N853" s="7">
        <v>3303.09</v>
      </c>
      <c r="O853" t="s">
        <v>20</v>
      </c>
    </row>
    <row r="854" spans="1:15" x14ac:dyDescent="0.3">
      <c r="A854" t="s">
        <v>879</v>
      </c>
      <c r="B854" t="s">
        <v>15</v>
      </c>
      <c r="C854">
        <v>51</v>
      </c>
      <c r="D854" t="s">
        <v>20</v>
      </c>
      <c r="E854">
        <v>68</v>
      </c>
      <c r="F854" t="str">
        <f t="shared" si="13"/>
        <v>49+ Months</v>
      </c>
      <c r="G854" t="s">
        <v>17</v>
      </c>
      <c r="H854" t="s">
        <v>36</v>
      </c>
      <c r="I854" t="s">
        <v>24</v>
      </c>
      <c r="J854" t="s">
        <v>20</v>
      </c>
      <c r="K854" t="s">
        <v>16</v>
      </c>
      <c r="L854">
        <v>5</v>
      </c>
      <c r="M854" s="7">
        <v>64.78</v>
      </c>
      <c r="N854" s="7">
        <v>4081.58</v>
      </c>
      <c r="O854" t="s">
        <v>20</v>
      </c>
    </row>
    <row r="855" spans="1:15" x14ac:dyDescent="0.3">
      <c r="A855" t="s">
        <v>880</v>
      </c>
      <c r="B855" t="s">
        <v>15</v>
      </c>
      <c r="C855">
        <v>55</v>
      </c>
      <c r="D855" t="s">
        <v>20</v>
      </c>
      <c r="E855">
        <v>65</v>
      </c>
      <c r="F855" t="str">
        <f t="shared" si="13"/>
        <v>49+ Months</v>
      </c>
      <c r="G855" t="s">
        <v>35</v>
      </c>
      <c r="H855" t="s">
        <v>18</v>
      </c>
      <c r="I855" t="s">
        <v>24</v>
      </c>
      <c r="J855" t="s">
        <v>20</v>
      </c>
      <c r="K855" t="s">
        <v>20</v>
      </c>
      <c r="L855">
        <v>4</v>
      </c>
      <c r="M855" s="7">
        <v>71.010000000000005</v>
      </c>
      <c r="N855" s="7">
        <v>4749.09</v>
      </c>
      <c r="O855" t="s">
        <v>20</v>
      </c>
    </row>
    <row r="856" spans="1:15" x14ac:dyDescent="0.3">
      <c r="A856" t="s">
        <v>881</v>
      </c>
      <c r="B856" t="s">
        <v>15</v>
      </c>
      <c r="C856">
        <v>63</v>
      </c>
      <c r="D856" t="s">
        <v>16</v>
      </c>
      <c r="E856">
        <v>1</v>
      </c>
      <c r="F856" t="str">
        <f t="shared" si="13"/>
        <v>0-6 Months</v>
      </c>
      <c r="G856" t="s">
        <v>17</v>
      </c>
      <c r="H856" t="s">
        <v>36</v>
      </c>
      <c r="I856" t="s">
        <v>27</v>
      </c>
      <c r="J856" t="s">
        <v>20</v>
      </c>
      <c r="K856" t="s">
        <v>16</v>
      </c>
      <c r="L856">
        <v>2</v>
      </c>
      <c r="M856" s="7">
        <v>47.62</v>
      </c>
      <c r="N856" s="7">
        <v>49.01</v>
      </c>
      <c r="O856" t="s">
        <v>20</v>
      </c>
    </row>
    <row r="857" spans="1:15" x14ac:dyDescent="0.3">
      <c r="A857" t="s">
        <v>882</v>
      </c>
      <c r="B857" t="s">
        <v>15</v>
      </c>
      <c r="C857">
        <v>21</v>
      </c>
      <c r="D857" t="s">
        <v>20</v>
      </c>
      <c r="E857">
        <v>58</v>
      </c>
      <c r="F857" t="str">
        <f t="shared" si="13"/>
        <v>49+ Months</v>
      </c>
      <c r="G857" t="s">
        <v>17</v>
      </c>
      <c r="H857" t="s">
        <v>36</v>
      </c>
      <c r="I857" t="s">
        <v>27</v>
      </c>
      <c r="J857" t="s">
        <v>20</v>
      </c>
      <c r="K857" t="s">
        <v>20</v>
      </c>
      <c r="L857">
        <v>2</v>
      </c>
      <c r="M857" s="7">
        <v>54.52</v>
      </c>
      <c r="N857" s="7">
        <v>3076.27</v>
      </c>
      <c r="O857" t="s">
        <v>20</v>
      </c>
    </row>
    <row r="858" spans="1:15" x14ac:dyDescent="0.3">
      <c r="A858" t="s">
        <v>883</v>
      </c>
      <c r="B858" t="s">
        <v>15</v>
      </c>
      <c r="C858">
        <v>55</v>
      </c>
      <c r="D858" t="s">
        <v>20</v>
      </c>
      <c r="E858">
        <v>26</v>
      </c>
      <c r="F858" t="str">
        <f t="shared" si="13"/>
        <v>25-48 Months</v>
      </c>
      <c r="G858" t="s">
        <v>17</v>
      </c>
      <c r="H858" t="s">
        <v>20</v>
      </c>
      <c r="I858" t="s">
        <v>30</v>
      </c>
      <c r="J858" t="s">
        <v>20</v>
      </c>
      <c r="K858" t="s">
        <v>20</v>
      </c>
      <c r="L858">
        <v>1</v>
      </c>
      <c r="M858" s="7">
        <v>30.43</v>
      </c>
      <c r="N858" s="7">
        <v>839.98</v>
      </c>
      <c r="O858" t="s">
        <v>20</v>
      </c>
    </row>
    <row r="859" spans="1:15" x14ac:dyDescent="0.3">
      <c r="A859" t="s">
        <v>884</v>
      </c>
      <c r="B859" t="s">
        <v>15</v>
      </c>
      <c r="C859">
        <v>36</v>
      </c>
      <c r="D859" t="s">
        <v>20</v>
      </c>
      <c r="E859">
        <v>20</v>
      </c>
      <c r="F859" t="str">
        <f t="shared" si="13"/>
        <v>13-24 Months</v>
      </c>
      <c r="G859" t="s">
        <v>23</v>
      </c>
      <c r="H859" t="s">
        <v>20</v>
      </c>
      <c r="I859" t="s">
        <v>30</v>
      </c>
      <c r="J859" t="s">
        <v>16</v>
      </c>
      <c r="K859" t="s">
        <v>16</v>
      </c>
      <c r="L859">
        <v>2</v>
      </c>
      <c r="M859" s="7">
        <v>30.39</v>
      </c>
      <c r="N859" s="7">
        <v>585.04999999999995</v>
      </c>
      <c r="O859" t="s">
        <v>20</v>
      </c>
    </row>
    <row r="860" spans="1:15" x14ac:dyDescent="0.3">
      <c r="A860" t="s">
        <v>885</v>
      </c>
      <c r="B860" t="s">
        <v>22</v>
      </c>
      <c r="C860">
        <v>23</v>
      </c>
      <c r="D860" t="s">
        <v>20</v>
      </c>
      <c r="E860">
        <v>10</v>
      </c>
      <c r="F860" t="str">
        <f t="shared" si="13"/>
        <v>7-12 Months</v>
      </c>
      <c r="G860" t="s">
        <v>17</v>
      </c>
      <c r="H860" t="s">
        <v>36</v>
      </c>
      <c r="I860" t="s">
        <v>30</v>
      </c>
      <c r="J860" t="s">
        <v>20</v>
      </c>
      <c r="K860" t="s">
        <v>16</v>
      </c>
      <c r="L860">
        <v>4</v>
      </c>
      <c r="M860" s="7">
        <v>56.55</v>
      </c>
      <c r="N860" s="7">
        <v>556.07000000000005</v>
      </c>
      <c r="O860" t="s">
        <v>16</v>
      </c>
    </row>
    <row r="861" spans="1:15" x14ac:dyDescent="0.3">
      <c r="A861" t="s">
        <v>886</v>
      </c>
      <c r="B861" t="s">
        <v>15</v>
      </c>
      <c r="C861">
        <v>51</v>
      </c>
      <c r="D861" t="s">
        <v>20</v>
      </c>
      <c r="E861">
        <v>59</v>
      </c>
      <c r="F861" t="str">
        <f t="shared" si="13"/>
        <v>49+ Months</v>
      </c>
      <c r="G861" t="s">
        <v>35</v>
      </c>
      <c r="H861" t="s">
        <v>18</v>
      </c>
      <c r="I861" t="s">
        <v>27</v>
      </c>
      <c r="J861" t="s">
        <v>16</v>
      </c>
      <c r="K861" t="s">
        <v>16</v>
      </c>
      <c r="L861">
        <v>2</v>
      </c>
      <c r="M861" s="7">
        <v>67.67</v>
      </c>
      <c r="N861" s="7">
        <v>4140.33</v>
      </c>
      <c r="O861" t="s">
        <v>20</v>
      </c>
    </row>
    <row r="862" spans="1:15" x14ac:dyDescent="0.3">
      <c r="A862" t="s">
        <v>887</v>
      </c>
      <c r="B862" t="s">
        <v>22</v>
      </c>
      <c r="C862">
        <v>35</v>
      </c>
      <c r="D862" t="s">
        <v>20</v>
      </c>
      <c r="E862">
        <v>41</v>
      </c>
      <c r="F862" t="str">
        <f t="shared" si="13"/>
        <v>25-48 Months</v>
      </c>
      <c r="G862" t="s">
        <v>17</v>
      </c>
      <c r="H862" t="s">
        <v>36</v>
      </c>
      <c r="I862" t="s">
        <v>27</v>
      </c>
      <c r="J862" t="s">
        <v>20</v>
      </c>
      <c r="K862" t="s">
        <v>20</v>
      </c>
      <c r="L862">
        <v>3</v>
      </c>
      <c r="M862" s="7">
        <v>52.65</v>
      </c>
      <c r="N862" s="7">
        <v>2242.77</v>
      </c>
      <c r="O862" t="s">
        <v>16</v>
      </c>
    </row>
    <row r="863" spans="1:15" x14ac:dyDescent="0.3">
      <c r="A863" t="s">
        <v>888</v>
      </c>
      <c r="B863" t="s">
        <v>15</v>
      </c>
      <c r="C863">
        <v>30</v>
      </c>
      <c r="D863" t="s">
        <v>20</v>
      </c>
      <c r="E863">
        <v>5</v>
      </c>
      <c r="F863" t="str">
        <f t="shared" si="13"/>
        <v>0-6 Months</v>
      </c>
      <c r="G863" t="s">
        <v>23</v>
      </c>
      <c r="H863" t="s">
        <v>36</v>
      </c>
      <c r="I863" t="s">
        <v>30</v>
      </c>
      <c r="J863" t="s">
        <v>16</v>
      </c>
      <c r="K863" t="s">
        <v>20</v>
      </c>
      <c r="L863">
        <v>3</v>
      </c>
      <c r="M863" s="7">
        <v>51.47</v>
      </c>
      <c r="N863" s="7">
        <v>272.22000000000003</v>
      </c>
      <c r="O863" t="s">
        <v>20</v>
      </c>
    </row>
    <row r="864" spans="1:15" x14ac:dyDescent="0.3">
      <c r="A864" t="s">
        <v>889</v>
      </c>
      <c r="B864" t="s">
        <v>22</v>
      </c>
      <c r="C864">
        <v>58</v>
      </c>
      <c r="D864" t="s">
        <v>20</v>
      </c>
      <c r="E864">
        <v>65</v>
      </c>
      <c r="F864" t="str">
        <f t="shared" si="13"/>
        <v>49+ Months</v>
      </c>
      <c r="G864" t="s">
        <v>17</v>
      </c>
      <c r="H864" t="s">
        <v>18</v>
      </c>
      <c r="I864" t="s">
        <v>30</v>
      </c>
      <c r="J864" t="s">
        <v>20</v>
      </c>
      <c r="K864" t="s">
        <v>16</v>
      </c>
      <c r="L864">
        <v>5</v>
      </c>
      <c r="M864" s="7">
        <v>80.45</v>
      </c>
      <c r="N864" s="7">
        <v>4835.22</v>
      </c>
      <c r="O864" t="s">
        <v>20</v>
      </c>
    </row>
    <row r="865" spans="1:15" x14ac:dyDescent="0.3">
      <c r="A865" t="s">
        <v>890</v>
      </c>
      <c r="B865" t="s">
        <v>22</v>
      </c>
      <c r="C865">
        <v>40</v>
      </c>
      <c r="D865" t="s">
        <v>20</v>
      </c>
      <c r="E865">
        <v>17</v>
      </c>
      <c r="F865" t="str">
        <f t="shared" si="13"/>
        <v>13-24 Months</v>
      </c>
      <c r="G865" t="s">
        <v>17</v>
      </c>
      <c r="H865" t="s">
        <v>36</v>
      </c>
      <c r="I865" t="s">
        <v>24</v>
      </c>
      <c r="J865" t="s">
        <v>20</v>
      </c>
      <c r="K865" t="s">
        <v>16</v>
      </c>
      <c r="L865">
        <v>3</v>
      </c>
      <c r="M865" s="7">
        <v>57.07</v>
      </c>
      <c r="N865" s="7">
        <v>921.1</v>
      </c>
      <c r="O865" t="s">
        <v>16</v>
      </c>
    </row>
    <row r="866" spans="1:15" x14ac:dyDescent="0.3">
      <c r="A866" t="s">
        <v>891</v>
      </c>
      <c r="B866" t="s">
        <v>22</v>
      </c>
      <c r="C866">
        <v>36</v>
      </c>
      <c r="D866" t="s">
        <v>20</v>
      </c>
      <c r="E866">
        <v>22</v>
      </c>
      <c r="F866" t="str">
        <f t="shared" si="13"/>
        <v>13-24 Months</v>
      </c>
      <c r="G866" t="s">
        <v>35</v>
      </c>
      <c r="H866" t="s">
        <v>20</v>
      </c>
      <c r="I866" t="s">
        <v>30</v>
      </c>
      <c r="J866" t="s">
        <v>20</v>
      </c>
      <c r="K866" t="s">
        <v>16</v>
      </c>
      <c r="L866">
        <v>3</v>
      </c>
      <c r="M866" s="7">
        <v>38.92</v>
      </c>
      <c r="N866" s="7">
        <v>875.5</v>
      </c>
      <c r="O866" t="s">
        <v>20</v>
      </c>
    </row>
    <row r="867" spans="1:15" x14ac:dyDescent="0.3">
      <c r="A867" t="s">
        <v>892</v>
      </c>
      <c r="B867" t="s">
        <v>15</v>
      </c>
      <c r="C867">
        <v>62</v>
      </c>
      <c r="D867" t="s">
        <v>16</v>
      </c>
      <c r="E867">
        <v>41</v>
      </c>
      <c r="F867" t="str">
        <f t="shared" si="13"/>
        <v>25-48 Months</v>
      </c>
      <c r="G867" t="s">
        <v>23</v>
      </c>
      <c r="H867" t="s">
        <v>36</v>
      </c>
      <c r="I867" t="s">
        <v>19</v>
      </c>
      <c r="J867" t="s">
        <v>20</v>
      </c>
      <c r="K867" t="s">
        <v>16</v>
      </c>
      <c r="L867">
        <v>5</v>
      </c>
      <c r="M867" s="7">
        <v>53.81</v>
      </c>
      <c r="N867" s="7">
        <v>2149.1</v>
      </c>
      <c r="O867" t="s">
        <v>20</v>
      </c>
    </row>
    <row r="868" spans="1:15" x14ac:dyDescent="0.3">
      <c r="A868" t="s">
        <v>893</v>
      </c>
      <c r="B868" t="s">
        <v>15</v>
      </c>
      <c r="C868">
        <v>28</v>
      </c>
      <c r="D868" t="s">
        <v>20</v>
      </c>
      <c r="E868">
        <v>68</v>
      </c>
      <c r="F868" t="str">
        <f t="shared" si="13"/>
        <v>49+ Months</v>
      </c>
      <c r="G868" t="s">
        <v>23</v>
      </c>
      <c r="H868" t="s">
        <v>18</v>
      </c>
      <c r="I868" t="s">
        <v>24</v>
      </c>
      <c r="J868" t="s">
        <v>16</v>
      </c>
      <c r="K868" t="s">
        <v>20</v>
      </c>
      <c r="L868">
        <v>5</v>
      </c>
      <c r="M868" s="7">
        <v>95.54</v>
      </c>
      <c r="N868" s="7">
        <v>6022.26</v>
      </c>
      <c r="O868" t="s">
        <v>20</v>
      </c>
    </row>
    <row r="869" spans="1:15" x14ac:dyDescent="0.3">
      <c r="A869" t="s">
        <v>894</v>
      </c>
      <c r="B869" t="s">
        <v>22</v>
      </c>
      <c r="C869">
        <v>18</v>
      </c>
      <c r="D869" t="s">
        <v>20</v>
      </c>
      <c r="E869">
        <v>69</v>
      </c>
      <c r="F869" t="str">
        <f t="shared" si="13"/>
        <v>49+ Months</v>
      </c>
      <c r="G869" t="s">
        <v>35</v>
      </c>
      <c r="H869" t="s">
        <v>18</v>
      </c>
      <c r="I869" t="s">
        <v>27</v>
      </c>
      <c r="J869" t="s">
        <v>20</v>
      </c>
      <c r="K869" t="s">
        <v>20</v>
      </c>
      <c r="L869">
        <v>2</v>
      </c>
      <c r="M869" s="7">
        <v>67.2</v>
      </c>
      <c r="N869" s="7">
        <v>4700.95</v>
      </c>
      <c r="O869" t="s">
        <v>20</v>
      </c>
    </row>
    <row r="870" spans="1:15" x14ac:dyDescent="0.3">
      <c r="A870" t="s">
        <v>895</v>
      </c>
      <c r="B870" t="s">
        <v>15</v>
      </c>
      <c r="C870">
        <v>41</v>
      </c>
      <c r="D870" t="s">
        <v>20</v>
      </c>
      <c r="E870">
        <v>11</v>
      </c>
      <c r="F870" t="str">
        <f t="shared" si="13"/>
        <v>7-12 Months</v>
      </c>
      <c r="G870" t="s">
        <v>23</v>
      </c>
      <c r="H870" t="s">
        <v>18</v>
      </c>
      <c r="I870" t="s">
        <v>19</v>
      </c>
      <c r="J870" t="s">
        <v>16</v>
      </c>
      <c r="K870" t="s">
        <v>20</v>
      </c>
      <c r="L870">
        <v>5</v>
      </c>
      <c r="M870" s="7">
        <v>86.28</v>
      </c>
      <c r="N870" s="7">
        <v>932.84</v>
      </c>
      <c r="O870" t="s">
        <v>16</v>
      </c>
    </row>
    <row r="871" spans="1:15" x14ac:dyDescent="0.3">
      <c r="A871" t="s">
        <v>896</v>
      </c>
      <c r="B871" t="s">
        <v>22</v>
      </c>
      <c r="C871">
        <v>71</v>
      </c>
      <c r="D871" t="s">
        <v>16</v>
      </c>
      <c r="E871">
        <v>56</v>
      </c>
      <c r="F871" t="str">
        <f t="shared" si="13"/>
        <v>49+ Months</v>
      </c>
      <c r="G871" t="s">
        <v>17</v>
      </c>
      <c r="H871" t="s">
        <v>18</v>
      </c>
      <c r="I871" t="s">
        <v>27</v>
      </c>
      <c r="J871" t="s">
        <v>20</v>
      </c>
      <c r="K871" t="s">
        <v>20</v>
      </c>
      <c r="L871">
        <v>3</v>
      </c>
      <c r="M871" s="7">
        <v>67.5</v>
      </c>
      <c r="N871" s="7">
        <v>3697.8</v>
      </c>
      <c r="O871" t="s">
        <v>16</v>
      </c>
    </row>
    <row r="872" spans="1:15" x14ac:dyDescent="0.3">
      <c r="A872" t="s">
        <v>897</v>
      </c>
      <c r="B872" t="s">
        <v>15</v>
      </c>
      <c r="C872">
        <v>24</v>
      </c>
      <c r="D872" t="s">
        <v>20</v>
      </c>
      <c r="E872">
        <v>51</v>
      </c>
      <c r="F872" t="str">
        <f t="shared" si="13"/>
        <v>49+ Months</v>
      </c>
      <c r="G872" t="s">
        <v>23</v>
      </c>
      <c r="H872" t="s">
        <v>36</v>
      </c>
      <c r="I872" t="s">
        <v>24</v>
      </c>
      <c r="J872" t="s">
        <v>20</v>
      </c>
      <c r="K872" t="s">
        <v>20</v>
      </c>
      <c r="L872">
        <v>5</v>
      </c>
      <c r="M872" s="7">
        <v>73.239999999999995</v>
      </c>
      <c r="N872" s="7">
        <v>3594.42</v>
      </c>
      <c r="O872" t="s">
        <v>20</v>
      </c>
    </row>
    <row r="873" spans="1:15" x14ac:dyDescent="0.3">
      <c r="A873" t="s">
        <v>898</v>
      </c>
      <c r="B873" t="s">
        <v>22</v>
      </c>
      <c r="C873">
        <v>42</v>
      </c>
      <c r="D873" t="s">
        <v>20</v>
      </c>
      <c r="E873">
        <v>21</v>
      </c>
      <c r="F873" t="str">
        <f t="shared" si="13"/>
        <v>13-24 Months</v>
      </c>
      <c r="G873" t="s">
        <v>17</v>
      </c>
      <c r="H873" t="s">
        <v>36</v>
      </c>
      <c r="I873" t="s">
        <v>19</v>
      </c>
      <c r="J873" t="s">
        <v>20</v>
      </c>
      <c r="K873" t="s">
        <v>20</v>
      </c>
      <c r="L873">
        <v>8</v>
      </c>
      <c r="M873" s="7">
        <v>78.77</v>
      </c>
      <c r="N873" s="7">
        <v>1523.42</v>
      </c>
      <c r="O873" t="s">
        <v>16</v>
      </c>
    </row>
    <row r="874" spans="1:15" x14ac:dyDescent="0.3">
      <c r="A874" t="s">
        <v>899</v>
      </c>
      <c r="B874" t="s">
        <v>22</v>
      </c>
      <c r="C874">
        <v>38</v>
      </c>
      <c r="D874" t="s">
        <v>20</v>
      </c>
      <c r="E874">
        <v>26</v>
      </c>
      <c r="F874" t="str">
        <f t="shared" si="13"/>
        <v>25-48 Months</v>
      </c>
      <c r="G874" t="s">
        <v>17</v>
      </c>
      <c r="H874" t="s">
        <v>18</v>
      </c>
      <c r="I874" t="s">
        <v>19</v>
      </c>
      <c r="J874" t="s">
        <v>20</v>
      </c>
      <c r="K874" t="s">
        <v>20</v>
      </c>
      <c r="L874">
        <v>5</v>
      </c>
      <c r="M874" s="7">
        <v>85.68</v>
      </c>
      <c r="N874" s="7">
        <v>2114.46</v>
      </c>
      <c r="O874" t="s">
        <v>20</v>
      </c>
    </row>
    <row r="875" spans="1:15" x14ac:dyDescent="0.3">
      <c r="A875" t="s">
        <v>900</v>
      </c>
      <c r="B875" t="s">
        <v>15</v>
      </c>
      <c r="C875">
        <v>32</v>
      </c>
      <c r="D875" t="s">
        <v>20</v>
      </c>
      <c r="E875">
        <v>19</v>
      </c>
      <c r="F875" t="str">
        <f t="shared" si="13"/>
        <v>13-24 Months</v>
      </c>
      <c r="G875" t="s">
        <v>17</v>
      </c>
      <c r="H875" t="s">
        <v>20</v>
      </c>
      <c r="I875" t="s">
        <v>24</v>
      </c>
      <c r="J875" t="s">
        <v>16</v>
      </c>
      <c r="K875" t="s">
        <v>20</v>
      </c>
      <c r="L875">
        <v>1</v>
      </c>
      <c r="M875" s="7">
        <v>27.75</v>
      </c>
      <c r="N875" s="7">
        <v>525.08000000000004</v>
      </c>
      <c r="O875" t="s">
        <v>20</v>
      </c>
    </row>
    <row r="876" spans="1:15" x14ac:dyDescent="0.3">
      <c r="A876" t="s">
        <v>901</v>
      </c>
      <c r="B876" t="s">
        <v>22</v>
      </c>
      <c r="C876">
        <v>18</v>
      </c>
      <c r="D876" t="s">
        <v>20</v>
      </c>
      <c r="E876">
        <v>60</v>
      </c>
      <c r="F876" t="str">
        <f t="shared" si="13"/>
        <v>49+ Months</v>
      </c>
      <c r="G876" t="s">
        <v>23</v>
      </c>
      <c r="H876" t="s">
        <v>18</v>
      </c>
      <c r="I876" t="s">
        <v>19</v>
      </c>
      <c r="J876" t="s">
        <v>20</v>
      </c>
      <c r="K876" t="s">
        <v>16</v>
      </c>
      <c r="L876">
        <v>6</v>
      </c>
      <c r="M876" s="7">
        <v>74.12</v>
      </c>
      <c r="N876" s="7">
        <v>4287.62</v>
      </c>
      <c r="O876" t="s">
        <v>20</v>
      </c>
    </row>
    <row r="877" spans="1:15" x14ac:dyDescent="0.3">
      <c r="A877" t="s">
        <v>902</v>
      </c>
      <c r="B877" t="s">
        <v>15</v>
      </c>
      <c r="C877">
        <v>29</v>
      </c>
      <c r="D877" t="s">
        <v>20</v>
      </c>
      <c r="E877">
        <v>71</v>
      </c>
      <c r="F877" t="str">
        <f t="shared" si="13"/>
        <v>49+ Months</v>
      </c>
      <c r="G877" t="s">
        <v>23</v>
      </c>
      <c r="H877" t="s">
        <v>18</v>
      </c>
      <c r="I877" t="s">
        <v>24</v>
      </c>
      <c r="J877" t="s">
        <v>20</v>
      </c>
      <c r="K877" t="s">
        <v>16</v>
      </c>
      <c r="L877">
        <v>5</v>
      </c>
      <c r="M877" s="7">
        <v>94.64</v>
      </c>
      <c r="N877" s="7">
        <v>7121.95</v>
      </c>
      <c r="O877" t="s">
        <v>20</v>
      </c>
    </row>
    <row r="878" spans="1:15" x14ac:dyDescent="0.3">
      <c r="A878" t="s">
        <v>903</v>
      </c>
      <c r="B878" t="s">
        <v>22</v>
      </c>
      <c r="C878">
        <v>75</v>
      </c>
      <c r="D878" t="s">
        <v>16</v>
      </c>
      <c r="E878">
        <v>47</v>
      </c>
      <c r="F878" t="str">
        <f t="shared" si="13"/>
        <v>25-48 Months</v>
      </c>
      <c r="G878" t="s">
        <v>17</v>
      </c>
      <c r="H878" t="s">
        <v>36</v>
      </c>
      <c r="I878" t="s">
        <v>24</v>
      </c>
      <c r="J878" t="s">
        <v>20</v>
      </c>
      <c r="K878" t="s">
        <v>16</v>
      </c>
      <c r="L878">
        <v>2</v>
      </c>
      <c r="M878" s="7">
        <v>56.98</v>
      </c>
      <c r="N878" s="7">
        <v>2525.09</v>
      </c>
      <c r="O878" t="s">
        <v>20</v>
      </c>
    </row>
    <row r="879" spans="1:15" x14ac:dyDescent="0.3">
      <c r="A879" t="s">
        <v>904</v>
      </c>
      <c r="B879" t="s">
        <v>22</v>
      </c>
      <c r="C879">
        <v>24</v>
      </c>
      <c r="D879" t="s">
        <v>20</v>
      </c>
      <c r="E879">
        <v>71</v>
      </c>
      <c r="F879" t="str">
        <f t="shared" si="13"/>
        <v>49+ Months</v>
      </c>
      <c r="G879" t="s">
        <v>23</v>
      </c>
      <c r="H879" t="s">
        <v>36</v>
      </c>
      <c r="I879" t="s">
        <v>24</v>
      </c>
      <c r="J879" t="s">
        <v>16</v>
      </c>
      <c r="K879" t="s">
        <v>20</v>
      </c>
      <c r="L879">
        <v>6</v>
      </c>
      <c r="M879" s="7">
        <v>64.75</v>
      </c>
      <c r="N879" s="7">
        <v>4873.34</v>
      </c>
      <c r="O879" t="s">
        <v>20</v>
      </c>
    </row>
    <row r="880" spans="1:15" x14ac:dyDescent="0.3">
      <c r="A880" t="s">
        <v>905</v>
      </c>
      <c r="B880" t="s">
        <v>15</v>
      </c>
      <c r="C880">
        <v>32</v>
      </c>
      <c r="D880" t="s">
        <v>20</v>
      </c>
      <c r="E880">
        <v>26</v>
      </c>
      <c r="F880" t="str">
        <f t="shared" si="13"/>
        <v>25-48 Months</v>
      </c>
      <c r="G880" t="s">
        <v>35</v>
      </c>
      <c r="H880" t="s">
        <v>36</v>
      </c>
      <c r="I880" t="s">
        <v>24</v>
      </c>
      <c r="J880" t="s">
        <v>20</v>
      </c>
      <c r="K880" t="s">
        <v>20</v>
      </c>
      <c r="L880">
        <v>2</v>
      </c>
      <c r="M880" s="7">
        <v>54.35</v>
      </c>
      <c r="N880" s="7">
        <v>1391.58</v>
      </c>
      <c r="O880" t="s">
        <v>20</v>
      </c>
    </row>
    <row r="881" spans="1:15" x14ac:dyDescent="0.3">
      <c r="A881" t="s">
        <v>906</v>
      </c>
      <c r="B881" t="s">
        <v>15</v>
      </c>
      <c r="C881">
        <v>38</v>
      </c>
      <c r="D881" t="s">
        <v>20</v>
      </c>
      <c r="E881">
        <v>40</v>
      </c>
      <c r="F881" t="str">
        <f t="shared" si="13"/>
        <v>25-48 Months</v>
      </c>
      <c r="G881" t="s">
        <v>17</v>
      </c>
      <c r="H881" t="s">
        <v>20</v>
      </c>
      <c r="I881" t="s">
        <v>30</v>
      </c>
      <c r="J881" t="s">
        <v>16</v>
      </c>
      <c r="K881" t="s">
        <v>20</v>
      </c>
      <c r="L881">
        <v>3</v>
      </c>
      <c r="M881" s="7">
        <v>27.83</v>
      </c>
      <c r="N881" s="7">
        <v>1073.27</v>
      </c>
      <c r="O881" t="s">
        <v>20</v>
      </c>
    </row>
    <row r="882" spans="1:15" x14ac:dyDescent="0.3">
      <c r="A882" t="s">
        <v>907</v>
      </c>
      <c r="B882" t="s">
        <v>15</v>
      </c>
      <c r="C882">
        <v>36</v>
      </c>
      <c r="D882" t="s">
        <v>20</v>
      </c>
      <c r="E882">
        <v>5</v>
      </c>
      <c r="F882" t="str">
        <f t="shared" si="13"/>
        <v>0-6 Months</v>
      </c>
      <c r="G882" t="s">
        <v>17</v>
      </c>
      <c r="H882" t="s">
        <v>36</v>
      </c>
      <c r="I882" t="s">
        <v>24</v>
      </c>
      <c r="J882" t="s">
        <v>20</v>
      </c>
      <c r="K882" t="s">
        <v>20</v>
      </c>
      <c r="L882">
        <v>5</v>
      </c>
      <c r="M882" s="7">
        <v>49.65</v>
      </c>
      <c r="N882" s="7">
        <v>240.48</v>
      </c>
      <c r="O882" t="s">
        <v>16</v>
      </c>
    </row>
    <row r="883" spans="1:15" x14ac:dyDescent="0.3">
      <c r="A883" t="s">
        <v>908</v>
      </c>
      <c r="B883" t="s">
        <v>22</v>
      </c>
      <c r="C883">
        <v>46</v>
      </c>
      <c r="D883" t="s">
        <v>20</v>
      </c>
      <c r="E883">
        <v>21</v>
      </c>
      <c r="F883" t="str">
        <f t="shared" si="13"/>
        <v>13-24 Months</v>
      </c>
      <c r="G883" t="s">
        <v>23</v>
      </c>
      <c r="H883" t="s">
        <v>20</v>
      </c>
      <c r="I883" t="s">
        <v>30</v>
      </c>
      <c r="J883" t="s">
        <v>16</v>
      </c>
      <c r="K883" t="s">
        <v>20</v>
      </c>
      <c r="L883">
        <v>5</v>
      </c>
      <c r="M883" s="7">
        <v>45.12</v>
      </c>
      <c r="N883" s="7">
        <v>921.76</v>
      </c>
      <c r="O883" t="s">
        <v>20</v>
      </c>
    </row>
    <row r="884" spans="1:15" x14ac:dyDescent="0.3">
      <c r="A884" t="s">
        <v>909</v>
      </c>
      <c r="B884" t="s">
        <v>15</v>
      </c>
      <c r="C884">
        <v>42</v>
      </c>
      <c r="D884" t="s">
        <v>20</v>
      </c>
      <c r="E884">
        <v>4</v>
      </c>
      <c r="F884" t="str">
        <f t="shared" si="13"/>
        <v>0-6 Months</v>
      </c>
      <c r="G884" t="s">
        <v>17</v>
      </c>
      <c r="H884" t="s">
        <v>18</v>
      </c>
      <c r="I884" t="s">
        <v>27</v>
      </c>
      <c r="J884" t="s">
        <v>20</v>
      </c>
      <c r="K884" t="s">
        <v>16</v>
      </c>
      <c r="L884">
        <v>3</v>
      </c>
      <c r="M884" s="7">
        <v>69.42</v>
      </c>
      <c r="N884" s="7">
        <v>277.97000000000003</v>
      </c>
      <c r="O884" t="s">
        <v>16</v>
      </c>
    </row>
    <row r="885" spans="1:15" x14ac:dyDescent="0.3">
      <c r="A885" t="s">
        <v>910</v>
      </c>
      <c r="B885" t="s">
        <v>22</v>
      </c>
      <c r="C885">
        <v>50</v>
      </c>
      <c r="D885" t="s">
        <v>20</v>
      </c>
      <c r="E885">
        <v>23</v>
      </c>
      <c r="F885" t="str">
        <f t="shared" si="13"/>
        <v>13-24 Months</v>
      </c>
      <c r="G885" t="s">
        <v>23</v>
      </c>
      <c r="H885" t="s">
        <v>36</v>
      </c>
      <c r="I885" t="s">
        <v>19</v>
      </c>
      <c r="J885" t="s">
        <v>16</v>
      </c>
      <c r="K885" t="s">
        <v>16</v>
      </c>
      <c r="L885">
        <v>2</v>
      </c>
      <c r="M885" s="7">
        <v>47.62</v>
      </c>
      <c r="N885" s="7">
        <v>1069.6500000000001</v>
      </c>
      <c r="O885" t="s">
        <v>16</v>
      </c>
    </row>
    <row r="886" spans="1:15" x14ac:dyDescent="0.3">
      <c r="A886" t="s">
        <v>911</v>
      </c>
      <c r="B886" t="s">
        <v>22</v>
      </c>
      <c r="C886">
        <v>66</v>
      </c>
      <c r="D886" t="s">
        <v>16</v>
      </c>
      <c r="E886">
        <v>15</v>
      </c>
      <c r="F886" t="str">
        <f t="shared" si="13"/>
        <v>13-24 Months</v>
      </c>
      <c r="G886" t="s">
        <v>17</v>
      </c>
      <c r="H886" t="s">
        <v>20</v>
      </c>
      <c r="I886" t="s">
        <v>27</v>
      </c>
      <c r="J886" t="s">
        <v>20</v>
      </c>
      <c r="K886" t="s">
        <v>16</v>
      </c>
      <c r="L886">
        <v>1</v>
      </c>
      <c r="M886" s="7">
        <v>28.63</v>
      </c>
      <c r="N886" s="7">
        <v>439.56</v>
      </c>
      <c r="O886" t="s">
        <v>20</v>
      </c>
    </row>
    <row r="887" spans="1:15" x14ac:dyDescent="0.3">
      <c r="A887" t="s">
        <v>912</v>
      </c>
      <c r="B887" t="s">
        <v>15</v>
      </c>
      <c r="C887">
        <v>49</v>
      </c>
      <c r="D887" t="s">
        <v>20</v>
      </c>
      <c r="E887">
        <v>8</v>
      </c>
      <c r="F887" t="str">
        <f t="shared" si="13"/>
        <v>7-12 Months</v>
      </c>
      <c r="G887" t="s">
        <v>17</v>
      </c>
      <c r="H887" t="s">
        <v>36</v>
      </c>
      <c r="I887" t="s">
        <v>30</v>
      </c>
      <c r="J887" t="s">
        <v>16</v>
      </c>
      <c r="K887" t="s">
        <v>16</v>
      </c>
      <c r="L887">
        <v>1</v>
      </c>
      <c r="M887" s="7">
        <v>38.69</v>
      </c>
      <c r="N887" s="7">
        <v>305.81</v>
      </c>
      <c r="O887" t="s">
        <v>20</v>
      </c>
    </row>
    <row r="888" spans="1:15" x14ac:dyDescent="0.3">
      <c r="A888" t="s">
        <v>913</v>
      </c>
      <c r="B888" t="s">
        <v>15</v>
      </c>
      <c r="C888">
        <v>66</v>
      </c>
      <c r="D888" t="s">
        <v>16</v>
      </c>
      <c r="E888">
        <v>41</v>
      </c>
      <c r="F888" t="str">
        <f t="shared" si="13"/>
        <v>25-48 Months</v>
      </c>
      <c r="G888" t="s">
        <v>23</v>
      </c>
      <c r="H888" t="s">
        <v>18</v>
      </c>
      <c r="I888" t="s">
        <v>30</v>
      </c>
      <c r="J888" t="s">
        <v>20</v>
      </c>
      <c r="K888" t="s">
        <v>20</v>
      </c>
      <c r="L888">
        <v>8</v>
      </c>
      <c r="M888" s="7">
        <v>94.44</v>
      </c>
      <c r="N888" s="7">
        <v>3978.38</v>
      </c>
      <c r="O888" t="s">
        <v>20</v>
      </c>
    </row>
    <row r="889" spans="1:15" x14ac:dyDescent="0.3">
      <c r="A889" t="s">
        <v>914</v>
      </c>
      <c r="B889" t="s">
        <v>22</v>
      </c>
      <c r="C889">
        <v>52</v>
      </c>
      <c r="D889" t="s">
        <v>20</v>
      </c>
      <c r="E889">
        <v>19</v>
      </c>
      <c r="F889" t="str">
        <f t="shared" si="13"/>
        <v>13-24 Months</v>
      </c>
      <c r="G889" t="s">
        <v>23</v>
      </c>
      <c r="H889" t="s">
        <v>36</v>
      </c>
      <c r="I889" t="s">
        <v>24</v>
      </c>
      <c r="J889" t="s">
        <v>20</v>
      </c>
      <c r="K889" t="s">
        <v>20</v>
      </c>
      <c r="L889">
        <v>5</v>
      </c>
      <c r="M889" s="7">
        <v>55.27</v>
      </c>
      <c r="N889" s="7">
        <v>1067.68</v>
      </c>
      <c r="O889" t="s">
        <v>20</v>
      </c>
    </row>
    <row r="890" spans="1:15" x14ac:dyDescent="0.3">
      <c r="A890" t="s">
        <v>915</v>
      </c>
      <c r="B890" t="s">
        <v>22</v>
      </c>
      <c r="C890">
        <v>61</v>
      </c>
      <c r="D890" t="s">
        <v>16</v>
      </c>
      <c r="E890">
        <v>46</v>
      </c>
      <c r="F890" t="str">
        <f t="shared" si="13"/>
        <v>25-48 Months</v>
      </c>
      <c r="G890" t="s">
        <v>35</v>
      </c>
      <c r="H890" t="s">
        <v>36</v>
      </c>
      <c r="I890" t="s">
        <v>27</v>
      </c>
      <c r="J890" t="s">
        <v>20</v>
      </c>
      <c r="K890" t="s">
        <v>20</v>
      </c>
      <c r="L890">
        <v>3</v>
      </c>
      <c r="M890" s="7">
        <v>62.09</v>
      </c>
      <c r="N890" s="7">
        <v>2739.36</v>
      </c>
      <c r="O890" t="s">
        <v>20</v>
      </c>
    </row>
    <row r="891" spans="1:15" x14ac:dyDescent="0.3">
      <c r="A891" t="s">
        <v>916</v>
      </c>
      <c r="B891" t="s">
        <v>15</v>
      </c>
      <c r="C891">
        <v>55</v>
      </c>
      <c r="D891" t="s">
        <v>20</v>
      </c>
      <c r="E891">
        <v>28</v>
      </c>
      <c r="F891" t="str">
        <f t="shared" si="13"/>
        <v>25-48 Months</v>
      </c>
      <c r="G891" t="s">
        <v>35</v>
      </c>
      <c r="H891" t="s">
        <v>18</v>
      </c>
      <c r="I891" t="s">
        <v>27</v>
      </c>
      <c r="J891" t="s">
        <v>16</v>
      </c>
      <c r="K891" t="s">
        <v>20</v>
      </c>
      <c r="L891">
        <v>5</v>
      </c>
      <c r="M891" s="7">
        <v>82.3</v>
      </c>
      <c r="N891" s="7">
        <v>2419.7199999999998</v>
      </c>
      <c r="O891" t="s">
        <v>20</v>
      </c>
    </row>
    <row r="892" spans="1:15" x14ac:dyDescent="0.3">
      <c r="A892" t="s">
        <v>917</v>
      </c>
      <c r="B892" t="s">
        <v>15</v>
      </c>
      <c r="C892">
        <v>43</v>
      </c>
      <c r="D892" t="s">
        <v>20</v>
      </c>
      <c r="E892">
        <v>68</v>
      </c>
      <c r="F892" t="str">
        <f t="shared" si="13"/>
        <v>49+ Months</v>
      </c>
      <c r="G892" t="s">
        <v>23</v>
      </c>
      <c r="H892" t="s">
        <v>20</v>
      </c>
      <c r="I892" t="s">
        <v>19</v>
      </c>
      <c r="J892" t="s">
        <v>20</v>
      </c>
      <c r="K892" t="s">
        <v>20</v>
      </c>
      <c r="L892">
        <v>2</v>
      </c>
      <c r="M892" s="7">
        <v>36.69</v>
      </c>
      <c r="N892" s="7">
        <v>2614.27</v>
      </c>
      <c r="O892" t="s">
        <v>20</v>
      </c>
    </row>
    <row r="893" spans="1:15" x14ac:dyDescent="0.3">
      <c r="A893" t="s">
        <v>918</v>
      </c>
      <c r="B893" t="s">
        <v>15</v>
      </c>
      <c r="C893">
        <v>28</v>
      </c>
      <c r="D893" t="s">
        <v>20</v>
      </c>
      <c r="E893">
        <v>15</v>
      </c>
      <c r="F893" t="str">
        <f t="shared" si="13"/>
        <v>13-24 Months</v>
      </c>
      <c r="G893" t="s">
        <v>23</v>
      </c>
      <c r="H893" t="s">
        <v>18</v>
      </c>
      <c r="I893" t="s">
        <v>24</v>
      </c>
      <c r="J893" t="s">
        <v>16</v>
      </c>
      <c r="K893" t="s">
        <v>20</v>
      </c>
      <c r="L893">
        <v>3</v>
      </c>
      <c r="M893" s="7">
        <v>62.59</v>
      </c>
      <c r="N893" s="7">
        <v>1012.3</v>
      </c>
      <c r="O893" t="s">
        <v>20</v>
      </c>
    </row>
    <row r="894" spans="1:15" x14ac:dyDescent="0.3">
      <c r="A894" t="s">
        <v>919</v>
      </c>
      <c r="B894" t="s">
        <v>15</v>
      </c>
      <c r="C894">
        <v>52</v>
      </c>
      <c r="D894" t="s">
        <v>20</v>
      </c>
      <c r="E894">
        <v>37</v>
      </c>
      <c r="F894" t="str">
        <f t="shared" si="13"/>
        <v>25-48 Months</v>
      </c>
      <c r="G894" t="s">
        <v>17</v>
      </c>
      <c r="H894" t="s">
        <v>18</v>
      </c>
      <c r="I894" t="s">
        <v>19</v>
      </c>
      <c r="J894" t="s">
        <v>16</v>
      </c>
      <c r="K894" t="s">
        <v>20</v>
      </c>
      <c r="L894">
        <v>2</v>
      </c>
      <c r="M894" s="7">
        <v>75.13</v>
      </c>
      <c r="N894" s="7">
        <v>2635.28</v>
      </c>
      <c r="O894" t="s">
        <v>16</v>
      </c>
    </row>
    <row r="895" spans="1:15" x14ac:dyDescent="0.3">
      <c r="A895" t="s">
        <v>920</v>
      </c>
      <c r="B895" t="s">
        <v>15</v>
      </c>
      <c r="C895">
        <v>25</v>
      </c>
      <c r="D895" t="s">
        <v>20</v>
      </c>
      <c r="E895">
        <v>1</v>
      </c>
      <c r="F895" t="str">
        <f t="shared" si="13"/>
        <v>0-6 Months</v>
      </c>
      <c r="G895" t="s">
        <v>17</v>
      </c>
      <c r="H895" t="s">
        <v>20</v>
      </c>
      <c r="I895" t="s">
        <v>30</v>
      </c>
      <c r="J895" t="s">
        <v>20</v>
      </c>
      <c r="K895" t="s">
        <v>20</v>
      </c>
      <c r="L895">
        <v>7</v>
      </c>
      <c r="M895" s="7">
        <v>63.48</v>
      </c>
      <c r="N895" s="7">
        <v>67.010000000000005</v>
      </c>
      <c r="O895" t="s">
        <v>16</v>
      </c>
    </row>
    <row r="896" spans="1:15" x14ac:dyDescent="0.3">
      <c r="A896" t="s">
        <v>921</v>
      </c>
      <c r="B896" t="s">
        <v>22</v>
      </c>
      <c r="C896">
        <v>63</v>
      </c>
      <c r="D896" t="s">
        <v>16</v>
      </c>
      <c r="E896">
        <v>67</v>
      </c>
      <c r="F896" t="str">
        <f t="shared" si="13"/>
        <v>49+ Months</v>
      </c>
      <c r="G896" t="s">
        <v>17</v>
      </c>
      <c r="H896" t="s">
        <v>36</v>
      </c>
      <c r="I896" t="s">
        <v>19</v>
      </c>
      <c r="J896" t="s">
        <v>16</v>
      </c>
      <c r="K896" t="s">
        <v>20</v>
      </c>
      <c r="L896">
        <v>4</v>
      </c>
      <c r="M896" s="7">
        <v>59.82</v>
      </c>
      <c r="N896" s="7">
        <v>4246.4799999999996</v>
      </c>
      <c r="O896" t="s">
        <v>20</v>
      </c>
    </row>
    <row r="897" spans="1:15" x14ac:dyDescent="0.3">
      <c r="A897" t="s">
        <v>922</v>
      </c>
      <c r="B897" t="s">
        <v>22</v>
      </c>
      <c r="C897">
        <v>31</v>
      </c>
      <c r="D897" t="s">
        <v>20</v>
      </c>
      <c r="E897">
        <v>24</v>
      </c>
      <c r="F897" t="str">
        <f t="shared" si="13"/>
        <v>13-24 Months</v>
      </c>
      <c r="G897" t="s">
        <v>35</v>
      </c>
      <c r="H897" t="s">
        <v>18</v>
      </c>
      <c r="I897" t="s">
        <v>30</v>
      </c>
      <c r="J897" t="s">
        <v>16</v>
      </c>
      <c r="K897" t="s">
        <v>20</v>
      </c>
      <c r="L897">
        <v>5</v>
      </c>
      <c r="M897" s="7">
        <v>86.65</v>
      </c>
      <c r="N897" s="7">
        <v>2126.9</v>
      </c>
      <c r="O897" t="s">
        <v>20</v>
      </c>
    </row>
    <row r="898" spans="1:15" x14ac:dyDescent="0.3">
      <c r="A898" t="s">
        <v>923</v>
      </c>
      <c r="B898" t="s">
        <v>22</v>
      </c>
      <c r="C898">
        <v>27</v>
      </c>
      <c r="D898" t="s">
        <v>20</v>
      </c>
      <c r="E898">
        <v>27</v>
      </c>
      <c r="F898" t="str">
        <f t="shared" ref="F898:F961" si="14">IF(E898&lt;=6,"0-6 Months",
 IF(E898&lt;=12,"7-12 Months",
 IF(E898&lt;=24,"13-24 Months",
 IF(E898&lt;=48,"25-48 Months","49+ Months"))))</f>
        <v>25-48 Months</v>
      </c>
      <c r="G898" t="s">
        <v>17</v>
      </c>
      <c r="H898" t="s">
        <v>36</v>
      </c>
      <c r="I898" t="s">
        <v>24</v>
      </c>
      <c r="J898" t="s">
        <v>20</v>
      </c>
      <c r="K898" t="s">
        <v>20</v>
      </c>
      <c r="L898">
        <v>4</v>
      </c>
      <c r="M898" s="7">
        <v>57.33</v>
      </c>
      <c r="N898" s="7">
        <v>1549.49</v>
      </c>
      <c r="O898" t="s">
        <v>16</v>
      </c>
    </row>
    <row r="899" spans="1:15" x14ac:dyDescent="0.3">
      <c r="A899" t="s">
        <v>924</v>
      </c>
      <c r="B899" t="s">
        <v>22</v>
      </c>
      <c r="C899">
        <v>19</v>
      </c>
      <c r="D899" t="s">
        <v>20</v>
      </c>
      <c r="E899">
        <v>40</v>
      </c>
      <c r="F899" t="str">
        <f t="shared" si="14"/>
        <v>25-48 Months</v>
      </c>
      <c r="G899" t="s">
        <v>23</v>
      </c>
      <c r="H899" t="s">
        <v>36</v>
      </c>
      <c r="I899" t="s">
        <v>27</v>
      </c>
      <c r="J899" t="s">
        <v>20</v>
      </c>
      <c r="K899" t="s">
        <v>16</v>
      </c>
      <c r="L899">
        <v>3</v>
      </c>
      <c r="M899" s="7">
        <v>57.63</v>
      </c>
      <c r="N899" s="7">
        <v>2473.85</v>
      </c>
      <c r="O899" t="s">
        <v>20</v>
      </c>
    </row>
    <row r="900" spans="1:15" x14ac:dyDescent="0.3">
      <c r="A900" t="s">
        <v>925</v>
      </c>
      <c r="B900" t="s">
        <v>15</v>
      </c>
      <c r="C900">
        <v>63</v>
      </c>
      <c r="D900" t="s">
        <v>16</v>
      </c>
      <c r="E900">
        <v>63</v>
      </c>
      <c r="F900" t="str">
        <f t="shared" si="14"/>
        <v>49+ Months</v>
      </c>
      <c r="G900" t="s">
        <v>17</v>
      </c>
      <c r="H900" t="s">
        <v>18</v>
      </c>
      <c r="I900" t="s">
        <v>24</v>
      </c>
      <c r="J900" t="s">
        <v>20</v>
      </c>
      <c r="K900" t="s">
        <v>20</v>
      </c>
      <c r="L900">
        <v>3</v>
      </c>
      <c r="M900" s="7">
        <v>86.21</v>
      </c>
      <c r="N900" s="7">
        <v>5842</v>
      </c>
      <c r="O900" t="s">
        <v>20</v>
      </c>
    </row>
    <row r="901" spans="1:15" x14ac:dyDescent="0.3">
      <c r="A901" t="s">
        <v>926</v>
      </c>
      <c r="B901" t="s">
        <v>15</v>
      </c>
      <c r="C901">
        <v>26</v>
      </c>
      <c r="D901" t="s">
        <v>20</v>
      </c>
      <c r="E901">
        <v>61</v>
      </c>
      <c r="F901" t="str">
        <f t="shared" si="14"/>
        <v>49+ Months</v>
      </c>
      <c r="G901" t="s">
        <v>23</v>
      </c>
      <c r="H901" t="s">
        <v>20</v>
      </c>
      <c r="I901" t="s">
        <v>24</v>
      </c>
      <c r="J901" t="s">
        <v>16</v>
      </c>
      <c r="K901" t="s">
        <v>20</v>
      </c>
      <c r="L901">
        <v>4</v>
      </c>
      <c r="M901" s="7">
        <v>56.72</v>
      </c>
      <c r="N901" s="7">
        <v>3538.36</v>
      </c>
      <c r="O901" t="s">
        <v>20</v>
      </c>
    </row>
    <row r="902" spans="1:15" x14ac:dyDescent="0.3">
      <c r="A902" t="s">
        <v>927</v>
      </c>
      <c r="B902" t="s">
        <v>15</v>
      </c>
      <c r="C902">
        <v>20</v>
      </c>
      <c r="D902" t="s">
        <v>20</v>
      </c>
      <c r="E902">
        <v>36</v>
      </c>
      <c r="F902" t="str">
        <f t="shared" si="14"/>
        <v>25-48 Months</v>
      </c>
      <c r="G902" t="s">
        <v>35</v>
      </c>
      <c r="H902" t="s">
        <v>36</v>
      </c>
      <c r="I902" t="s">
        <v>30</v>
      </c>
      <c r="J902" t="s">
        <v>16</v>
      </c>
      <c r="K902" t="s">
        <v>16</v>
      </c>
      <c r="L902">
        <v>2</v>
      </c>
      <c r="M902" s="7">
        <v>53.22</v>
      </c>
      <c r="N902" s="7">
        <v>1872.87</v>
      </c>
      <c r="O902" t="s">
        <v>20</v>
      </c>
    </row>
    <row r="903" spans="1:15" x14ac:dyDescent="0.3">
      <c r="A903" t="s">
        <v>928</v>
      </c>
      <c r="B903" t="s">
        <v>22</v>
      </c>
      <c r="C903">
        <v>38</v>
      </c>
      <c r="D903" t="s">
        <v>20</v>
      </c>
      <c r="E903">
        <v>24</v>
      </c>
      <c r="F903" t="str">
        <f t="shared" si="14"/>
        <v>13-24 Months</v>
      </c>
      <c r="G903" t="s">
        <v>17</v>
      </c>
      <c r="H903" t="s">
        <v>36</v>
      </c>
      <c r="I903" t="s">
        <v>24</v>
      </c>
      <c r="J903" t="s">
        <v>20</v>
      </c>
      <c r="K903" t="s">
        <v>20</v>
      </c>
      <c r="L903">
        <v>8</v>
      </c>
      <c r="M903" s="7">
        <v>67.86</v>
      </c>
      <c r="N903" s="7">
        <v>1711.29</v>
      </c>
      <c r="O903" t="s">
        <v>16</v>
      </c>
    </row>
    <row r="904" spans="1:15" x14ac:dyDescent="0.3">
      <c r="A904" t="s">
        <v>929</v>
      </c>
      <c r="B904" t="s">
        <v>22</v>
      </c>
      <c r="C904">
        <v>43</v>
      </c>
      <c r="D904" t="s">
        <v>20</v>
      </c>
      <c r="E904">
        <v>24</v>
      </c>
      <c r="F904" t="str">
        <f t="shared" si="14"/>
        <v>13-24 Months</v>
      </c>
      <c r="G904" t="s">
        <v>35</v>
      </c>
      <c r="H904" t="s">
        <v>36</v>
      </c>
      <c r="I904" t="s">
        <v>24</v>
      </c>
      <c r="J904" t="s">
        <v>16</v>
      </c>
      <c r="K904" t="s">
        <v>16</v>
      </c>
      <c r="L904">
        <v>2</v>
      </c>
      <c r="M904" s="7">
        <v>55.36</v>
      </c>
      <c r="N904" s="7">
        <v>1241.32</v>
      </c>
      <c r="O904" t="s">
        <v>20</v>
      </c>
    </row>
    <row r="905" spans="1:15" x14ac:dyDescent="0.3">
      <c r="A905" t="s">
        <v>930</v>
      </c>
      <c r="B905" t="s">
        <v>15</v>
      </c>
      <c r="C905">
        <v>25</v>
      </c>
      <c r="D905" t="s">
        <v>20</v>
      </c>
      <c r="E905">
        <v>4</v>
      </c>
      <c r="F905" t="str">
        <f t="shared" si="14"/>
        <v>0-6 Months</v>
      </c>
      <c r="G905" t="s">
        <v>17</v>
      </c>
      <c r="H905" t="s">
        <v>36</v>
      </c>
      <c r="I905" t="s">
        <v>24</v>
      </c>
      <c r="J905" t="s">
        <v>20</v>
      </c>
      <c r="K905" t="s">
        <v>16</v>
      </c>
      <c r="L905">
        <v>5</v>
      </c>
      <c r="M905" s="7">
        <v>54.34</v>
      </c>
      <c r="N905" s="7">
        <v>210.08</v>
      </c>
      <c r="O905" t="s">
        <v>20</v>
      </c>
    </row>
    <row r="906" spans="1:15" x14ac:dyDescent="0.3">
      <c r="A906" t="s">
        <v>931</v>
      </c>
      <c r="B906" t="s">
        <v>15</v>
      </c>
      <c r="C906">
        <v>65</v>
      </c>
      <c r="D906" t="s">
        <v>16</v>
      </c>
      <c r="E906">
        <v>67</v>
      </c>
      <c r="F906" t="str">
        <f t="shared" si="14"/>
        <v>49+ Months</v>
      </c>
      <c r="G906" t="s">
        <v>17</v>
      </c>
      <c r="H906" t="s">
        <v>18</v>
      </c>
      <c r="I906" t="s">
        <v>30</v>
      </c>
      <c r="J906" t="s">
        <v>16</v>
      </c>
      <c r="K906" t="s">
        <v>16</v>
      </c>
      <c r="L906">
        <v>3</v>
      </c>
      <c r="M906" s="7">
        <v>70.63</v>
      </c>
      <c r="N906" s="7">
        <v>5099.8500000000004</v>
      </c>
      <c r="O906" t="s">
        <v>20</v>
      </c>
    </row>
    <row r="907" spans="1:15" x14ac:dyDescent="0.3">
      <c r="A907" t="s">
        <v>932</v>
      </c>
      <c r="B907" t="s">
        <v>22</v>
      </c>
      <c r="C907">
        <v>19</v>
      </c>
      <c r="D907" t="s">
        <v>20</v>
      </c>
      <c r="E907">
        <v>34</v>
      </c>
      <c r="F907" t="str">
        <f t="shared" si="14"/>
        <v>25-48 Months</v>
      </c>
      <c r="G907" t="s">
        <v>35</v>
      </c>
      <c r="H907" t="s">
        <v>18</v>
      </c>
      <c r="I907" t="s">
        <v>27</v>
      </c>
      <c r="J907" t="s">
        <v>20</v>
      </c>
      <c r="K907" t="s">
        <v>20</v>
      </c>
      <c r="L907">
        <v>3</v>
      </c>
      <c r="M907" s="7">
        <v>71.430000000000007</v>
      </c>
      <c r="N907" s="7">
        <v>2550.7600000000002</v>
      </c>
      <c r="O907" t="s">
        <v>20</v>
      </c>
    </row>
    <row r="908" spans="1:15" x14ac:dyDescent="0.3">
      <c r="A908" t="s">
        <v>933</v>
      </c>
      <c r="B908" t="s">
        <v>22</v>
      </c>
      <c r="C908">
        <v>23</v>
      </c>
      <c r="D908" t="s">
        <v>20</v>
      </c>
      <c r="E908">
        <v>57</v>
      </c>
      <c r="F908" t="str">
        <f t="shared" si="14"/>
        <v>49+ Months</v>
      </c>
      <c r="G908" t="s">
        <v>17</v>
      </c>
      <c r="H908" t="s">
        <v>36</v>
      </c>
      <c r="I908" t="s">
        <v>27</v>
      </c>
      <c r="J908" t="s">
        <v>20</v>
      </c>
      <c r="K908" t="s">
        <v>20</v>
      </c>
      <c r="L908">
        <v>8</v>
      </c>
      <c r="M908" s="7">
        <v>89.29</v>
      </c>
      <c r="N908" s="7">
        <v>5447.49</v>
      </c>
      <c r="O908" t="s">
        <v>20</v>
      </c>
    </row>
    <row r="909" spans="1:15" x14ac:dyDescent="0.3">
      <c r="A909" t="s">
        <v>934</v>
      </c>
      <c r="B909" t="s">
        <v>15</v>
      </c>
      <c r="C909">
        <v>45</v>
      </c>
      <c r="D909" t="s">
        <v>20</v>
      </c>
      <c r="E909">
        <v>49</v>
      </c>
      <c r="F909" t="str">
        <f t="shared" si="14"/>
        <v>49+ Months</v>
      </c>
      <c r="G909" t="s">
        <v>35</v>
      </c>
      <c r="H909" t="s">
        <v>20</v>
      </c>
      <c r="I909" t="s">
        <v>19</v>
      </c>
      <c r="J909" t="s">
        <v>20</v>
      </c>
      <c r="K909" t="s">
        <v>20</v>
      </c>
      <c r="L909">
        <v>4</v>
      </c>
      <c r="M909" s="7">
        <v>51</v>
      </c>
      <c r="N909" s="7">
        <v>2536.9</v>
      </c>
      <c r="O909" t="s">
        <v>20</v>
      </c>
    </row>
    <row r="910" spans="1:15" x14ac:dyDescent="0.3">
      <c r="A910" t="s">
        <v>935</v>
      </c>
      <c r="B910" t="s">
        <v>15</v>
      </c>
      <c r="C910">
        <v>70</v>
      </c>
      <c r="D910" t="s">
        <v>16</v>
      </c>
      <c r="E910">
        <v>53</v>
      </c>
      <c r="F910" t="str">
        <f t="shared" si="14"/>
        <v>49+ Months</v>
      </c>
      <c r="G910" t="s">
        <v>17</v>
      </c>
      <c r="H910" t="s">
        <v>18</v>
      </c>
      <c r="I910" t="s">
        <v>24</v>
      </c>
      <c r="J910" t="s">
        <v>16</v>
      </c>
      <c r="K910" t="s">
        <v>20</v>
      </c>
      <c r="L910">
        <v>5</v>
      </c>
      <c r="M910" s="7">
        <v>91.55</v>
      </c>
      <c r="N910" s="7">
        <v>4780.47</v>
      </c>
      <c r="O910" t="s">
        <v>16</v>
      </c>
    </row>
    <row r="911" spans="1:15" x14ac:dyDescent="0.3">
      <c r="A911" t="s">
        <v>936</v>
      </c>
      <c r="B911" t="s">
        <v>22</v>
      </c>
      <c r="C911">
        <v>46</v>
      </c>
      <c r="D911" t="s">
        <v>20</v>
      </c>
      <c r="E911">
        <v>23</v>
      </c>
      <c r="F911" t="str">
        <f t="shared" si="14"/>
        <v>13-24 Months</v>
      </c>
      <c r="G911" t="s">
        <v>17</v>
      </c>
      <c r="H911" t="s">
        <v>36</v>
      </c>
      <c r="I911" t="s">
        <v>30</v>
      </c>
      <c r="J911" t="s">
        <v>20</v>
      </c>
      <c r="K911" t="s">
        <v>16</v>
      </c>
      <c r="L911">
        <v>5</v>
      </c>
      <c r="M911" s="7">
        <v>68.75</v>
      </c>
      <c r="N911" s="7">
        <v>1702.61</v>
      </c>
      <c r="O911" t="s">
        <v>16</v>
      </c>
    </row>
    <row r="912" spans="1:15" x14ac:dyDescent="0.3">
      <c r="A912" t="s">
        <v>937</v>
      </c>
      <c r="B912" t="s">
        <v>15</v>
      </c>
      <c r="C912">
        <v>43</v>
      </c>
      <c r="D912" t="s">
        <v>20</v>
      </c>
      <c r="E912">
        <v>69</v>
      </c>
      <c r="F912" t="str">
        <f t="shared" si="14"/>
        <v>49+ Months</v>
      </c>
      <c r="G912" t="s">
        <v>35</v>
      </c>
      <c r="H912" t="s">
        <v>20</v>
      </c>
      <c r="I912" t="s">
        <v>30</v>
      </c>
      <c r="J912" t="s">
        <v>16</v>
      </c>
      <c r="K912" t="s">
        <v>16</v>
      </c>
      <c r="L912">
        <v>3</v>
      </c>
      <c r="M912" s="7">
        <v>30.64</v>
      </c>
      <c r="N912" s="7">
        <v>2049.6999999999998</v>
      </c>
      <c r="O912" t="s">
        <v>20</v>
      </c>
    </row>
    <row r="913" spans="1:15" x14ac:dyDescent="0.3">
      <c r="A913" t="s">
        <v>938</v>
      </c>
      <c r="B913" t="s">
        <v>15</v>
      </c>
      <c r="C913">
        <v>42</v>
      </c>
      <c r="D913" t="s">
        <v>20</v>
      </c>
      <c r="E913">
        <v>53</v>
      </c>
      <c r="F913" t="str">
        <f t="shared" si="14"/>
        <v>49+ Months</v>
      </c>
      <c r="G913" t="s">
        <v>17</v>
      </c>
      <c r="H913" t="s">
        <v>18</v>
      </c>
      <c r="I913" t="s">
        <v>24</v>
      </c>
      <c r="J913" t="s">
        <v>20</v>
      </c>
      <c r="K913" t="s">
        <v>16</v>
      </c>
      <c r="L913">
        <v>7</v>
      </c>
      <c r="M913" s="7">
        <v>92.65</v>
      </c>
      <c r="N913" s="7">
        <v>5112.6899999999996</v>
      </c>
      <c r="O913" t="s">
        <v>20</v>
      </c>
    </row>
    <row r="914" spans="1:15" x14ac:dyDescent="0.3">
      <c r="A914" t="s">
        <v>939</v>
      </c>
      <c r="B914" t="s">
        <v>15</v>
      </c>
      <c r="C914">
        <v>29</v>
      </c>
      <c r="D914" t="s">
        <v>20</v>
      </c>
      <c r="E914">
        <v>62</v>
      </c>
      <c r="F914" t="str">
        <f t="shared" si="14"/>
        <v>49+ Months</v>
      </c>
      <c r="G914" t="s">
        <v>35</v>
      </c>
      <c r="H914" t="s">
        <v>18</v>
      </c>
      <c r="I914" t="s">
        <v>24</v>
      </c>
      <c r="J914" t="s">
        <v>20</v>
      </c>
      <c r="K914" t="s">
        <v>20</v>
      </c>
      <c r="L914">
        <v>2</v>
      </c>
      <c r="M914" s="7">
        <v>83.87</v>
      </c>
      <c r="N914" s="7">
        <v>5248.37</v>
      </c>
      <c r="O914" t="s">
        <v>20</v>
      </c>
    </row>
    <row r="915" spans="1:15" x14ac:dyDescent="0.3">
      <c r="A915" t="s">
        <v>940</v>
      </c>
      <c r="B915" t="s">
        <v>22</v>
      </c>
      <c r="C915">
        <v>22</v>
      </c>
      <c r="D915" t="s">
        <v>20</v>
      </c>
      <c r="E915">
        <v>41</v>
      </c>
      <c r="F915" t="str">
        <f t="shared" si="14"/>
        <v>25-48 Months</v>
      </c>
      <c r="G915" t="s">
        <v>35</v>
      </c>
      <c r="H915" t="s">
        <v>18</v>
      </c>
      <c r="I915" t="s">
        <v>24</v>
      </c>
      <c r="J915" t="s">
        <v>16</v>
      </c>
      <c r="K915" t="s">
        <v>20</v>
      </c>
      <c r="L915">
        <v>4</v>
      </c>
      <c r="M915" s="7">
        <v>82.13</v>
      </c>
      <c r="N915" s="7">
        <v>3221.06</v>
      </c>
      <c r="O915" t="s">
        <v>20</v>
      </c>
    </row>
    <row r="916" spans="1:15" x14ac:dyDescent="0.3">
      <c r="A916" t="s">
        <v>941</v>
      </c>
      <c r="B916" t="s">
        <v>22</v>
      </c>
      <c r="C916">
        <v>51</v>
      </c>
      <c r="D916" t="s">
        <v>20</v>
      </c>
      <c r="E916">
        <v>57</v>
      </c>
      <c r="F916" t="str">
        <f t="shared" si="14"/>
        <v>49+ Months</v>
      </c>
      <c r="G916" t="s">
        <v>17</v>
      </c>
      <c r="H916" t="s">
        <v>36</v>
      </c>
      <c r="I916" t="s">
        <v>27</v>
      </c>
      <c r="J916" t="s">
        <v>20</v>
      </c>
      <c r="K916" t="s">
        <v>16</v>
      </c>
      <c r="L916">
        <v>6</v>
      </c>
      <c r="M916" s="7">
        <v>74.209999999999994</v>
      </c>
      <c r="N916" s="7">
        <v>3903.41</v>
      </c>
      <c r="O916" t="s">
        <v>20</v>
      </c>
    </row>
    <row r="917" spans="1:15" x14ac:dyDescent="0.3">
      <c r="A917" t="s">
        <v>942</v>
      </c>
      <c r="B917" t="s">
        <v>22</v>
      </c>
      <c r="C917">
        <v>65</v>
      </c>
      <c r="D917" t="s">
        <v>16</v>
      </c>
      <c r="E917">
        <v>60</v>
      </c>
      <c r="F917" t="str">
        <f t="shared" si="14"/>
        <v>49+ Months</v>
      </c>
      <c r="G917" t="s">
        <v>17</v>
      </c>
      <c r="H917" t="s">
        <v>18</v>
      </c>
      <c r="I917" t="s">
        <v>19</v>
      </c>
      <c r="J917" t="s">
        <v>20</v>
      </c>
      <c r="K917" t="s">
        <v>16</v>
      </c>
      <c r="L917">
        <v>6</v>
      </c>
      <c r="M917" s="7">
        <v>75.73</v>
      </c>
      <c r="N917" s="7">
        <v>4459.3</v>
      </c>
      <c r="O917" t="s">
        <v>20</v>
      </c>
    </row>
    <row r="918" spans="1:15" x14ac:dyDescent="0.3">
      <c r="A918" t="s">
        <v>943</v>
      </c>
      <c r="B918" t="s">
        <v>22</v>
      </c>
      <c r="C918">
        <v>54</v>
      </c>
      <c r="D918" t="s">
        <v>20</v>
      </c>
      <c r="E918">
        <v>54</v>
      </c>
      <c r="F918" t="str">
        <f t="shared" si="14"/>
        <v>49+ Months</v>
      </c>
      <c r="G918" t="s">
        <v>17</v>
      </c>
      <c r="H918" t="s">
        <v>18</v>
      </c>
      <c r="I918" t="s">
        <v>27</v>
      </c>
      <c r="J918" t="s">
        <v>20</v>
      </c>
      <c r="K918" t="s">
        <v>16</v>
      </c>
      <c r="L918">
        <v>5</v>
      </c>
      <c r="M918" s="7">
        <v>88.05</v>
      </c>
      <c r="N918" s="7">
        <v>4790.9799999999996</v>
      </c>
      <c r="O918" t="s">
        <v>20</v>
      </c>
    </row>
    <row r="919" spans="1:15" x14ac:dyDescent="0.3">
      <c r="A919" t="s">
        <v>944</v>
      </c>
      <c r="B919" t="s">
        <v>22</v>
      </c>
      <c r="C919">
        <v>32</v>
      </c>
      <c r="D919" t="s">
        <v>20</v>
      </c>
      <c r="E919">
        <v>70</v>
      </c>
      <c r="F919" t="str">
        <f t="shared" si="14"/>
        <v>49+ Months</v>
      </c>
      <c r="G919" t="s">
        <v>17</v>
      </c>
      <c r="H919" t="s">
        <v>36</v>
      </c>
      <c r="I919" t="s">
        <v>24</v>
      </c>
      <c r="J919" t="s">
        <v>20</v>
      </c>
      <c r="K919" t="s">
        <v>20</v>
      </c>
      <c r="L919">
        <v>3</v>
      </c>
      <c r="M919" s="7">
        <v>47.62</v>
      </c>
      <c r="N919" s="7">
        <v>3164.43</v>
      </c>
      <c r="O919" t="s">
        <v>20</v>
      </c>
    </row>
    <row r="920" spans="1:15" x14ac:dyDescent="0.3">
      <c r="A920" t="s">
        <v>945</v>
      </c>
      <c r="B920" t="s">
        <v>22</v>
      </c>
      <c r="C920">
        <v>61</v>
      </c>
      <c r="D920" t="s">
        <v>16</v>
      </c>
      <c r="E920">
        <v>57</v>
      </c>
      <c r="F920" t="str">
        <f t="shared" si="14"/>
        <v>49+ Months</v>
      </c>
      <c r="G920" t="s">
        <v>17</v>
      </c>
      <c r="H920" t="s">
        <v>36</v>
      </c>
      <c r="I920" t="s">
        <v>24</v>
      </c>
      <c r="J920" t="s">
        <v>20</v>
      </c>
      <c r="K920" t="s">
        <v>16</v>
      </c>
      <c r="L920">
        <v>4</v>
      </c>
      <c r="M920" s="7">
        <v>57.45</v>
      </c>
      <c r="N920" s="7">
        <v>3229.88</v>
      </c>
      <c r="O920" t="s">
        <v>20</v>
      </c>
    </row>
    <row r="921" spans="1:15" x14ac:dyDescent="0.3">
      <c r="A921" t="s">
        <v>946</v>
      </c>
      <c r="B921" t="s">
        <v>22</v>
      </c>
      <c r="C921">
        <v>53</v>
      </c>
      <c r="D921" t="s">
        <v>20</v>
      </c>
      <c r="E921">
        <v>10</v>
      </c>
      <c r="F921" t="str">
        <f t="shared" si="14"/>
        <v>7-12 Months</v>
      </c>
      <c r="G921" t="s">
        <v>17</v>
      </c>
      <c r="H921" t="s">
        <v>18</v>
      </c>
      <c r="I921" t="s">
        <v>19</v>
      </c>
      <c r="J921" t="s">
        <v>20</v>
      </c>
      <c r="K921" t="s">
        <v>16</v>
      </c>
      <c r="L921">
        <v>3</v>
      </c>
      <c r="M921" s="7">
        <v>84.95</v>
      </c>
      <c r="N921" s="7">
        <v>865.16</v>
      </c>
      <c r="O921" t="s">
        <v>20</v>
      </c>
    </row>
    <row r="922" spans="1:15" x14ac:dyDescent="0.3">
      <c r="A922" t="s">
        <v>947</v>
      </c>
      <c r="B922" t="s">
        <v>15</v>
      </c>
      <c r="C922">
        <v>32</v>
      </c>
      <c r="D922" t="s">
        <v>20</v>
      </c>
      <c r="E922">
        <v>40</v>
      </c>
      <c r="F922" t="str">
        <f t="shared" si="14"/>
        <v>25-48 Months</v>
      </c>
      <c r="G922" t="s">
        <v>17</v>
      </c>
      <c r="H922" t="s">
        <v>18</v>
      </c>
      <c r="I922" t="s">
        <v>19</v>
      </c>
      <c r="J922" t="s">
        <v>20</v>
      </c>
      <c r="K922" t="s">
        <v>20</v>
      </c>
      <c r="L922">
        <v>2</v>
      </c>
      <c r="M922" s="7">
        <v>73.430000000000007</v>
      </c>
      <c r="N922" s="7">
        <v>3038.2</v>
      </c>
      <c r="O922" t="s">
        <v>20</v>
      </c>
    </row>
    <row r="923" spans="1:15" x14ac:dyDescent="0.3">
      <c r="A923" t="s">
        <v>948</v>
      </c>
      <c r="B923" t="s">
        <v>15</v>
      </c>
      <c r="C923">
        <v>60</v>
      </c>
      <c r="D923" t="s">
        <v>16</v>
      </c>
      <c r="E923">
        <v>7</v>
      </c>
      <c r="F923" t="str">
        <f t="shared" si="14"/>
        <v>7-12 Months</v>
      </c>
      <c r="G923" t="s">
        <v>17</v>
      </c>
      <c r="H923" t="s">
        <v>36</v>
      </c>
      <c r="I923" t="s">
        <v>24</v>
      </c>
      <c r="J923" t="s">
        <v>20</v>
      </c>
      <c r="K923" t="s">
        <v>20</v>
      </c>
      <c r="L923">
        <v>1</v>
      </c>
      <c r="M923" s="7">
        <v>52.71</v>
      </c>
      <c r="N923" s="7">
        <v>342.57</v>
      </c>
      <c r="O923" t="s">
        <v>16</v>
      </c>
    </row>
    <row r="924" spans="1:15" x14ac:dyDescent="0.3">
      <c r="A924" t="s">
        <v>949</v>
      </c>
      <c r="B924" t="s">
        <v>15</v>
      </c>
      <c r="C924">
        <v>65</v>
      </c>
      <c r="D924" t="s">
        <v>16</v>
      </c>
      <c r="E924">
        <v>38</v>
      </c>
      <c r="F924" t="str">
        <f t="shared" si="14"/>
        <v>25-48 Months</v>
      </c>
      <c r="G924" t="s">
        <v>35</v>
      </c>
      <c r="H924" t="s">
        <v>20</v>
      </c>
      <c r="I924" t="s">
        <v>24</v>
      </c>
      <c r="J924" t="s">
        <v>16</v>
      </c>
      <c r="K924" t="s">
        <v>20</v>
      </c>
      <c r="L924">
        <v>2</v>
      </c>
      <c r="M924" s="7">
        <v>31.71</v>
      </c>
      <c r="N924" s="7">
        <v>1236.6300000000001</v>
      </c>
      <c r="O924" t="s">
        <v>20</v>
      </c>
    </row>
    <row r="925" spans="1:15" x14ac:dyDescent="0.3">
      <c r="A925" t="s">
        <v>950</v>
      </c>
      <c r="B925" t="s">
        <v>15</v>
      </c>
      <c r="C925">
        <v>40</v>
      </c>
      <c r="D925" t="s">
        <v>20</v>
      </c>
      <c r="E925">
        <v>61</v>
      </c>
      <c r="F925" t="str">
        <f t="shared" si="14"/>
        <v>49+ Months</v>
      </c>
      <c r="G925" t="s">
        <v>35</v>
      </c>
      <c r="H925" t="s">
        <v>20</v>
      </c>
      <c r="I925" t="s">
        <v>24</v>
      </c>
      <c r="J925" t="s">
        <v>20</v>
      </c>
      <c r="K925" t="s">
        <v>20</v>
      </c>
      <c r="L925">
        <v>2</v>
      </c>
      <c r="M925" s="7">
        <v>20</v>
      </c>
      <c r="N925" s="7">
        <v>1133.46</v>
      </c>
      <c r="O925" t="s">
        <v>20</v>
      </c>
    </row>
    <row r="926" spans="1:15" x14ac:dyDescent="0.3">
      <c r="A926" t="s">
        <v>951</v>
      </c>
      <c r="B926" t="s">
        <v>15</v>
      </c>
      <c r="C926">
        <v>23</v>
      </c>
      <c r="D926" t="s">
        <v>20</v>
      </c>
      <c r="E926">
        <v>3</v>
      </c>
      <c r="F926" t="str">
        <f t="shared" si="14"/>
        <v>0-6 Months</v>
      </c>
      <c r="G926" t="s">
        <v>23</v>
      </c>
      <c r="H926" t="s">
        <v>36</v>
      </c>
      <c r="I926" t="s">
        <v>24</v>
      </c>
      <c r="J926" t="s">
        <v>20</v>
      </c>
      <c r="K926" t="s">
        <v>20</v>
      </c>
      <c r="L926">
        <v>4</v>
      </c>
      <c r="M926" s="7">
        <v>52.45</v>
      </c>
      <c r="N926" s="7">
        <v>145.47</v>
      </c>
      <c r="O926" t="s">
        <v>20</v>
      </c>
    </row>
    <row r="927" spans="1:15" x14ac:dyDescent="0.3">
      <c r="A927" t="s">
        <v>952</v>
      </c>
      <c r="B927" t="s">
        <v>15</v>
      </c>
      <c r="C927">
        <v>63</v>
      </c>
      <c r="D927" t="s">
        <v>16</v>
      </c>
      <c r="E927">
        <v>51</v>
      </c>
      <c r="F927" t="str">
        <f t="shared" si="14"/>
        <v>49+ Months</v>
      </c>
      <c r="G927" t="s">
        <v>17</v>
      </c>
      <c r="H927" t="s">
        <v>18</v>
      </c>
      <c r="I927" t="s">
        <v>19</v>
      </c>
      <c r="J927" t="s">
        <v>20</v>
      </c>
      <c r="K927" t="s">
        <v>20</v>
      </c>
      <c r="L927">
        <v>2</v>
      </c>
      <c r="M927" s="7">
        <v>75.760000000000005</v>
      </c>
      <c r="N927" s="7">
        <v>3648.88</v>
      </c>
      <c r="O927" t="s">
        <v>16</v>
      </c>
    </row>
    <row r="928" spans="1:15" x14ac:dyDescent="0.3">
      <c r="A928" t="s">
        <v>953</v>
      </c>
      <c r="B928" t="s">
        <v>15</v>
      </c>
      <c r="C928">
        <v>67</v>
      </c>
      <c r="D928" t="s">
        <v>16</v>
      </c>
      <c r="E928">
        <v>47</v>
      </c>
      <c r="F928" t="str">
        <f t="shared" si="14"/>
        <v>25-48 Months</v>
      </c>
      <c r="G928" t="s">
        <v>35</v>
      </c>
      <c r="H928" t="s">
        <v>18</v>
      </c>
      <c r="I928" t="s">
        <v>27</v>
      </c>
      <c r="J928" t="s">
        <v>20</v>
      </c>
      <c r="K928" t="s">
        <v>20</v>
      </c>
      <c r="L928">
        <v>4</v>
      </c>
      <c r="M928" s="7">
        <v>81.34</v>
      </c>
      <c r="N928" s="7">
        <v>3916.96</v>
      </c>
      <c r="O928" t="s">
        <v>20</v>
      </c>
    </row>
    <row r="929" spans="1:15" x14ac:dyDescent="0.3">
      <c r="A929" t="s">
        <v>954</v>
      </c>
      <c r="B929" t="s">
        <v>22</v>
      </c>
      <c r="C929">
        <v>61</v>
      </c>
      <c r="D929" t="s">
        <v>16</v>
      </c>
      <c r="E929">
        <v>68</v>
      </c>
      <c r="F929" t="str">
        <f t="shared" si="14"/>
        <v>49+ Months</v>
      </c>
      <c r="G929" t="s">
        <v>17</v>
      </c>
      <c r="H929" t="s">
        <v>18</v>
      </c>
      <c r="I929" t="s">
        <v>19</v>
      </c>
      <c r="J929" t="s">
        <v>20</v>
      </c>
      <c r="K929" t="s">
        <v>16</v>
      </c>
      <c r="L929">
        <v>6</v>
      </c>
      <c r="M929" s="7">
        <v>98.64</v>
      </c>
      <c r="N929" s="7">
        <v>6227.61</v>
      </c>
      <c r="O929" t="s">
        <v>20</v>
      </c>
    </row>
    <row r="930" spans="1:15" x14ac:dyDescent="0.3">
      <c r="A930" t="s">
        <v>955</v>
      </c>
      <c r="B930" t="s">
        <v>22</v>
      </c>
      <c r="C930">
        <v>60</v>
      </c>
      <c r="D930" t="s">
        <v>16</v>
      </c>
      <c r="E930">
        <v>38</v>
      </c>
      <c r="F930" t="str">
        <f t="shared" si="14"/>
        <v>25-48 Months</v>
      </c>
      <c r="G930" t="s">
        <v>23</v>
      </c>
      <c r="H930" t="s">
        <v>18</v>
      </c>
      <c r="I930" t="s">
        <v>30</v>
      </c>
      <c r="J930" t="s">
        <v>20</v>
      </c>
      <c r="K930" t="s">
        <v>20</v>
      </c>
      <c r="L930">
        <v>8</v>
      </c>
      <c r="M930" s="7">
        <v>95.89</v>
      </c>
      <c r="N930" s="7">
        <v>3364.5</v>
      </c>
      <c r="O930" t="s">
        <v>20</v>
      </c>
    </row>
    <row r="931" spans="1:15" x14ac:dyDescent="0.3">
      <c r="A931" t="s">
        <v>956</v>
      </c>
      <c r="B931" t="s">
        <v>15</v>
      </c>
      <c r="C931">
        <v>62</v>
      </c>
      <c r="D931" t="s">
        <v>16</v>
      </c>
      <c r="E931">
        <v>36</v>
      </c>
      <c r="F931" t="str">
        <f t="shared" si="14"/>
        <v>25-48 Months</v>
      </c>
      <c r="G931" t="s">
        <v>35</v>
      </c>
      <c r="H931" t="s">
        <v>36</v>
      </c>
      <c r="I931" t="s">
        <v>19</v>
      </c>
      <c r="J931" t="s">
        <v>20</v>
      </c>
      <c r="K931" t="s">
        <v>20</v>
      </c>
      <c r="L931">
        <v>5</v>
      </c>
      <c r="M931" s="7">
        <v>56.75</v>
      </c>
      <c r="N931" s="7">
        <v>1918.12</v>
      </c>
      <c r="O931" t="s">
        <v>20</v>
      </c>
    </row>
    <row r="932" spans="1:15" x14ac:dyDescent="0.3">
      <c r="A932" t="s">
        <v>957</v>
      </c>
      <c r="B932" t="s">
        <v>15</v>
      </c>
      <c r="C932">
        <v>38</v>
      </c>
      <c r="D932" t="s">
        <v>20</v>
      </c>
      <c r="E932">
        <v>41</v>
      </c>
      <c r="F932" t="str">
        <f t="shared" si="14"/>
        <v>25-48 Months</v>
      </c>
      <c r="G932" t="s">
        <v>17</v>
      </c>
      <c r="H932" t="s">
        <v>18</v>
      </c>
      <c r="I932" t="s">
        <v>24</v>
      </c>
      <c r="J932" t="s">
        <v>16</v>
      </c>
      <c r="K932" t="s">
        <v>16</v>
      </c>
      <c r="L932">
        <v>7</v>
      </c>
      <c r="M932" s="7">
        <v>90.82</v>
      </c>
      <c r="N932" s="7">
        <v>3991.55</v>
      </c>
      <c r="O932" t="s">
        <v>20</v>
      </c>
    </row>
    <row r="933" spans="1:15" x14ac:dyDescent="0.3">
      <c r="A933" t="s">
        <v>958</v>
      </c>
      <c r="B933" t="s">
        <v>22</v>
      </c>
      <c r="C933">
        <v>40</v>
      </c>
      <c r="D933" t="s">
        <v>20</v>
      </c>
      <c r="E933">
        <v>69</v>
      </c>
      <c r="F933" t="str">
        <f t="shared" si="14"/>
        <v>49+ Months</v>
      </c>
      <c r="G933" t="s">
        <v>23</v>
      </c>
      <c r="H933" t="s">
        <v>18</v>
      </c>
      <c r="I933" t="s">
        <v>24</v>
      </c>
      <c r="J933" t="s">
        <v>20</v>
      </c>
      <c r="K933" t="s">
        <v>20</v>
      </c>
      <c r="L933">
        <v>2</v>
      </c>
      <c r="M933" s="7">
        <v>77.98</v>
      </c>
      <c r="N933" s="7">
        <v>5731.25</v>
      </c>
      <c r="O933" t="s">
        <v>20</v>
      </c>
    </row>
    <row r="934" spans="1:15" x14ac:dyDescent="0.3">
      <c r="A934" t="s">
        <v>959</v>
      </c>
      <c r="B934" t="s">
        <v>15</v>
      </c>
      <c r="C934">
        <v>60</v>
      </c>
      <c r="D934" t="s">
        <v>16</v>
      </c>
      <c r="E934">
        <v>13</v>
      </c>
      <c r="F934" t="str">
        <f t="shared" si="14"/>
        <v>13-24 Months</v>
      </c>
      <c r="G934" t="s">
        <v>35</v>
      </c>
      <c r="H934" t="s">
        <v>20</v>
      </c>
      <c r="I934" t="s">
        <v>19</v>
      </c>
      <c r="J934" t="s">
        <v>16</v>
      </c>
      <c r="K934" t="s">
        <v>16</v>
      </c>
      <c r="L934">
        <v>7</v>
      </c>
      <c r="M934" s="7">
        <v>40.700000000000003</v>
      </c>
      <c r="N934" s="7">
        <v>494.09</v>
      </c>
      <c r="O934" t="s">
        <v>20</v>
      </c>
    </row>
    <row r="935" spans="1:15" x14ac:dyDescent="0.3">
      <c r="A935" t="s">
        <v>960</v>
      </c>
      <c r="B935" t="s">
        <v>15</v>
      </c>
      <c r="C935">
        <v>72</v>
      </c>
      <c r="D935" t="s">
        <v>16</v>
      </c>
      <c r="E935">
        <v>58</v>
      </c>
      <c r="F935" t="str">
        <f t="shared" si="14"/>
        <v>49+ Months</v>
      </c>
      <c r="G935" t="s">
        <v>35</v>
      </c>
      <c r="H935" t="s">
        <v>18</v>
      </c>
      <c r="I935" t="s">
        <v>19</v>
      </c>
      <c r="J935" t="s">
        <v>16</v>
      </c>
      <c r="K935" t="s">
        <v>20</v>
      </c>
      <c r="L935">
        <v>3</v>
      </c>
      <c r="M935" s="7">
        <v>77.42</v>
      </c>
      <c r="N935" s="7">
        <v>4349.55</v>
      </c>
      <c r="O935" t="s">
        <v>20</v>
      </c>
    </row>
    <row r="936" spans="1:15" x14ac:dyDescent="0.3">
      <c r="A936" t="s">
        <v>961</v>
      </c>
      <c r="B936" t="s">
        <v>22</v>
      </c>
      <c r="C936">
        <v>33</v>
      </c>
      <c r="D936" t="s">
        <v>20</v>
      </c>
      <c r="E936">
        <v>50</v>
      </c>
      <c r="F936" t="str">
        <f t="shared" si="14"/>
        <v>49+ Months</v>
      </c>
      <c r="G936" t="s">
        <v>23</v>
      </c>
      <c r="H936" t="s">
        <v>18</v>
      </c>
      <c r="I936" t="s">
        <v>24</v>
      </c>
      <c r="J936" t="s">
        <v>20</v>
      </c>
      <c r="K936" t="s">
        <v>20</v>
      </c>
      <c r="L936">
        <v>4</v>
      </c>
      <c r="M936" s="7">
        <v>70.180000000000007</v>
      </c>
      <c r="N936" s="7">
        <v>3760.13</v>
      </c>
      <c r="O936" t="s">
        <v>20</v>
      </c>
    </row>
    <row r="937" spans="1:15" x14ac:dyDescent="0.3">
      <c r="A937" t="s">
        <v>962</v>
      </c>
      <c r="B937" t="s">
        <v>15</v>
      </c>
      <c r="C937">
        <v>64</v>
      </c>
      <c r="D937" t="s">
        <v>16</v>
      </c>
      <c r="E937">
        <v>30</v>
      </c>
      <c r="F937" t="str">
        <f t="shared" si="14"/>
        <v>25-48 Months</v>
      </c>
      <c r="G937" t="s">
        <v>17</v>
      </c>
      <c r="H937" t="s">
        <v>18</v>
      </c>
      <c r="I937" t="s">
        <v>27</v>
      </c>
      <c r="J937" t="s">
        <v>20</v>
      </c>
      <c r="K937" t="s">
        <v>16</v>
      </c>
      <c r="L937">
        <v>3</v>
      </c>
      <c r="M937" s="7">
        <v>76.14</v>
      </c>
      <c r="N937" s="7">
        <v>2137.17</v>
      </c>
      <c r="O937" t="s">
        <v>16</v>
      </c>
    </row>
    <row r="938" spans="1:15" x14ac:dyDescent="0.3">
      <c r="A938" t="s">
        <v>963</v>
      </c>
      <c r="B938" t="s">
        <v>22</v>
      </c>
      <c r="C938">
        <v>70</v>
      </c>
      <c r="D938" t="s">
        <v>16</v>
      </c>
      <c r="E938">
        <v>62</v>
      </c>
      <c r="F938" t="str">
        <f t="shared" si="14"/>
        <v>49+ Months</v>
      </c>
      <c r="G938" t="s">
        <v>17</v>
      </c>
      <c r="H938" t="s">
        <v>36</v>
      </c>
      <c r="I938" t="s">
        <v>19</v>
      </c>
      <c r="J938" t="s">
        <v>20</v>
      </c>
      <c r="K938" t="s">
        <v>20</v>
      </c>
      <c r="L938">
        <v>6</v>
      </c>
      <c r="M938" s="7">
        <v>72.09</v>
      </c>
      <c r="N938" s="7">
        <v>4179.66</v>
      </c>
      <c r="O938" t="s">
        <v>20</v>
      </c>
    </row>
    <row r="939" spans="1:15" x14ac:dyDescent="0.3">
      <c r="A939" t="s">
        <v>964</v>
      </c>
      <c r="B939" t="s">
        <v>15</v>
      </c>
      <c r="C939">
        <v>32</v>
      </c>
      <c r="D939" t="s">
        <v>20</v>
      </c>
      <c r="E939">
        <v>25</v>
      </c>
      <c r="F939" t="str">
        <f t="shared" si="14"/>
        <v>25-48 Months</v>
      </c>
      <c r="G939" t="s">
        <v>17</v>
      </c>
      <c r="H939" t="s">
        <v>36</v>
      </c>
      <c r="I939" t="s">
        <v>24</v>
      </c>
      <c r="J939" t="s">
        <v>20</v>
      </c>
      <c r="K939" t="s">
        <v>20</v>
      </c>
      <c r="L939">
        <v>4</v>
      </c>
      <c r="M939" s="7">
        <v>62.86</v>
      </c>
      <c r="N939" s="7">
        <v>1467.4</v>
      </c>
      <c r="O939" t="s">
        <v>20</v>
      </c>
    </row>
    <row r="940" spans="1:15" x14ac:dyDescent="0.3">
      <c r="A940" t="s">
        <v>965</v>
      </c>
      <c r="B940" t="s">
        <v>22</v>
      </c>
      <c r="C940">
        <v>42</v>
      </c>
      <c r="D940" t="s">
        <v>20</v>
      </c>
      <c r="E940">
        <v>27</v>
      </c>
      <c r="F940" t="str">
        <f t="shared" si="14"/>
        <v>25-48 Months</v>
      </c>
      <c r="G940" t="s">
        <v>23</v>
      </c>
      <c r="H940" t="s">
        <v>18</v>
      </c>
      <c r="I940" t="s">
        <v>24</v>
      </c>
      <c r="J940" t="s">
        <v>20</v>
      </c>
      <c r="K940" t="s">
        <v>20</v>
      </c>
      <c r="L940">
        <v>4</v>
      </c>
      <c r="M940" s="7">
        <v>88.38</v>
      </c>
      <c r="N940" s="7">
        <v>2568.1799999999998</v>
      </c>
      <c r="O940" t="s">
        <v>20</v>
      </c>
    </row>
    <row r="941" spans="1:15" x14ac:dyDescent="0.3">
      <c r="A941" t="s">
        <v>966</v>
      </c>
      <c r="B941" t="s">
        <v>22</v>
      </c>
      <c r="C941">
        <v>53</v>
      </c>
      <c r="D941" t="s">
        <v>20</v>
      </c>
      <c r="E941">
        <v>51</v>
      </c>
      <c r="F941" t="str">
        <f t="shared" si="14"/>
        <v>49+ Months</v>
      </c>
      <c r="G941" t="s">
        <v>17</v>
      </c>
      <c r="H941" t="s">
        <v>36</v>
      </c>
      <c r="I941" t="s">
        <v>30</v>
      </c>
      <c r="J941" t="s">
        <v>20</v>
      </c>
      <c r="K941" t="s">
        <v>20</v>
      </c>
      <c r="L941">
        <v>5</v>
      </c>
      <c r="M941" s="7">
        <v>64.760000000000005</v>
      </c>
      <c r="N941" s="7">
        <v>3431.23</v>
      </c>
      <c r="O941" t="s">
        <v>20</v>
      </c>
    </row>
    <row r="942" spans="1:15" x14ac:dyDescent="0.3">
      <c r="A942" t="s">
        <v>967</v>
      </c>
      <c r="B942" t="s">
        <v>22</v>
      </c>
      <c r="C942">
        <v>28</v>
      </c>
      <c r="D942" t="s">
        <v>20</v>
      </c>
      <c r="E942">
        <v>57</v>
      </c>
      <c r="F942" t="str">
        <f t="shared" si="14"/>
        <v>49+ Months</v>
      </c>
      <c r="G942" t="s">
        <v>35</v>
      </c>
      <c r="H942" t="s">
        <v>36</v>
      </c>
      <c r="I942" t="s">
        <v>30</v>
      </c>
      <c r="J942" t="s">
        <v>20</v>
      </c>
      <c r="K942" t="s">
        <v>16</v>
      </c>
      <c r="L942">
        <v>3</v>
      </c>
      <c r="M942" s="7">
        <v>58.6</v>
      </c>
      <c r="N942" s="7">
        <v>3187.61</v>
      </c>
      <c r="O942" t="s">
        <v>20</v>
      </c>
    </row>
    <row r="943" spans="1:15" x14ac:dyDescent="0.3">
      <c r="A943" t="s">
        <v>968</v>
      </c>
      <c r="B943" t="s">
        <v>15</v>
      </c>
      <c r="C943">
        <v>68</v>
      </c>
      <c r="D943" t="s">
        <v>16</v>
      </c>
      <c r="E943">
        <v>47</v>
      </c>
      <c r="F943" t="str">
        <f t="shared" si="14"/>
        <v>25-48 Months</v>
      </c>
      <c r="G943" t="s">
        <v>17</v>
      </c>
      <c r="H943" t="s">
        <v>20</v>
      </c>
      <c r="I943" t="s">
        <v>24</v>
      </c>
      <c r="J943" t="s">
        <v>16</v>
      </c>
      <c r="K943" t="s">
        <v>20</v>
      </c>
      <c r="L943">
        <v>4</v>
      </c>
      <c r="M943" s="7">
        <v>44.84</v>
      </c>
      <c r="N943" s="7">
        <v>1954.37</v>
      </c>
      <c r="O943" t="s">
        <v>20</v>
      </c>
    </row>
    <row r="944" spans="1:15" x14ac:dyDescent="0.3">
      <c r="A944" t="s">
        <v>969</v>
      </c>
      <c r="B944" t="s">
        <v>22</v>
      </c>
      <c r="C944">
        <v>32</v>
      </c>
      <c r="D944" t="s">
        <v>20</v>
      </c>
      <c r="E944">
        <v>39</v>
      </c>
      <c r="F944" t="str">
        <f t="shared" si="14"/>
        <v>25-48 Months</v>
      </c>
      <c r="G944" t="s">
        <v>17</v>
      </c>
      <c r="H944" t="s">
        <v>20</v>
      </c>
      <c r="I944" t="s">
        <v>24</v>
      </c>
      <c r="J944" t="s">
        <v>16</v>
      </c>
      <c r="K944" t="s">
        <v>20</v>
      </c>
      <c r="L944">
        <v>5</v>
      </c>
      <c r="M944" s="7">
        <v>38.21</v>
      </c>
      <c r="N944" s="7">
        <v>1601.12</v>
      </c>
      <c r="O944" t="s">
        <v>20</v>
      </c>
    </row>
    <row r="945" spans="1:15" x14ac:dyDescent="0.3">
      <c r="A945" t="s">
        <v>970</v>
      </c>
      <c r="B945" t="s">
        <v>15</v>
      </c>
      <c r="C945">
        <v>21</v>
      </c>
      <c r="D945" t="s">
        <v>20</v>
      </c>
      <c r="E945">
        <v>16</v>
      </c>
      <c r="F945" t="str">
        <f t="shared" si="14"/>
        <v>13-24 Months</v>
      </c>
      <c r="G945" t="s">
        <v>17</v>
      </c>
      <c r="H945" t="s">
        <v>20</v>
      </c>
      <c r="I945" t="s">
        <v>30</v>
      </c>
      <c r="J945" t="s">
        <v>20</v>
      </c>
      <c r="K945" t="s">
        <v>16</v>
      </c>
      <c r="L945">
        <v>3</v>
      </c>
      <c r="M945" s="7">
        <v>36.11</v>
      </c>
      <c r="N945" s="7">
        <v>570.87</v>
      </c>
      <c r="O945" t="s">
        <v>20</v>
      </c>
    </row>
    <row r="946" spans="1:15" x14ac:dyDescent="0.3">
      <c r="A946" t="s">
        <v>971</v>
      </c>
      <c r="B946" t="s">
        <v>15</v>
      </c>
      <c r="C946">
        <v>38</v>
      </c>
      <c r="D946" t="s">
        <v>20</v>
      </c>
      <c r="E946">
        <v>22</v>
      </c>
      <c r="F946" t="str">
        <f t="shared" si="14"/>
        <v>13-24 Months</v>
      </c>
      <c r="G946" t="s">
        <v>23</v>
      </c>
      <c r="H946" t="s">
        <v>36</v>
      </c>
      <c r="I946" t="s">
        <v>24</v>
      </c>
      <c r="J946" t="s">
        <v>20</v>
      </c>
      <c r="K946" t="s">
        <v>20</v>
      </c>
      <c r="L946">
        <v>6</v>
      </c>
      <c r="M946" s="7">
        <v>49.79</v>
      </c>
      <c r="N946" s="7">
        <v>1112.6199999999999</v>
      </c>
      <c r="O946" t="s">
        <v>20</v>
      </c>
    </row>
    <row r="947" spans="1:15" x14ac:dyDescent="0.3">
      <c r="A947" t="s">
        <v>972</v>
      </c>
      <c r="B947" t="s">
        <v>15</v>
      </c>
      <c r="C947">
        <v>30</v>
      </c>
      <c r="D947" t="s">
        <v>20</v>
      </c>
      <c r="E947">
        <v>54</v>
      </c>
      <c r="F947" t="str">
        <f t="shared" si="14"/>
        <v>49+ Months</v>
      </c>
      <c r="G947" t="s">
        <v>17</v>
      </c>
      <c r="H947" t="s">
        <v>18</v>
      </c>
      <c r="I947" t="s">
        <v>30</v>
      </c>
      <c r="J947" t="s">
        <v>20</v>
      </c>
      <c r="K947" t="s">
        <v>20</v>
      </c>
      <c r="L947">
        <v>4</v>
      </c>
      <c r="M947" s="7">
        <v>81.64</v>
      </c>
      <c r="N947" s="7">
        <v>4252.8100000000004</v>
      </c>
      <c r="O947" t="s">
        <v>20</v>
      </c>
    </row>
    <row r="948" spans="1:15" x14ac:dyDescent="0.3">
      <c r="A948" t="s">
        <v>973</v>
      </c>
      <c r="B948" t="s">
        <v>15</v>
      </c>
      <c r="C948">
        <v>39</v>
      </c>
      <c r="D948" t="s">
        <v>20</v>
      </c>
      <c r="E948">
        <v>21</v>
      </c>
      <c r="F948" t="str">
        <f t="shared" si="14"/>
        <v>13-24 Months</v>
      </c>
      <c r="G948" t="s">
        <v>17</v>
      </c>
      <c r="H948" t="s">
        <v>18</v>
      </c>
      <c r="I948" t="s">
        <v>30</v>
      </c>
      <c r="J948" t="s">
        <v>20</v>
      </c>
      <c r="K948" t="s">
        <v>20</v>
      </c>
      <c r="L948">
        <v>2</v>
      </c>
      <c r="M948" s="7">
        <v>51.74</v>
      </c>
      <c r="N948" s="7">
        <v>1131.46</v>
      </c>
      <c r="O948" t="s">
        <v>20</v>
      </c>
    </row>
    <row r="949" spans="1:15" x14ac:dyDescent="0.3">
      <c r="A949" t="s">
        <v>974</v>
      </c>
      <c r="B949" t="s">
        <v>22</v>
      </c>
      <c r="C949">
        <v>36</v>
      </c>
      <c r="D949" t="s">
        <v>20</v>
      </c>
      <c r="E949">
        <v>72</v>
      </c>
      <c r="F949" t="str">
        <f t="shared" si="14"/>
        <v>49+ Months</v>
      </c>
      <c r="G949" t="s">
        <v>17</v>
      </c>
      <c r="H949" t="s">
        <v>18</v>
      </c>
      <c r="I949" t="s">
        <v>24</v>
      </c>
      <c r="J949" t="s">
        <v>20</v>
      </c>
      <c r="K949" t="s">
        <v>16</v>
      </c>
      <c r="L949">
        <v>8</v>
      </c>
      <c r="M949" s="7">
        <v>100.94</v>
      </c>
      <c r="N949" s="7">
        <v>6915.11</v>
      </c>
      <c r="O949" t="s">
        <v>20</v>
      </c>
    </row>
    <row r="950" spans="1:15" x14ac:dyDescent="0.3">
      <c r="A950" t="s">
        <v>975</v>
      </c>
      <c r="B950" t="s">
        <v>22</v>
      </c>
      <c r="C950">
        <v>51</v>
      </c>
      <c r="D950" t="s">
        <v>20</v>
      </c>
      <c r="E950">
        <v>16</v>
      </c>
      <c r="F950" t="str">
        <f t="shared" si="14"/>
        <v>13-24 Months</v>
      </c>
      <c r="G950" t="s">
        <v>17</v>
      </c>
      <c r="H950" t="s">
        <v>36</v>
      </c>
      <c r="I950" t="s">
        <v>24</v>
      </c>
      <c r="J950" t="s">
        <v>16</v>
      </c>
      <c r="K950" t="s">
        <v>20</v>
      </c>
      <c r="L950">
        <v>3</v>
      </c>
      <c r="M950" s="7">
        <v>66.569999999999993</v>
      </c>
      <c r="N950" s="7">
        <v>1114.02</v>
      </c>
      <c r="O950" t="s">
        <v>20</v>
      </c>
    </row>
    <row r="951" spans="1:15" x14ac:dyDescent="0.3">
      <c r="A951" t="s">
        <v>976</v>
      </c>
      <c r="B951" t="s">
        <v>15</v>
      </c>
      <c r="C951">
        <v>31</v>
      </c>
      <c r="D951" t="s">
        <v>20</v>
      </c>
      <c r="E951">
        <v>59</v>
      </c>
      <c r="F951" t="str">
        <f t="shared" si="14"/>
        <v>49+ Months</v>
      </c>
      <c r="G951" t="s">
        <v>17</v>
      </c>
      <c r="H951" t="s">
        <v>20</v>
      </c>
      <c r="I951" t="s">
        <v>30</v>
      </c>
      <c r="J951" t="s">
        <v>16</v>
      </c>
      <c r="K951" t="s">
        <v>20</v>
      </c>
      <c r="L951">
        <v>3</v>
      </c>
      <c r="M951" s="7">
        <v>40.49</v>
      </c>
      <c r="N951" s="7">
        <v>2285.94</v>
      </c>
      <c r="O951" t="s">
        <v>20</v>
      </c>
    </row>
    <row r="952" spans="1:15" x14ac:dyDescent="0.3">
      <c r="A952" t="s">
        <v>977</v>
      </c>
      <c r="B952" t="s">
        <v>15</v>
      </c>
      <c r="C952">
        <v>21</v>
      </c>
      <c r="D952" t="s">
        <v>20</v>
      </c>
      <c r="E952">
        <v>31</v>
      </c>
      <c r="F952" t="str">
        <f t="shared" si="14"/>
        <v>25-48 Months</v>
      </c>
      <c r="G952" t="s">
        <v>35</v>
      </c>
      <c r="H952" t="s">
        <v>36</v>
      </c>
      <c r="I952" t="s">
        <v>24</v>
      </c>
      <c r="J952" t="s">
        <v>20</v>
      </c>
      <c r="K952" t="s">
        <v>20</v>
      </c>
      <c r="L952">
        <v>5</v>
      </c>
      <c r="M952" s="7">
        <v>67.569999999999993</v>
      </c>
      <c r="N952" s="7">
        <v>1959.91</v>
      </c>
      <c r="O952" t="s">
        <v>20</v>
      </c>
    </row>
    <row r="953" spans="1:15" x14ac:dyDescent="0.3">
      <c r="A953" t="s">
        <v>978</v>
      </c>
      <c r="B953" t="s">
        <v>22</v>
      </c>
      <c r="C953">
        <v>65</v>
      </c>
      <c r="D953" t="s">
        <v>16</v>
      </c>
      <c r="E953">
        <v>42</v>
      </c>
      <c r="F953" t="str">
        <f t="shared" si="14"/>
        <v>25-48 Months</v>
      </c>
      <c r="G953" t="s">
        <v>17</v>
      </c>
      <c r="H953" t="s">
        <v>18</v>
      </c>
      <c r="I953" t="s">
        <v>24</v>
      </c>
      <c r="J953" t="s">
        <v>20</v>
      </c>
      <c r="K953" t="s">
        <v>16</v>
      </c>
      <c r="L953">
        <v>8</v>
      </c>
      <c r="M953" s="7">
        <v>103.43</v>
      </c>
      <c r="N953" s="7">
        <v>4329.34</v>
      </c>
      <c r="O953" t="s">
        <v>20</v>
      </c>
    </row>
    <row r="954" spans="1:15" x14ac:dyDescent="0.3">
      <c r="A954" t="s">
        <v>979</v>
      </c>
      <c r="B954" t="s">
        <v>15</v>
      </c>
      <c r="C954">
        <v>70</v>
      </c>
      <c r="D954" t="s">
        <v>16</v>
      </c>
      <c r="E954">
        <v>32</v>
      </c>
      <c r="F954" t="str">
        <f t="shared" si="14"/>
        <v>25-48 Months</v>
      </c>
      <c r="G954" t="s">
        <v>17</v>
      </c>
      <c r="H954" t="s">
        <v>36</v>
      </c>
      <c r="I954" t="s">
        <v>30</v>
      </c>
      <c r="J954" t="s">
        <v>16</v>
      </c>
      <c r="K954" t="s">
        <v>20</v>
      </c>
      <c r="L954">
        <v>4</v>
      </c>
      <c r="M954" s="7">
        <v>55.96</v>
      </c>
      <c r="N954" s="7">
        <v>1880.46</v>
      </c>
      <c r="O954" t="s">
        <v>16</v>
      </c>
    </row>
    <row r="955" spans="1:15" x14ac:dyDescent="0.3">
      <c r="A955" t="s">
        <v>980</v>
      </c>
      <c r="B955" t="s">
        <v>22</v>
      </c>
      <c r="C955">
        <v>69</v>
      </c>
      <c r="D955" t="s">
        <v>16</v>
      </c>
      <c r="E955">
        <v>59</v>
      </c>
      <c r="F955" t="str">
        <f t="shared" si="14"/>
        <v>49+ Months</v>
      </c>
      <c r="G955" t="s">
        <v>35</v>
      </c>
      <c r="H955" t="s">
        <v>20</v>
      </c>
      <c r="I955" t="s">
        <v>24</v>
      </c>
      <c r="J955" t="s">
        <v>20</v>
      </c>
      <c r="K955" t="s">
        <v>20</v>
      </c>
      <c r="L955">
        <v>2</v>
      </c>
      <c r="M955" s="7">
        <v>24.09</v>
      </c>
      <c r="N955" s="7">
        <v>1395.13</v>
      </c>
      <c r="O955" t="s">
        <v>20</v>
      </c>
    </row>
    <row r="956" spans="1:15" x14ac:dyDescent="0.3">
      <c r="A956" t="s">
        <v>981</v>
      </c>
      <c r="B956" t="s">
        <v>15</v>
      </c>
      <c r="C956">
        <v>63</v>
      </c>
      <c r="D956" t="s">
        <v>16</v>
      </c>
      <c r="E956">
        <v>34</v>
      </c>
      <c r="F956" t="str">
        <f t="shared" si="14"/>
        <v>25-48 Months</v>
      </c>
      <c r="G956" t="s">
        <v>35</v>
      </c>
      <c r="H956" t="s">
        <v>36</v>
      </c>
      <c r="I956" t="s">
        <v>19</v>
      </c>
      <c r="J956" t="s">
        <v>20</v>
      </c>
      <c r="K956" t="s">
        <v>16</v>
      </c>
      <c r="L956">
        <v>4</v>
      </c>
      <c r="M956" s="7">
        <v>58.4</v>
      </c>
      <c r="N956" s="7">
        <v>1835.93</v>
      </c>
      <c r="O956" t="s">
        <v>20</v>
      </c>
    </row>
    <row r="957" spans="1:15" x14ac:dyDescent="0.3">
      <c r="A957" t="s">
        <v>982</v>
      </c>
      <c r="B957" t="s">
        <v>15</v>
      </c>
      <c r="C957">
        <v>44</v>
      </c>
      <c r="D957" t="s">
        <v>20</v>
      </c>
      <c r="E957">
        <v>9</v>
      </c>
      <c r="F957" t="str">
        <f t="shared" si="14"/>
        <v>7-12 Months</v>
      </c>
      <c r="G957" t="s">
        <v>23</v>
      </c>
      <c r="H957" t="s">
        <v>20</v>
      </c>
      <c r="I957" t="s">
        <v>24</v>
      </c>
      <c r="J957" t="s">
        <v>20</v>
      </c>
      <c r="K957" t="s">
        <v>20</v>
      </c>
      <c r="L957">
        <v>3</v>
      </c>
      <c r="M957" s="7">
        <v>31.66</v>
      </c>
      <c r="N957" s="7">
        <v>287.37</v>
      </c>
      <c r="O957" t="s">
        <v>20</v>
      </c>
    </row>
    <row r="958" spans="1:15" x14ac:dyDescent="0.3">
      <c r="A958" t="s">
        <v>983</v>
      </c>
      <c r="B958" t="s">
        <v>22</v>
      </c>
      <c r="C958">
        <v>46</v>
      </c>
      <c r="D958" t="s">
        <v>20</v>
      </c>
      <c r="E958">
        <v>11</v>
      </c>
      <c r="F958" t="str">
        <f t="shared" si="14"/>
        <v>7-12 Months</v>
      </c>
      <c r="G958" t="s">
        <v>17</v>
      </c>
      <c r="H958" t="s">
        <v>20</v>
      </c>
      <c r="I958" t="s">
        <v>30</v>
      </c>
      <c r="J958" t="s">
        <v>16</v>
      </c>
      <c r="K958" t="s">
        <v>20</v>
      </c>
      <c r="L958">
        <v>3</v>
      </c>
      <c r="M958" s="7">
        <v>37.54</v>
      </c>
      <c r="N958" s="7">
        <v>424.86</v>
      </c>
      <c r="O958" t="s">
        <v>20</v>
      </c>
    </row>
    <row r="959" spans="1:15" x14ac:dyDescent="0.3">
      <c r="A959" t="s">
        <v>984</v>
      </c>
      <c r="B959" t="s">
        <v>15</v>
      </c>
      <c r="C959">
        <v>64</v>
      </c>
      <c r="D959" t="s">
        <v>16</v>
      </c>
      <c r="E959">
        <v>10</v>
      </c>
      <c r="F959" t="str">
        <f t="shared" si="14"/>
        <v>7-12 Months</v>
      </c>
      <c r="G959" t="s">
        <v>35</v>
      </c>
      <c r="H959" t="s">
        <v>20</v>
      </c>
      <c r="I959" t="s">
        <v>24</v>
      </c>
      <c r="J959" t="s">
        <v>20</v>
      </c>
      <c r="K959" t="s">
        <v>16</v>
      </c>
      <c r="L959">
        <v>6</v>
      </c>
      <c r="M959" s="7">
        <v>50.78</v>
      </c>
      <c r="N959" s="7">
        <v>527.36</v>
      </c>
      <c r="O959" t="s">
        <v>20</v>
      </c>
    </row>
    <row r="960" spans="1:15" x14ac:dyDescent="0.3">
      <c r="A960" t="s">
        <v>985</v>
      </c>
      <c r="B960" t="s">
        <v>22</v>
      </c>
      <c r="C960">
        <v>45</v>
      </c>
      <c r="D960" t="s">
        <v>20</v>
      </c>
      <c r="E960">
        <v>17</v>
      </c>
      <c r="F960" t="str">
        <f t="shared" si="14"/>
        <v>13-24 Months</v>
      </c>
      <c r="G960" t="s">
        <v>35</v>
      </c>
      <c r="H960" t="s">
        <v>36</v>
      </c>
      <c r="I960" t="s">
        <v>27</v>
      </c>
      <c r="J960" t="s">
        <v>16</v>
      </c>
      <c r="K960" t="s">
        <v>16</v>
      </c>
      <c r="L960">
        <v>2</v>
      </c>
      <c r="M960" s="7">
        <v>47.65</v>
      </c>
      <c r="N960" s="7">
        <v>797.34</v>
      </c>
      <c r="O960" t="s">
        <v>20</v>
      </c>
    </row>
    <row r="961" spans="1:15" x14ac:dyDescent="0.3">
      <c r="A961" t="s">
        <v>986</v>
      </c>
      <c r="B961" t="s">
        <v>15</v>
      </c>
      <c r="C961">
        <v>52</v>
      </c>
      <c r="D961" t="s">
        <v>20</v>
      </c>
      <c r="E961">
        <v>68</v>
      </c>
      <c r="F961" t="str">
        <f t="shared" si="14"/>
        <v>49+ Months</v>
      </c>
      <c r="G961" t="s">
        <v>23</v>
      </c>
      <c r="H961" t="s">
        <v>36</v>
      </c>
      <c r="I961" t="s">
        <v>30</v>
      </c>
      <c r="J961" t="s">
        <v>20</v>
      </c>
      <c r="K961" t="s">
        <v>20</v>
      </c>
      <c r="L961">
        <v>5</v>
      </c>
      <c r="M961" s="7">
        <v>58</v>
      </c>
      <c r="N961" s="7">
        <v>3689.7</v>
      </c>
      <c r="O961" t="s">
        <v>20</v>
      </c>
    </row>
    <row r="962" spans="1:15" x14ac:dyDescent="0.3">
      <c r="A962" t="s">
        <v>987</v>
      </c>
      <c r="B962" t="s">
        <v>15</v>
      </c>
      <c r="C962">
        <v>25</v>
      </c>
      <c r="D962" t="s">
        <v>20</v>
      </c>
      <c r="E962">
        <v>48</v>
      </c>
      <c r="F962" t="str">
        <f t="shared" ref="F962:F1025" si="15">IF(E962&lt;=6,"0-6 Months",
 IF(E962&lt;=12,"7-12 Months",
 IF(E962&lt;=24,"13-24 Months",
 IF(E962&lt;=48,"25-48 Months","49+ Months"))))</f>
        <v>25-48 Months</v>
      </c>
      <c r="G962" t="s">
        <v>17</v>
      </c>
      <c r="H962" t="s">
        <v>18</v>
      </c>
      <c r="I962" t="s">
        <v>24</v>
      </c>
      <c r="J962" t="s">
        <v>20</v>
      </c>
      <c r="K962" t="s">
        <v>20</v>
      </c>
      <c r="L962">
        <v>5</v>
      </c>
      <c r="M962" s="7">
        <v>67.92</v>
      </c>
      <c r="N962" s="7">
        <v>3304.15</v>
      </c>
      <c r="O962" t="s">
        <v>20</v>
      </c>
    </row>
    <row r="963" spans="1:15" x14ac:dyDescent="0.3">
      <c r="A963" t="s">
        <v>988</v>
      </c>
      <c r="B963" t="s">
        <v>15</v>
      </c>
      <c r="C963">
        <v>33</v>
      </c>
      <c r="D963" t="s">
        <v>20</v>
      </c>
      <c r="E963">
        <v>52</v>
      </c>
      <c r="F963" t="str">
        <f t="shared" si="15"/>
        <v>49+ Months</v>
      </c>
      <c r="G963" t="s">
        <v>23</v>
      </c>
      <c r="H963" t="s">
        <v>18</v>
      </c>
      <c r="I963" t="s">
        <v>19</v>
      </c>
      <c r="J963" t="s">
        <v>20</v>
      </c>
      <c r="K963" t="s">
        <v>16</v>
      </c>
      <c r="L963">
        <v>6</v>
      </c>
      <c r="M963" s="7">
        <v>85.82</v>
      </c>
      <c r="N963" s="7">
        <v>4340.93</v>
      </c>
      <c r="O963" t="s">
        <v>20</v>
      </c>
    </row>
    <row r="964" spans="1:15" x14ac:dyDescent="0.3">
      <c r="A964" t="s">
        <v>989</v>
      </c>
      <c r="B964" t="s">
        <v>22</v>
      </c>
      <c r="C964">
        <v>59</v>
      </c>
      <c r="D964" t="s">
        <v>20</v>
      </c>
      <c r="E964">
        <v>25</v>
      </c>
      <c r="F964" t="str">
        <f t="shared" si="15"/>
        <v>25-48 Months</v>
      </c>
      <c r="G964" t="s">
        <v>23</v>
      </c>
      <c r="H964" t="s">
        <v>36</v>
      </c>
      <c r="I964" t="s">
        <v>19</v>
      </c>
      <c r="J964" t="s">
        <v>20</v>
      </c>
      <c r="K964" t="s">
        <v>16</v>
      </c>
      <c r="L964">
        <v>1</v>
      </c>
      <c r="M964" s="7">
        <v>43.94</v>
      </c>
      <c r="N964" s="7">
        <v>1177.04</v>
      </c>
      <c r="O964" t="s">
        <v>20</v>
      </c>
    </row>
    <row r="965" spans="1:15" x14ac:dyDescent="0.3">
      <c r="A965" t="s">
        <v>990</v>
      </c>
      <c r="B965" t="s">
        <v>15</v>
      </c>
      <c r="C965">
        <v>53</v>
      </c>
      <c r="D965" t="s">
        <v>20</v>
      </c>
      <c r="E965">
        <v>21</v>
      </c>
      <c r="F965" t="str">
        <f t="shared" si="15"/>
        <v>13-24 Months</v>
      </c>
      <c r="G965" t="s">
        <v>17</v>
      </c>
      <c r="H965" t="s">
        <v>18</v>
      </c>
      <c r="I965" t="s">
        <v>30</v>
      </c>
      <c r="J965" t="s">
        <v>16</v>
      </c>
      <c r="K965" t="s">
        <v>20</v>
      </c>
      <c r="L965">
        <v>5</v>
      </c>
      <c r="M965" s="7">
        <v>80.44</v>
      </c>
      <c r="N965" s="7">
        <v>1689.97</v>
      </c>
      <c r="O965" t="s">
        <v>16</v>
      </c>
    </row>
    <row r="966" spans="1:15" x14ac:dyDescent="0.3">
      <c r="A966" t="s">
        <v>991</v>
      </c>
      <c r="B966" t="s">
        <v>15</v>
      </c>
      <c r="C966">
        <v>47</v>
      </c>
      <c r="D966" t="s">
        <v>20</v>
      </c>
      <c r="E966">
        <v>65</v>
      </c>
      <c r="F966" t="str">
        <f t="shared" si="15"/>
        <v>49+ Months</v>
      </c>
      <c r="G966" t="s">
        <v>17</v>
      </c>
      <c r="H966" t="s">
        <v>20</v>
      </c>
      <c r="I966" t="s">
        <v>27</v>
      </c>
      <c r="J966" t="s">
        <v>16</v>
      </c>
      <c r="K966" t="s">
        <v>20</v>
      </c>
      <c r="L966">
        <v>3</v>
      </c>
      <c r="M966" s="7">
        <v>42.12</v>
      </c>
      <c r="N966" s="7">
        <v>2725.65</v>
      </c>
      <c r="O966" t="s">
        <v>20</v>
      </c>
    </row>
    <row r="967" spans="1:15" x14ac:dyDescent="0.3">
      <c r="A967" t="s">
        <v>992</v>
      </c>
      <c r="B967" t="s">
        <v>15</v>
      </c>
      <c r="C967">
        <v>35</v>
      </c>
      <c r="D967" t="s">
        <v>20</v>
      </c>
      <c r="E967">
        <v>63</v>
      </c>
      <c r="F967" t="str">
        <f t="shared" si="15"/>
        <v>49+ Months</v>
      </c>
      <c r="G967" t="s">
        <v>35</v>
      </c>
      <c r="H967" t="s">
        <v>18</v>
      </c>
      <c r="I967" t="s">
        <v>30</v>
      </c>
      <c r="J967" t="s">
        <v>20</v>
      </c>
      <c r="K967" t="s">
        <v>16</v>
      </c>
      <c r="L967">
        <v>3</v>
      </c>
      <c r="M967" s="7">
        <v>88.76</v>
      </c>
      <c r="N967" s="7">
        <v>5421.18</v>
      </c>
      <c r="O967" t="s">
        <v>20</v>
      </c>
    </row>
    <row r="968" spans="1:15" x14ac:dyDescent="0.3">
      <c r="A968" t="s">
        <v>993</v>
      </c>
      <c r="B968" t="s">
        <v>15</v>
      </c>
      <c r="C968">
        <v>19</v>
      </c>
      <c r="D968" t="s">
        <v>20</v>
      </c>
      <c r="E968">
        <v>51</v>
      </c>
      <c r="F968" t="str">
        <f t="shared" si="15"/>
        <v>49+ Months</v>
      </c>
      <c r="G968" t="s">
        <v>23</v>
      </c>
      <c r="H968" t="s">
        <v>20</v>
      </c>
      <c r="I968" t="s">
        <v>24</v>
      </c>
      <c r="J968" t="s">
        <v>16</v>
      </c>
      <c r="K968" t="s">
        <v>20</v>
      </c>
      <c r="L968">
        <v>1</v>
      </c>
      <c r="M968" s="7">
        <v>26.5</v>
      </c>
      <c r="N968" s="7">
        <v>1316.64</v>
      </c>
      <c r="O968" t="s">
        <v>20</v>
      </c>
    </row>
    <row r="969" spans="1:15" x14ac:dyDescent="0.3">
      <c r="A969" t="s">
        <v>994</v>
      </c>
      <c r="B969" t="s">
        <v>22</v>
      </c>
      <c r="C969">
        <v>66</v>
      </c>
      <c r="D969" t="s">
        <v>16</v>
      </c>
      <c r="E969">
        <v>36</v>
      </c>
      <c r="F969" t="str">
        <f t="shared" si="15"/>
        <v>25-48 Months</v>
      </c>
      <c r="G969" t="s">
        <v>17</v>
      </c>
      <c r="H969" t="s">
        <v>18</v>
      </c>
      <c r="I969" t="s">
        <v>30</v>
      </c>
      <c r="J969" t="s">
        <v>16</v>
      </c>
      <c r="K969" t="s">
        <v>16</v>
      </c>
      <c r="L969">
        <v>5</v>
      </c>
      <c r="M969" s="7">
        <v>85.7</v>
      </c>
      <c r="N969" s="7">
        <v>3091.5</v>
      </c>
      <c r="O969" t="s">
        <v>20</v>
      </c>
    </row>
    <row r="970" spans="1:15" x14ac:dyDescent="0.3">
      <c r="A970" t="s">
        <v>995</v>
      </c>
      <c r="B970" t="s">
        <v>22</v>
      </c>
      <c r="C970">
        <v>30</v>
      </c>
      <c r="D970" t="s">
        <v>20</v>
      </c>
      <c r="E970">
        <v>66</v>
      </c>
      <c r="F970" t="str">
        <f t="shared" si="15"/>
        <v>49+ Months</v>
      </c>
      <c r="G970" t="s">
        <v>23</v>
      </c>
      <c r="H970" t="s">
        <v>18</v>
      </c>
      <c r="I970" t="s">
        <v>24</v>
      </c>
      <c r="J970" t="s">
        <v>20</v>
      </c>
      <c r="K970" t="s">
        <v>20</v>
      </c>
      <c r="L970">
        <v>5</v>
      </c>
      <c r="M970" s="7">
        <v>84.78</v>
      </c>
      <c r="N970" s="7">
        <v>5422.39</v>
      </c>
      <c r="O970" t="s">
        <v>20</v>
      </c>
    </row>
    <row r="971" spans="1:15" x14ac:dyDescent="0.3">
      <c r="A971" t="s">
        <v>996</v>
      </c>
      <c r="B971" t="s">
        <v>15</v>
      </c>
      <c r="C971">
        <v>21</v>
      </c>
      <c r="D971" t="s">
        <v>20</v>
      </c>
      <c r="E971">
        <v>15</v>
      </c>
      <c r="F971" t="str">
        <f t="shared" si="15"/>
        <v>13-24 Months</v>
      </c>
      <c r="G971" t="s">
        <v>17</v>
      </c>
      <c r="H971" t="s">
        <v>20</v>
      </c>
      <c r="I971" t="s">
        <v>27</v>
      </c>
      <c r="J971" t="s">
        <v>20</v>
      </c>
      <c r="K971" t="s">
        <v>20</v>
      </c>
      <c r="L971">
        <v>3</v>
      </c>
      <c r="M971" s="7">
        <v>44.94</v>
      </c>
      <c r="N971" s="7">
        <v>716.41</v>
      </c>
      <c r="O971" t="s">
        <v>16</v>
      </c>
    </row>
    <row r="972" spans="1:15" x14ac:dyDescent="0.3">
      <c r="A972" t="s">
        <v>997</v>
      </c>
      <c r="B972" t="s">
        <v>22</v>
      </c>
      <c r="C972">
        <v>43</v>
      </c>
      <c r="D972" t="s">
        <v>20</v>
      </c>
      <c r="E972">
        <v>39</v>
      </c>
      <c r="F972" t="str">
        <f t="shared" si="15"/>
        <v>25-48 Months</v>
      </c>
      <c r="G972" t="s">
        <v>17</v>
      </c>
      <c r="H972" t="s">
        <v>18</v>
      </c>
      <c r="I972" t="s">
        <v>30</v>
      </c>
      <c r="J972" t="s">
        <v>20</v>
      </c>
      <c r="K972" t="s">
        <v>20</v>
      </c>
      <c r="L972">
        <v>7</v>
      </c>
      <c r="M972" s="7">
        <v>84.62</v>
      </c>
      <c r="N972" s="7">
        <v>3267.98</v>
      </c>
      <c r="O972" t="s">
        <v>16</v>
      </c>
    </row>
    <row r="973" spans="1:15" x14ac:dyDescent="0.3">
      <c r="A973" t="s">
        <v>998</v>
      </c>
      <c r="B973" t="s">
        <v>15</v>
      </c>
      <c r="C973">
        <v>42</v>
      </c>
      <c r="D973" t="s">
        <v>20</v>
      </c>
      <c r="E973">
        <v>70</v>
      </c>
      <c r="F973" t="str">
        <f t="shared" si="15"/>
        <v>49+ Months</v>
      </c>
      <c r="G973" t="s">
        <v>23</v>
      </c>
      <c r="H973" t="s">
        <v>18</v>
      </c>
      <c r="I973" t="s">
        <v>24</v>
      </c>
      <c r="J973" t="s">
        <v>16</v>
      </c>
      <c r="K973" t="s">
        <v>16</v>
      </c>
      <c r="L973">
        <v>5</v>
      </c>
      <c r="M973" s="7">
        <v>76.41</v>
      </c>
      <c r="N973" s="7">
        <v>5170.71</v>
      </c>
      <c r="O973" t="s">
        <v>20</v>
      </c>
    </row>
    <row r="974" spans="1:15" x14ac:dyDescent="0.3">
      <c r="A974" t="s">
        <v>999</v>
      </c>
      <c r="B974" t="s">
        <v>15</v>
      </c>
      <c r="C974">
        <v>47</v>
      </c>
      <c r="D974" t="s">
        <v>20</v>
      </c>
      <c r="E974">
        <v>1</v>
      </c>
      <c r="F974" t="str">
        <f t="shared" si="15"/>
        <v>0-6 Months</v>
      </c>
      <c r="G974" t="s">
        <v>17</v>
      </c>
      <c r="H974" t="s">
        <v>18</v>
      </c>
      <c r="I974" t="s">
        <v>24</v>
      </c>
      <c r="J974" t="s">
        <v>20</v>
      </c>
      <c r="K974" t="s">
        <v>20</v>
      </c>
      <c r="L974">
        <v>1</v>
      </c>
      <c r="M974" s="7">
        <v>61.23</v>
      </c>
      <c r="N974" s="7">
        <v>57.85</v>
      </c>
      <c r="O974" t="s">
        <v>16</v>
      </c>
    </row>
    <row r="975" spans="1:15" x14ac:dyDescent="0.3">
      <c r="A975" t="s">
        <v>1000</v>
      </c>
      <c r="B975" t="s">
        <v>15</v>
      </c>
      <c r="C975">
        <v>28</v>
      </c>
      <c r="D975" t="s">
        <v>20</v>
      </c>
      <c r="E975">
        <v>23</v>
      </c>
      <c r="F975" t="str">
        <f t="shared" si="15"/>
        <v>13-24 Months</v>
      </c>
      <c r="G975" t="s">
        <v>17</v>
      </c>
      <c r="H975" t="s">
        <v>36</v>
      </c>
      <c r="I975" t="s">
        <v>27</v>
      </c>
      <c r="J975" t="s">
        <v>20</v>
      </c>
      <c r="K975" t="s">
        <v>20</v>
      </c>
      <c r="L975">
        <v>2</v>
      </c>
      <c r="M975" s="7">
        <v>35.130000000000003</v>
      </c>
      <c r="N975" s="7">
        <v>830.27</v>
      </c>
      <c r="O975" t="s">
        <v>20</v>
      </c>
    </row>
    <row r="976" spans="1:15" x14ac:dyDescent="0.3">
      <c r="A976" t="s">
        <v>1001</v>
      </c>
      <c r="B976" t="s">
        <v>22</v>
      </c>
      <c r="C976">
        <v>24</v>
      </c>
      <c r="D976" t="s">
        <v>20</v>
      </c>
      <c r="E976">
        <v>39</v>
      </c>
      <c r="F976" t="str">
        <f t="shared" si="15"/>
        <v>25-48 Months</v>
      </c>
      <c r="G976" t="s">
        <v>35</v>
      </c>
      <c r="H976" t="s">
        <v>18</v>
      </c>
      <c r="I976" t="s">
        <v>27</v>
      </c>
      <c r="J976" t="s">
        <v>20</v>
      </c>
      <c r="K976" t="s">
        <v>20</v>
      </c>
      <c r="L976">
        <v>2</v>
      </c>
      <c r="M976" s="7">
        <v>70.680000000000007</v>
      </c>
      <c r="N976" s="7">
        <v>2547.37</v>
      </c>
      <c r="O976" t="s">
        <v>16</v>
      </c>
    </row>
    <row r="977" spans="1:15" x14ac:dyDescent="0.3">
      <c r="A977" t="s">
        <v>1002</v>
      </c>
      <c r="B977" t="s">
        <v>22</v>
      </c>
      <c r="C977">
        <v>48</v>
      </c>
      <c r="D977" t="s">
        <v>20</v>
      </c>
      <c r="E977">
        <v>57</v>
      </c>
      <c r="F977" t="str">
        <f t="shared" si="15"/>
        <v>49+ Months</v>
      </c>
      <c r="G977" t="s">
        <v>17</v>
      </c>
      <c r="H977" t="s">
        <v>36</v>
      </c>
      <c r="I977" t="s">
        <v>19</v>
      </c>
      <c r="J977" t="s">
        <v>16</v>
      </c>
      <c r="K977" t="s">
        <v>20</v>
      </c>
      <c r="L977">
        <v>6</v>
      </c>
      <c r="M977" s="7">
        <v>59.63</v>
      </c>
      <c r="N977" s="7">
        <v>3371.72</v>
      </c>
      <c r="O977" t="s">
        <v>20</v>
      </c>
    </row>
    <row r="978" spans="1:15" x14ac:dyDescent="0.3">
      <c r="A978" t="s">
        <v>1003</v>
      </c>
      <c r="B978" t="s">
        <v>22</v>
      </c>
      <c r="C978">
        <v>61</v>
      </c>
      <c r="D978" t="s">
        <v>16</v>
      </c>
      <c r="E978">
        <v>34</v>
      </c>
      <c r="F978" t="str">
        <f t="shared" si="15"/>
        <v>25-48 Months</v>
      </c>
      <c r="G978" t="s">
        <v>17</v>
      </c>
      <c r="H978" t="s">
        <v>36</v>
      </c>
      <c r="I978" t="s">
        <v>24</v>
      </c>
      <c r="J978" t="s">
        <v>20</v>
      </c>
      <c r="K978" t="s">
        <v>16</v>
      </c>
      <c r="L978">
        <v>4</v>
      </c>
      <c r="M978" s="7">
        <v>60.76</v>
      </c>
      <c r="N978" s="7">
        <v>2082.41</v>
      </c>
      <c r="O978" t="s">
        <v>20</v>
      </c>
    </row>
    <row r="979" spans="1:15" x14ac:dyDescent="0.3">
      <c r="A979" t="s">
        <v>1004</v>
      </c>
      <c r="B979" t="s">
        <v>22</v>
      </c>
      <c r="C979">
        <v>27</v>
      </c>
      <c r="D979" t="s">
        <v>20</v>
      </c>
      <c r="E979">
        <v>41</v>
      </c>
      <c r="F979" t="str">
        <f t="shared" si="15"/>
        <v>25-48 Months</v>
      </c>
      <c r="G979" t="s">
        <v>35</v>
      </c>
      <c r="H979" t="s">
        <v>36</v>
      </c>
      <c r="I979" t="s">
        <v>30</v>
      </c>
      <c r="J979" t="s">
        <v>20</v>
      </c>
      <c r="K979" t="s">
        <v>20</v>
      </c>
      <c r="L979">
        <v>2</v>
      </c>
      <c r="M979" s="7">
        <v>34.25</v>
      </c>
      <c r="N979" s="7">
        <v>1368.25</v>
      </c>
      <c r="O979" t="s">
        <v>20</v>
      </c>
    </row>
    <row r="980" spans="1:15" x14ac:dyDescent="0.3">
      <c r="A980" t="s">
        <v>1005</v>
      </c>
      <c r="B980" t="s">
        <v>22</v>
      </c>
      <c r="C980">
        <v>56</v>
      </c>
      <c r="D980" t="s">
        <v>20</v>
      </c>
      <c r="E980">
        <v>13</v>
      </c>
      <c r="F980" t="str">
        <f t="shared" si="15"/>
        <v>13-24 Months</v>
      </c>
      <c r="G980" t="s">
        <v>23</v>
      </c>
      <c r="H980" t="s">
        <v>36</v>
      </c>
      <c r="I980" t="s">
        <v>24</v>
      </c>
      <c r="J980" t="s">
        <v>20</v>
      </c>
      <c r="K980" t="s">
        <v>20</v>
      </c>
      <c r="L980">
        <v>7</v>
      </c>
      <c r="M980" s="7">
        <v>70.599999999999994</v>
      </c>
      <c r="N980" s="7">
        <v>954.49</v>
      </c>
      <c r="O980" t="s">
        <v>16</v>
      </c>
    </row>
    <row r="981" spans="1:15" x14ac:dyDescent="0.3">
      <c r="A981" t="s">
        <v>1006</v>
      </c>
      <c r="B981" t="s">
        <v>22</v>
      </c>
      <c r="C981">
        <v>30</v>
      </c>
      <c r="D981" t="s">
        <v>20</v>
      </c>
      <c r="E981">
        <v>70</v>
      </c>
      <c r="F981" t="str">
        <f t="shared" si="15"/>
        <v>49+ Months</v>
      </c>
      <c r="G981" t="s">
        <v>23</v>
      </c>
      <c r="H981" t="s">
        <v>36</v>
      </c>
      <c r="I981" t="s">
        <v>24</v>
      </c>
      <c r="J981" t="s">
        <v>20</v>
      </c>
      <c r="K981" t="s">
        <v>20</v>
      </c>
      <c r="L981">
        <v>7</v>
      </c>
      <c r="M981" s="7">
        <v>69.209999999999994</v>
      </c>
      <c r="N981" s="7">
        <v>4980.8599999999997</v>
      </c>
      <c r="O981" t="s">
        <v>20</v>
      </c>
    </row>
    <row r="982" spans="1:15" x14ac:dyDescent="0.3">
      <c r="A982" t="s">
        <v>1007</v>
      </c>
      <c r="B982" t="s">
        <v>22</v>
      </c>
      <c r="C982">
        <v>48</v>
      </c>
      <c r="D982" t="s">
        <v>20</v>
      </c>
      <c r="E982">
        <v>6</v>
      </c>
      <c r="F982" t="str">
        <f t="shared" si="15"/>
        <v>0-6 Months</v>
      </c>
      <c r="G982" t="s">
        <v>35</v>
      </c>
      <c r="H982" t="s">
        <v>18</v>
      </c>
      <c r="I982" t="s">
        <v>24</v>
      </c>
      <c r="J982" t="s">
        <v>16</v>
      </c>
      <c r="K982" t="s">
        <v>20</v>
      </c>
      <c r="L982">
        <v>5</v>
      </c>
      <c r="M982" s="7">
        <v>79.19</v>
      </c>
      <c r="N982" s="7">
        <v>510.98</v>
      </c>
      <c r="O982" t="s">
        <v>16</v>
      </c>
    </row>
    <row r="983" spans="1:15" x14ac:dyDescent="0.3">
      <c r="A983" t="s">
        <v>1008</v>
      </c>
      <c r="B983" t="s">
        <v>22</v>
      </c>
      <c r="C983">
        <v>24</v>
      </c>
      <c r="D983" t="s">
        <v>20</v>
      </c>
      <c r="E983">
        <v>52</v>
      </c>
      <c r="F983" t="str">
        <f t="shared" si="15"/>
        <v>49+ Months</v>
      </c>
      <c r="G983" t="s">
        <v>17</v>
      </c>
      <c r="H983" t="s">
        <v>20</v>
      </c>
      <c r="I983" t="s">
        <v>24</v>
      </c>
      <c r="J983" t="s">
        <v>16</v>
      </c>
      <c r="K983" t="s">
        <v>20</v>
      </c>
      <c r="L983">
        <v>2</v>
      </c>
      <c r="M983" s="7">
        <v>39.99</v>
      </c>
      <c r="N983" s="7">
        <v>2082.4</v>
      </c>
      <c r="O983" t="s">
        <v>20</v>
      </c>
    </row>
    <row r="984" spans="1:15" x14ac:dyDescent="0.3">
      <c r="A984" t="s">
        <v>1009</v>
      </c>
      <c r="B984" t="s">
        <v>22</v>
      </c>
      <c r="C984">
        <v>73</v>
      </c>
      <c r="D984" t="s">
        <v>16</v>
      </c>
      <c r="E984">
        <v>3</v>
      </c>
      <c r="F984" t="str">
        <f t="shared" si="15"/>
        <v>0-6 Months</v>
      </c>
      <c r="G984" t="s">
        <v>23</v>
      </c>
      <c r="H984" t="s">
        <v>18</v>
      </c>
      <c r="I984" t="s">
        <v>19</v>
      </c>
      <c r="J984" t="s">
        <v>20</v>
      </c>
      <c r="K984" t="s">
        <v>16</v>
      </c>
      <c r="L984">
        <v>2</v>
      </c>
      <c r="M984" s="7">
        <v>65.37</v>
      </c>
      <c r="N984" s="7">
        <v>197.3</v>
      </c>
      <c r="O984" t="s">
        <v>20</v>
      </c>
    </row>
    <row r="985" spans="1:15" x14ac:dyDescent="0.3">
      <c r="A985" t="s">
        <v>1010</v>
      </c>
      <c r="B985" t="s">
        <v>15</v>
      </c>
      <c r="C985">
        <v>66</v>
      </c>
      <c r="D985" t="s">
        <v>16</v>
      </c>
      <c r="E985">
        <v>63</v>
      </c>
      <c r="F985" t="str">
        <f t="shared" si="15"/>
        <v>49+ Months</v>
      </c>
      <c r="G985" t="s">
        <v>17</v>
      </c>
      <c r="H985" t="s">
        <v>36</v>
      </c>
      <c r="I985" t="s">
        <v>27</v>
      </c>
      <c r="J985" t="s">
        <v>20</v>
      </c>
      <c r="K985" t="s">
        <v>20</v>
      </c>
      <c r="L985">
        <v>5</v>
      </c>
      <c r="M985" s="7">
        <v>65.13</v>
      </c>
      <c r="N985" s="7">
        <v>3936.33</v>
      </c>
      <c r="O985" t="s">
        <v>20</v>
      </c>
    </row>
    <row r="986" spans="1:15" x14ac:dyDescent="0.3">
      <c r="A986" t="s">
        <v>1011</v>
      </c>
      <c r="B986" t="s">
        <v>22</v>
      </c>
      <c r="C986">
        <v>59</v>
      </c>
      <c r="D986" t="s">
        <v>20</v>
      </c>
      <c r="E986">
        <v>49</v>
      </c>
      <c r="F986" t="str">
        <f t="shared" si="15"/>
        <v>49+ Months</v>
      </c>
      <c r="G986" t="s">
        <v>35</v>
      </c>
      <c r="H986" t="s">
        <v>18</v>
      </c>
      <c r="I986" t="s">
        <v>30</v>
      </c>
      <c r="J986" t="s">
        <v>20</v>
      </c>
      <c r="K986" t="s">
        <v>20</v>
      </c>
      <c r="L986">
        <v>2</v>
      </c>
      <c r="M986" s="7">
        <v>66.58</v>
      </c>
      <c r="N986" s="7">
        <v>3202.64</v>
      </c>
      <c r="O986" t="s">
        <v>20</v>
      </c>
    </row>
    <row r="987" spans="1:15" x14ac:dyDescent="0.3">
      <c r="A987" t="s">
        <v>1012</v>
      </c>
      <c r="B987" t="s">
        <v>22</v>
      </c>
      <c r="C987">
        <v>59</v>
      </c>
      <c r="D987" t="s">
        <v>20</v>
      </c>
      <c r="E987">
        <v>47</v>
      </c>
      <c r="F987" t="str">
        <f t="shared" si="15"/>
        <v>25-48 Months</v>
      </c>
      <c r="G987" t="s">
        <v>17</v>
      </c>
      <c r="H987" t="s">
        <v>20</v>
      </c>
      <c r="I987" t="s">
        <v>24</v>
      </c>
      <c r="J987" t="s">
        <v>20</v>
      </c>
      <c r="K987" t="s">
        <v>20</v>
      </c>
      <c r="L987">
        <v>4</v>
      </c>
      <c r="M987" s="7">
        <v>52.61</v>
      </c>
      <c r="N987" s="7">
        <v>2285.48</v>
      </c>
      <c r="O987" t="s">
        <v>20</v>
      </c>
    </row>
    <row r="988" spans="1:15" x14ac:dyDescent="0.3">
      <c r="A988" t="s">
        <v>1013</v>
      </c>
      <c r="B988" t="s">
        <v>22</v>
      </c>
      <c r="C988">
        <v>73</v>
      </c>
      <c r="D988" t="s">
        <v>16</v>
      </c>
      <c r="E988">
        <v>55</v>
      </c>
      <c r="F988" t="str">
        <f t="shared" si="15"/>
        <v>49+ Months</v>
      </c>
      <c r="G988" t="s">
        <v>23</v>
      </c>
      <c r="H988" t="s">
        <v>18</v>
      </c>
      <c r="I988" t="s">
        <v>30</v>
      </c>
      <c r="J988" t="s">
        <v>20</v>
      </c>
      <c r="K988" t="s">
        <v>20</v>
      </c>
      <c r="L988">
        <v>2</v>
      </c>
      <c r="M988" s="7">
        <v>70.040000000000006</v>
      </c>
      <c r="N988" s="7">
        <v>3968.86</v>
      </c>
      <c r="O988" t="s">
        <v>20</v>
      </c>
    </row>
    <row r="989" spans="1:15" x14ac:dyDescent="0.3">
      <c r="A989" t="s">
        <v>1014</v>
      </c>
      <c r="B989" t="s">
        <v>22</v>
      </c>
      <c r="C989">
        <v>53</v>
      </c>
      <c r="D989" t="s">
        <v>20</v>
      </c>
      <c r="E989">
        <v>64</v>
      </c>
      <c r="F989" t="str">
        <f t="shared" si="15"/>
        <v>49+ Months</v>
      </c>
      <c r="G989" t="s">
        <v>17</v>
      </c>
      <c r="H989" t="s">
        <v>18</v>
      </c>
      <c r="I989" t="s">
        <v>19</v>
      </c>
      <c r="J989" t="s">
        <v>20</v>
      </c>
      <c r="K989" t="s">
        <v>20</v>
      </c>
      <c r="L989">
        <v>4</v>
      </c>
      <c r="M989" s="7">
        <v>83.73</v>
      </c>
      <c r="N989" s="7">
        <v>5197.21</v>
      </c>
      <c r="O989" t="s">
        <v>20</v>
      </c>
    </row>
    <row r="990" spans="1:15" x14ac:dyDescent="0.3">
      <c r="A990" t="s">
        <v>1015</v>
      </c>
      <c r="B990" t="s">
        <v>22</v>
      </c>
      <c r="C990">
        <v>37</v>
      </c>
      <c r="D990" t="s">
        <v>20</v>
      </c>
      <c r="E990">
        <v>65</v>
      </c>
      <c r="F990" t="str">
        <f t="shared" si="15"/>
        <v>49+ Months</v>
      </c>
      <c r="G990" t="s">
        <v>17</v>
      </c>
      <c r="H990" t="s">
        <v>36</v>
      </c>
      <c r="I990" t="s">
        <v>24</v>
      </c>
      <c r="J990" t="s">
        <v>16</v>
      </c>
      <c r="K990" t="s">
        <v>16</v>
      </c>
      <c r="L990">
        <v>2</v>
      </c>
      <c r="M990" s="7">
        <v>55.27</v>
      </c>
      <c r="N990" s="7">
        <v>3615.75</v>
      </c>
      <c r="O990" t="s">
        <v>20</v>
      </c>
    </row>
    <row r="991" spans="1:15" x14ac:dyDescent="0.3">
      <c r="A991" t="s">
        <v>1016</v>
      </c>
      <c r="B991" t="s">
        <v>22</v>
      </c>
      <c r="C991">
        <v>21</v>
      </c>
      <c r="D991" t="s">
        <v>20</v>
      </c>
      <c r="E991">
        <v>67</v>
      </c>
      <c r="F991" t="str">
        <f t="shared" si="15"/>
        <v>49+ Months</v>
      </c>
      <c r="G991" t="s">
        <v>23</v>
      </c>
      <c r="H991" t="s">
        <v>36</v>
      </c>
      <c r="I991" t="s">
        <v>27</v>
      </c>
      <c r="J991" t="s">
        <v>20</v>
      </c>
      <c r="K991" t="s">
        <v>16</v>
      </c>
      <c r="L991">
        <v>2</v>
      </c>
      <c r="M991" s="7">
        <v>59.02</v>
      </c>
      <c r="N991" s="7">
        <v>3799.33</v>
      </c>
      <c r="O991" t="s">
        <v>20</v>
      </c>
    </row>
    <row r="992" spans="1:15" x14ac:dyDescent="0.3">
      <c r="A992" t="s">
        <v>1017</v>
      </c>
      <c r="B992" t="s">
        <v>22</v>
      </c>
      <c r="C992">
        <v>71</v>
      </c>
      <c r="D992" t="s">
        <v>16</v>
      </c>
      <c r="E992">
        <v>15</v>
      </c>
      <c r="F992" t="str">
        <f t="shared" si="15"/>
        <v>13-24 Months</v>
      </c>
      <c r="G992" t="s">
        <v>23</v>
      </c>
      <c r="H992" t="s">
        <v>18</v>
      </c>
      <c r="I992" t="s">
        <v>19</v>
      </c>
      <c r="J992" t="s">
        <v>16</v>
      </c>
      <c r="K992" t="s">
        <v>16</v>
      </c>
      <c r="L992">
        <v>5</v>
      </c>
      <c r="M992" s="7">
        <v>84.02</v>
      </c>
      <c r="N992" s="7">
        <v>1284.71</v>
      </c>
      <c r="O992" t="s">
        <v>20</v>
      </c>
    </row>
    <row r="993" spans="1:15" x14ac:dyDescent="0.3">
      <c r="A993" t="s">
        <v>1018</v>
      </c>
      <c r="B993" t="s">
        <v>22</v>
      </c>
      <c r="C993">
        <v>24</v>
      </c>
      <c r="D993" t="s">
        <v>20</v>
      </c>
      <c r="E993">
        <v>32</v>
      </c>
      <c r="F993" t="str">
        <f t="shared" si="15"/>
        <v>25-48 Months</v>
      </c>
      <c r="G993" t="s">
        <v>23</v>
      </c>
      <c r="H993" t="s">
        <v>36</v>
      </c>
      <c r="I993" t="s">
        <v>27</v>
      </c>
      <c r="J993" t="s">
        <v>16</v>
      </c>
      <c r="K993" t="s">
        <v>20</v>
      </c>
      <c r="L993">
        <v>2</v>
      </c>
      <c r="M993" s="7">
        <v>41.78</v>
      </c>
      <c r="N993" s="7">
        <v>1325.75</v>
      </c>
      <c r="O993" t="s">
        <v>20</v>
      </c>
    </row>
    <row r="994" spans="1:15" x14ac:dyDescent="0.3">
      <c r="A994" t="s">
        <v>1019</v>
      </c>
      <c r="B994" t="s">
        <v>22</v>
      </c>
      <c r="C994">
        <v>71</v>
      </c>
      <c r="D994" t="s">
        <v>16</v>
      </c>
      <c r="E994">
        <v>68</v>
      </c>
      <c r="F994" t="str">
        <f t="shared" si="15"/>
        <v>49+ Months</v>
      </c>
      <c r="G994" t="s">
        <v>17</v>
      </c>
      <c r="H994" t="s">
        <v>36</v>
      </c>
      <c r="I994" t="s">
        <v>19</v>
      </c>
      <c r="J994" t="s">
        <v>20</v>
      </c>
      <c r="K994" t="s">
        <v>16</v>
      </c>
      <c r="L994">
        <v>8</v>
      </c>
      <c r="M994" s="7">
        <v>78.099999999999994</v>
      </c>
      <c r="N994" s="7">
        <v>5295.39</v>
      </c>
      <c r="O994" t="s">
        <v>20</v>
      </c>
    </row>
    <row r="995" spans="1:15" x14ac:dyDescent="0.3">
      <c r="A995" t="s">
        <v>1020</v>
      </c>
      <c r="B995" t="s">
        <v>22</v>
      </c>
      <c r="C995">
        <v>18</v>
      </c>
      <c r="D995" t="s">
        <v>20</v>
      </c>
      <c r="E995">
        <v>18</v>
      </c>
      <c r="F995" t="str">
        <f t="shared" si="15"/>
        <v>13-24 Months</v>
      </c>
      <c r="G995" t="s">
        <v>17</v>
      </c>
      <c r="H995" t="s">
        <v>20</v>
      </c>
      <c r="I995" t="s">
        <v>30</v>
      </c>
      <c r="J995" t="s">
        <v>20</v>
      </c>
      <c r="K995" t="s">
        <v>16</v>
      </c>
      <c r="L995">
        <v>6</v>
      </c>
      <c r="M995" s="7">
        <v>50.94</v>
      </c>
      <c r="N995" s="7">
        <v>981.85</v>
      </c>
      <c r="O995" t="s">
        <v>20</v>
      </c>
    </row>
    <row r="996" spans="1:15" x14ac:dyDescent="0.3">
      <c r="A996" t="s">
        <v>1021</v>
      </c>
      <c r="B996" t="s">
        <v>22</v>
      </c>
      <c r="C996">
        <v>61</v>
      </c>
      <c r="D996" t="s">
        <v>16</v>
      </c>
      <c r="E996">
        <v>43</v>
      </c>
      <c r="F996" t="str">
        <f t="shared" si="15"/>
        <v>25-48 Months</v>
      </c>
      <c r="G996" t="s">
        <v>23</v>
      </c>
      <c r="H996" t="s">
        <v>36</v>
      </c>
      <c r="I996" t="s">
        <v>24</v>
      </c>
      <c r="J996" t="s">
        <v>20</v>
      </c>
      <c r="K996" t="s">
        <v>20</v>
      </c>
      <c r="L996">
        <v>2</v>
      </c>
      <c r="M996" s="7">
        <v>29.75</v>
      </c>
      <c r="N996" s="7">
        <v>1321.45</v>
      </c>
      <c r="O996" t="s">
        <v>20</v>
      </c>
    </row>
    <row r="997" spans="1:15" x14ac:dyDescent="0.3">
      <c r="A997" t="s">
        <v>1022</v>
      </c>
      <c r="B997" t="s">
        <v>15</v>
      </c>
      <c r="C997">
        <v>73</v>
      </c>
      <c r="D997" t="s">
        <v>16</v>
      </c>
      <c r="E997">
        <v>35</v>
      </c>
      <c r="F997" t="str">
        <f t="shared" si="15"/>
        <v>25-48 Months</v>
      </c>
      <c r="G997" t="s">
        <v>35</v>
      </c>
      <c r="H997" t="s">
        <v>18</v>
      </c>
      <c r="I997" t="s">
        <v>19</v>
      </c>
      <c r="J997" t="s">
        <v>20</v>
      </c>
      <c r="K997" t="s">
        <v>20</v>
      </c>
      <c r="L997">
        <v>3</v>
      </c>
      <c r="M997" s="7">
        <v>63.3</v>
      </c>
      <c r="N997" s="7">
        <v>2131.1</v>
      </c>
      <c r="O997" t="s">
        <v>16</v>
      </c>
    </row>
    <row r="998" spans="1:15" x14ac:dyDescent="0.3">
      <c r="A998" t="s">
        <v>1023</v>
      </c>
      <c r="B998" t="s">
        <v>15</v>
      </c>
      <c r="C998">
        <v>62</v>
      </c>
      <c r="D998" t="s">
        <v>16</v>
      </c>
      <c r="E998">
        <v>58</v>
      </c>
      <c r="F998" t="str">
        <f t="shared" si="15"/>
        <v>49+ Months</v>
      </c>
      <c r="G998" t="s">
        <v>23</v>
      </c>
      <c r="H998" t="s">
        <v>18</v>
      </c>
      <c r="I998" t="s">
        <v>24</v>
      </c>
      <c r="J998" t="s">
        <v>20</v>
      </c>
      <c r="K998" t="s">
        <v>20</v>
      </c>
      <c r="L998">
        <v>3</v>
      </c>
      <c r="M998" s="7">
        <v>79.94</v>
      </c>
      <c r="N998" s="7">
        <v>4639.43</v>
      </c>
      <c r="O998" t="s">
        <v>20</v>
      </c>
    </row>
    <row r="999" spans="1:15" x14ac:dyDescent="0.3">
      <c r="A999" t="s">
        <v>1024</v>
      </c>
      <c r="B999" t="s">
        <v>22</v>
      </c>
      <c r="C999">
        <v>59</v>
      </c>
      <c r="D999" t="s">
        <v>20</v>
      </c>
      <c r="E999">
        <v>33</v>
      </c>
      <c r="F999" t="str">
        <f t="shared" si="15"/>
        <v>25-48 Months</v>
      </c>
      <c r="G999" t="s">
        <v>35</v>
      </c>
      <c r="H999" t="s">
        <v>20</v>
      </c>
      <c r="I999" t="s">
        <v>27</v>
      </c>
      <c r="J999" t="s">
        <v>16</v>
      </c>
      <c r="K999" t="s">
        <v>20</v>
      </c>
      <c r="L999">
        <v>2</v>
      </c>
      <c r="M999" s="7">
        <v>42.94</v>
      </c>
      <c r="N999" s="7">
        <v>1409.46</v>
      </c>
      <c r="O999" t="s">
        <v>20</v>
      </c>
    </row>
    <row r="1000" spans="1:15" x14ac:dyDescent="0.3">
      <c r="A1000" t="s">
        <v>1025</v>
      </c>
      <c r="B1000" t="s">
        <v>22</v>
      </c>
      <c r="C1000">
        <v>64</v>
      </c>
      <c r="D1000" t="s">
        <v>16</v>
      </c>
      <c r="E1000">
        <v>14</v>
      </c>
      <c r="F1000" t="str">
        <f t="shared" si="15"/>
        <v>13-24 Months</v>
      </c>
      <c r="G1000" t="s">
        <v>35</v>
      </c>
      <c r="H1000" t="s">
        <v>20</v>
      </c>
      <c r="I1000" t="s">
        <v>27</v>
      </c>
      <c r="J1000" t="s">
        <v>20</v>
      </c>
      <c r="K1000" t="s">
        <v>20</v>
      </c>
      <c r="L1000">
        <v>1</v>
      </c>
      <c r="M1000" s="7">
        <v>28.42</v>
      </c>
      <c r="N1000" s="7">
        <v>416.66</v>
      </c>
      <c r="O1000" t="s">
        <v>20</v>
      </c>
    </row>
    <row r="1001" spans="1:15" x14ac:dyDescent="0.3">
      <c r="A1001" t="s">
        <v>1026</v>
      </c>
      <c r="B1001" t="s">
        <v>15</v>
      </c>
      <c r="C1001">
        <v>30</v>
      </c>
      <c r="D1001" t="s">
        <v>20</v>
      </c>
      <c r="E1001">
        <v>34</v>
      </c>
      <c r="F1001" t="str">
        <f t="shared" si="15"/>
        <v>25-48 Months</v>
      </c>
      <c r="G1001" t="s">
        <v>23</v>
      </c>
      <c r="H1001" t="s">
        <v>18</v>
      </c>
      <c r="I1001" t="s">
        <v>27</v>
      </c>
      <c r="J1001" t="s">
        <v>20</v>
      </c>
      <c r="K1001" t="s">
        <v>16</v>
      </c>
      <c r="L1001">
        <v>3</v>
      </c>
      <c r="M1001" s="7">
        <v>80.66</v>
      </c>
      <c r="N1001" s="7">
        <v>2888.71</v>
      </c>
      <c r="O1001" t="s">
        <v>20</v>
      </c>
    </row>
    <row r="1002" spans="1:15" x14ac:dyDescent="0.3">
      <c r="A1002" t="s">
        <v>1027</v>
      </c>
      <c r="B1002" t="s">
        <v>22</v>
      </c>
      <c r="C1002">
        <v>72</v>
      </c>
      <c r="D1002" t="s">
        <v>16</v>
      </c>
      <c r="E1002">
        <v>61</v>
      </c>
      <c r="F1002" t="str">
        <f t="shared" si="15"/>
        <v>49+ Months</v>
      </c>
      <c r="G1002" t="s">
        <v>23</v>
      </c>
      <c r="H1002" t="s">
        <v>18</v>
      </c>
      <c r="I1002" t="s">
        <v>30</v>
      </c>
      <c r="J1002" t="s">
        <v>20</v>
      </c>
      <c r="K1002" t="s">
        <v>20</v>
      </c>
      <c r="L1002">
        <v>4</v>
      </c>
      <c r="M1002" s="7">
        <v>79.760000000000005</v>
      </c>
      <c r="N1002" s="7">
        <v>4696.78</v>
      </c>
      <c r="O1002" t="s">
        <v>20</v>
      </c>
    </row>
    <row r="1003" spans="1:15" x14ac:dyDescent="0.3">
      <c r="A1003" t="s">
        <v>1028</v>
      </c>
      <c r="B1003" t="s">
        <v>15</v>
      </c>
      <c r="C1003">
        <v>39</v>
      </c>
      <c r="D1003" t="s">
        <v>20</v>
      </c>
      <c r="E1003">
        <v>4</v>
      </c>
      <c r="F1003" t="str">
        <f t="shared" si="15"/>
        <v>0-6 Months</v>
      </c>
      <c r="G1003" t="s">
        <v>35</v>
      </c>
      <c r="H1003" t="s">
        <v>36</v>
      </c>
      <c r="I1003" t="s">
        <v>27</v>
      </c>
      <c r="J1003" t="s">
        <v>16</v>
      </c>
      <c r="K1003" t="s">
        <v>20</v>
      </c>
      <c r="L1003">
        <v>2</v>
      </c>
      <c r="M1003" s="7">
        <v>51.25</v>
      </c>
      <c r="N1003" s="7">
        <v>215.53</v>
      </c>
      <c r="O1003" t="s">
        <v>20</v>
      </c>
    </row>
    <row r="1004" spans="1:15" x14ac:dyDescent="0.3">
      <c r="A1004" t="s">
        <v>1029</v>
      </c>
      <c r="B1004" t="s">
        <v>15</v>
      </c>
      <c r="C1004">
        <v>71</v>
      </c>
      <c r="D1004" t="s">
        <v>16</v>
      </c>
      <c r="E1004">
        <v>59</v>
      </c>
      <c r="F1004" t="str">
        <f t="shared" si="15"/>
        <v>49+ Months</v>
      </c>
      <c r="G1004" t="s">
        <v>23</v>
      </c>
      <c r="H1004" t="s">
        <v>18</v>
      </c>
      <c r="I1004" t="s">
        <v>24</v>
      </c>
      <c r="J1004" t="s">
        <v>16</v>
      </c>
      <c r="K1004" t="s">
        <v>20</v>
      </c>
      <c r="L1004">
        <v>3</v>
      </c>
      <c r="M1004" s="7">
        <v>74</v>
      </c>
      <c r="N1004" s="7">
        <v>4142.1099999999997</v>
      </c>
      <c r="O1004" t="s">
        <v>20</v>
      </c>
    </row>
    <row r="1005" spans="1:15" x14ac:dyDescent="0.3">
      <c r="A1005" t="s">
        <v>1030</v>
      </c>
      <c r="B1005" t="s">
        <v>15</v>
      </c>
      <c r="C1005">
        <v>38</v>
      </c>
      <c r="D1005" t="s">
        <v>20</v>
      </c>
      <c r="E1005">
        <v>29</v>
      </c>
      <c r="F1005" t="str">
        <f t="shared" si="15"/>
        <v>25-48 Months</v>
      </c>
      <c r="G1005" t="s">
        <v>35</v>
      </c>
      <c r="H1005" t="s">
        <v>18</v>
      </c>
      <c r="I1005" t="s">
        <v>19</v>
      </c>
      <c r="J1005" t="s">
        <v>20</v>
      </c>
      <c r="K1005" t="s">
        <v>20</v>
      </c>
      <c r="L1005">
        <v>3</v>
      </c>
      <c r="M1005" s="7">
        <v>75.569999999999993</v>
      </c>
      <c r="N1005" s="7">
        <v>2283.67</v>
      </c>
      <c r="O1005" t="s">
        <v>20</v>
      </c>
    </row>
    <row r="1006" spans="1:15" x14ac:dyDescent="0.3">
      <c r="A1006" t="s">
        <v>1031</v>
      </c>
      <c r="B1006" t="s">
        <v>15</v>
      </c>
      <c r="C1006">
        <v>39</v>
      </c>
      <c r="D1006" t="s">
        <v>20</v>
      </c>
      <c r="E1006">
        <v>6</v>
      </c>
      <c r="F1006" t="str">
        <f t="shared" si="15"/>
        <v>0-6 Months</v>
      </c>
      <c r="G1006" t="s">
        <v>23</v>
      </c>
      <c r="H1006" t="s">
        <v>18</v>
      </c>
      <c r="I1006" t="s">
        <v>30</v>
      </c>
      <c r="J1006" t="s">
        <v>20</v>
      </c>
      <c r="K1006" t="s">
        <v>20</v>
      </c>
      <c r="L1006">
        <v>1</v>
      </c>
      <c r="M1006" s="7">
        <v>69.72</v>
      </c>
      <c r="N1006" s="7">
        <v>401.51</v>
      </c>
      <c r="O1006" t="s">
        <v>20</v>
      </c>
    </row>
    <row r="1007" spans="1:15" x14ac:dyDescent="0.3">
      <c r="A1007" t="s">
        <v>1032</v>
      </c>
      <c r="B1007" t="s">
        <v>15</v>
      </c>
      <c r="C1007">
        <v>45</v>
      </c>
      <c r="D1007" t="s">
        <v>20</v>
      </c>
      <c r="E1007">
        <v>49</v>
      </c>
      <c r="F1007" t="str">
        <f t="shared" si="15"/>
        <v>49+ Months</v>
      </c>
      <c r="G1007" t="s">
        <v>23</v>
      </c>
      <c r="H1007" t="s">
        <v>18</v>
      </c>
      <c r="I1007" t="s">
        <v>30</v>
      </c>
      <c r="J1007" t="s">
        <v>20</v>
      </c>
      <c r="K1007" t="s">
        <v>20</v>
      </c>
      <c r="L1007">
        <v>2</v>
      </c>
      <c r="M1007" s="7">
        <v>68.19</v>
      </c>
      <c r="N1007" s="7">
        <v>3233.28</v>
      </c>
      <c r="O1007" t="s">
        <v>20</v>
      </c>
    </row>
    <row r="1008" spans="1:15" x14ac:dyDescent="0.3">
      <c r="A1008" t="s">
        <v>1033</v>
      </c>
      <c r="B1008" t="s">
        <v>22</v>
      </c>
      <c r="C1008">
        <v>26</v>
      </c>
      <c r="D1008" t="s">
        <v>20</v>
      </c>
      <c r="E1008">
        <v>40</v>
      </c>
      <c r="F1008" t="str">
        <f t="shared" si="15"/>
        <v>25-48 Months</v>
      </c>
      <c r="G1008" t="s">
        <v>17</v>
      </c>
      <c r="H1008" t="s">
        <v>18</v>
      </c>
      <c r="I1008" t="s">
        <v>30</v>
      </c>
      <c r="J1008" t="s">
        <v>20</v>
      </c>
      <c r="K1008" t="s">
        <v>16</v>
      </c>
      <c r="L1008">
        <v>6</v>
      </c>
      <c r="M1008" s="7">
        <v>95.73</v>
      </c>
      <c r="N1008" s="7">
        <v>4045.15</v>
      </c>
      <c r="O1008" t="s">
        <v>20</v>
      </c>
    </row>
    <row r="1009" spans="1:15" x14ac:dyDescent="0.3">
      <c r="A1009" t="s">
        <v>1034</v>
      </c>
      <c r="B1009" t="s">
        <v>15</v>
      </c>
      <c r="C1009">
        <v>43</v>
      </c>
      <c r="D1009" t="s">
        <v>20</v>
      </c>
      <c r="E1009">
        <v>65</v>
      </c>
      <c r="F1009" t="str">
        <f t="shared" si="15"/>
        <v>49+ Months</v>
      </c>
      <c r="G1009" t="s">
        <v>17</v>
      </c>
      <c r="H1009" t="s">
        <v>36</v>
      </c>
      <c r="I1009" t="s">
        <v>24</v>
      </c>
      <c r="J1009" t="s">
        <v>20</v>
      </c>
      <c r="K1009" t="s">
        <v>20</v>
      </c>
      <c r="L1009">
        <v>4</v>
      </c>
      <c r="M1009" s="7">
        <v>52</v>
      </c>
      <c r="N1009" s="7">
        <v>3336.78</v>
      </c>
      <c r="O1009" t="s">
        <v>20</v>
      </c>
    </row>
    <row r="1010" spans="1:15" x14ac:dyDescent="0.3">
      <c r="A1010" t="s">
        <v>1035</v>
      </c>
      <c r="B1010" t="s">
        <v>22</v>
      </c>
      <c r="C1010">
        <v>26</v>
      </c>
      <c r="D1010" t="s">
        <v>20</v>
      </c>
      <c r="E1010">
        <v>69</v>
      </c>
      <c r="F1010" t="str">
        <f t="shared" si="15"/>
        <v>49+ Months</v>
      </c>
      <c r="G1010" t="s">
        <v>35</v>
      </c>
      <c r="H1010" t="s">
        <v>18</v>
      </c>
      <c r="I1010" t="s">
        <v>24</v>
      </c>
      <c r="J1010" t="s">
        <v>20</v>
      </c>
      <c r="K1010" t="s">
        <v>16</v>
      </c>
      <c r="L1010">
        <v>3</v>
      </c>
      <c r="M1010" s="7">
        <v>86.91</v>
      </c>
      <c r="N1010" s="7">
        <v>6467.48</v>
      </c>
      <c r="O1010" t="s">
        <v>20</v>
      </c>
    </row>
    <row r="1011" spans="1:15" x14ac:dyDescent="0.3">
      <c r="A1011" t="s">
        <v>1036</v>
      </c>
      <c r="B1011" t="s">
        <v>22</v>
      </c>
      <c r="C1011">
        <v>32</v>
      </c>
      <c r="D1011" t="s">
        <v>20</v>
      </c>
      <c r="E1011">
        <v>27</v>
      </c>
      <c r="F1011" t="str">
        <f t="shared" si="15"/>
        <v>25-48 Months</v>
      </c>
      <c r="G1011" t="s">
        <v>23</v>
      </c>
      <c r="H1011" t="s">
        <v>18</v>
      </c>
      <c r="I1011" t="s">
        <v>27</v>
      </c>
      <c r="J1011" t="s">
        <v>20</v>
      </c>
      <c r="K1011" t="s">
        <v>20</v>
      </c>
      <c r="L1011">
        <v>6</v>
      </c>
      <c r="M1011" s="7">
        <v>85.49</v>
      </c>
      <c r="N1011" s="7">
        <v>2179.69</v>
      </c>
      <c r="O1011" t="s">
        <v>20</v>
      </c>
    </row>
    <row r="1012" spans="1:15" x14ac:dyDescent="0.3">
      <c r="A1012" t="s">
        <v>1037</v>
      </c>
      <c r="B1012" t="s">
        <v>15</v>
      </c>
      <c r="C1012">
        <v>27</v>
      </c>
      <c r="D1012" t="s">
        <v>20</v>
      </c>
      <c r="E1012">
        <v>6</v>
      </c>
      <c r="F1012" t="str">
        <f t="shared" si="15"/>
        <v>0-6 Months</v>
      </c>
      <c r="G1012" t="s">
        <v>23</v>
      </c>
      <c r="H1012" t="s">
        <v>18</v>
      </c>
      <c r="I1012" t="s">
        <v>30</v>
      </c>
      <c r="J1012" t="s">
        <v>20</v>
      </c>
      <c r="K1012" t="s">
        <v>20</v>
      </c>
      <c r="L1012">
        <v>5</v>
      </c>
      <c r="M1012" s="7">
        <v>82.64</v>
      </c>
      <c r="N1012" s="7">
        <v>492.93</v>
      </c>
      <c r="O1012" t="s">
        <v>20</v>
      </c>
    </row>
    <row r="1013" spans="1:15" x14ac:dyDescent="0.3">
      <c r="A1013" t="s">
        <v>1038</v>
      </c>
      <c r="B1013" t="s">
        <v>15</v>
      </c>
      <c r="C1013">
        <v>41</v>
      </c>
      <c r="D1013" t="s">
        <v>20</v>
      </c>
      <c r="E1013">
        <v>13</v>
      </c>
      <c r="F1013" t="str">
        <f t="shared" si="15"/>
        <v>13-24 Months</v>
      </c>
      <c r="G1013" t="s">
        <v>35</v>
      </c>
      <c r="H1013" t="s">
        <v>36</v>
      </c>
      <c r="I1013" t="s">
        <v>24</v>
      </c>
      <c r="J1013" t="s">
        <v>16</v>
      </c>
      <c r="K1013" t="s">
        <v>20</v>
      </c>
      <c r="L1013">
        <v>1</v>
      </c>
      <c r="M1013" s="7">
        <v>42.61</v>
      </c>
      <c r="N1013" s="7">
        <v>574.53</v>
      </c>
      <c r="O1013" t="s">
        <v>20</v>
      </c>
    </row>
    <row r="1014" spans="1:15" x14ac:dyDescent="0.3">
      <c r="A1014" t="s">
        <v>1039</v>
      </c>
      <c r="B1014" t="s">
        <v>22</v>
      </c>
      <c r="C1014">
        <v>75</v>
      </c>
      <c r="D1014" t="s">
        <v>16</v>
      </c>
      <c r="E1014">
        <v>64</v>
      </c>
      <c r="F1014" t="str">
        <f t="shared" si="15"/>
        <v>49+ Months</v>
      </c>
      <c r="G1014" t="s">
        <v>23</v>
      </c>
      <c r="H1014" t="s">
        <v>18</v>
      </c>
      <c r="I1014" t="s">
        <v>27</v>
      </c>
      <c r="J1014" t="s">
        <v>20</v>
      </c>
      <c r="K1014" t="s">
        <v>20</v>
      </c>
      <c r="L1014">
        <v>4</v>
      </c>
      <c r="M1014" s="7">
        <v>81.87</v>
      </c>
      <c r="N1014" s="7">
        <v>4825.01</v>
      </c>
      <c r="O1014" t="s">
        <v>20</v>
      </c>
    </row>
    <row r="1015" spans="1:15" x14ac:dyDescent="0.3">
      <c r="A1015" t="s">
        <v>1040</v>
      </c>
      <c r="B1015" t="s">
        <v>15</v>
      </c>
      <c r="C1015">
        <v>74</v>
      </c>
      <c r="D1015" t="s">
        <v>16</v>
      </c>
      <c r="E1015">
        <v>62</v>
      </c>
      <c r="F1015" t="str">
        <f t="shared" si="15"/>
        <v>49+ Months</v>
      </c>
      <c r="G1015" t="s">
        <v>17</v>
      </c>
      <c r="H1015" t="s">
        <v>36</v>
      </c>
      <c r="I1015" t="s">
        <v>27</v>
      </c>
      <c r="J1015" t="s">
        <v>20</v>
      </c>
      <c r="K1015" t="s">
        <v>20</v>
      </c>
      <c r="L1015">
        <v>3</v>
      </c>
      <c r="M1015" s="7">
        <v>52.36</v>
      </c>
      <c r="N1015" s="7">
        <v>3065.49</v>
      </c>
      <c r="O1015" t="s">
        <v>20</v>
      </c>
    </row>
    <row r="1016" spans="1:15" x14ac:dyDescent="0.3">
      <c r="A1016" t="s">
        <v>1041</v>
      </c>
      <c r="B1016" t="s">
        <v>15</v>
      </c>
      <c r="C1016">
        <v>59</v>
      </c>
      <c r="D1016" t="s">
        <v>20</v>
      </c>
      <c r="E1016">
        <v>19</v>
      </c>
      <c r="F1016" t="str">
        <f t="shared" si="15"/>
        <v>13-24 Months</v>
      </c>
      <c r="G1016" t="s">
        <v>23</v>
      </c>
      <c r="H1016" t="s">
        <v>36</v>
      </c>
      <c r="I1016" t="s">
        <v>24</v>
      </c>
      <c r="J1016" t="s">
        <v>20</v>
      </c>
      <c r="K1016" t="s">
        <v>16</v>
      </c>
      <c r="L1016">
        <v>6</v>
      </c>
      <c r="M1016" s="7">
        <v>63.67</v>
      </c>
      <c r="N1016" s="7">
        <v>1116.8900000000001</v>
      </c>
      <c r="O1016" t="s">
        <v>20</v>
      </c>
    </row>
    <row r="1017" spans="1:15" x14ac:dyDescent="0.3">
      <c r="A1017" t="s">
        <v>1042</v>
      </c>
      <c r="B1017" t="s">
        <v>22</v>
      </c>
      <c r="C1017">
        <v>25</v>
      </c>
      <c r="D1017" t="s">
        <v>20</v>
      </c>
      <c r="E1017">
        <v>43</v>
      </c>
      <c r="F1017" t="str">
        <f t="shared" si="15"/>
        <v>25-48 Months</v>
      </c>
      <c r="G1017" t="s">
        <v>23</v>
      </c>
      <c r="H1017" t="s">
        <v>18</v>
      </c>
      <c r="I1017" t="s">
        <v>27</v>
      </c>
      <c r="J1017" t="s">
        <v>16</v>
      </c>
      <c r="K1017" t="s">
        <v>16</v>
      </c>
      <c r="L1017">
        <v>6</v>
      </c>
      <c r="M1017" s="7">
        <v>91.29</v>
      </c>
      <c r="N1017" s="7">
        <v>4235.03</v>
      </c>
      <c r="O1017" t="s">
        <v>20</v>
      </c>
    </row>
    <row r="1018" spans="1:15" x14ac:dyDescent="0.3">
      <c r="A1018" t="s">
        <v>1043</v>
      </c>
      <c r="B1018" t="s">
        <v>22</v>
      </c>
      <c r="C1018">
        <v>41</v>
      </c>
      <c r="D1018" t="s">
        <v>20</v>
      </c>
      <c r="E1018">
        <v>20</v>
      </c>
      <c r="F1018" t="str">
        <f t="shared" si="15"/>
        <v>13-24 Months</v>
      </c>
      <c r="G1018" t="s">
        <v>17</v>
      </c>
      <c r="H1018" t="s">
        <v>18</v>
      </c>
      <c r="I1018" t="s">
        <v>27</v>
      </c>
      <c r="J1018" t="s">
        <v>20</v>
      </c>
      <c r="K1018" t="s">
        <v>20</v>
      </c>
      <c r="L1018">
        <v>2</v>
      </c>
      <c r="M1018" s="7">
        <v>79.13</v>
      </c>
      <c r="N1018" s="7">
        <v>1648.59</v>
      </c>
      <c r="O1018" t="s">
        <v>16</v>
      </c>
    </row>
    <row r="1019" spans="1:15" x14ac:dyDescent="0.3">
      <c r="A1019" t="s">
        <v>1044</v>
      </c>
      <c r="B1019" t="s">
        <v>15</v>
      </c>
      <c r="C1019">
        <v>33</v>
      </c>
      <c r="D1019" t="s">
        <v>20</v>
      </c>
      <c r="E1019">
        <v>68</v>
      </c>
      <c r="F1019" t="str">
        <f t="shared" si="15"/>
        <v>49+ Months</v>
      </c>
      <c r="G1019" t="s">
        <v>17</v>
      </c>
      <c r="H1019" t="s">
        <v>18</v>
      </c>
      <c r="I1019" t="s">
        <v>27</v>
      </c>
      <c r="J1019" t="s">
        <v>20</v>
      </c>
      <c r="K1019" t="s">
        <v>20</v>
      </c>
      <c r="L1019">
        <v>5</v>
      </c>
      <c r="M1019" s="7">
        <v>75.709999999999994</v>
      </c>
      <c r="N1019" s="7">
        <v>5044.13</v>
      </c>
      <c r="O1019" t="s">
        <v>16</v>
      </c>
    </row>
    <row r="1020" spans="1:15" x14ac:dyDescent="0.3">
      <c r="A1020" t="s">
        <v>1045</v>
      </c>
      <c r="B1020" t="s">
        <v>22</v>
      </c>
      <c r="C1020">
        <v>66</v>
      </c>
      <c r="D1020" t="s">
        <v>16</v>
      </c>
      <c r="E1020">
        <v>44</v>
      </c>
      <c r="F1020" t="str">
        <f t="shared" si="15"/>
        <v>25-48 Months</v>
      </c>
      <c r="G1020" t="s">
        <v>17</v>
      </c>
      <c r="H1020" t="s">
        <v>36</v>
      </c>
      <c r="I1020" t="s">
        <v>27</v>
      </c>
      <c r="J1020" t="s">
        <v>20</v>
      </c>
      <c r="K1020" t="s">
        <v>20</v>
      </c>
      <c r="L1020">
        <v>6</v>
      </c>
      <c r="M1020" s="7">
        <v>72.78</v>
      </c>
      <c r="N1020" s="7">
        <v>3026.21</v>
      </c>
      <c r="O1020" t="s">
        <v>16</v>
      </c>
    </row>
    <row r="1021" spans="1:15" x14ac:dyDescent="0.3">
      <c r="A1021" t="s">
        <v>1046</v>
      </c>
      <c r="B1021" t="s">
        <v>15</v>
      </c>
      <c r="C1021">
        <v>43</v>
      </c>
      <c r="D1021" t="s">
        <v>20</v>
      </c>
      <c r="E1021">
        <v>23</v>
      </c>
      <c r="F1021" t="str">
        <f t="shared" si="15"/>
        <v>13-24 Months</v>
      </c>
      <c r="G1021" t="s">
        <v>17</v>
      </c>
      <c r="H1021" t="s">
        <v>20</v>
      </c>
      <c r="I1021" t="s">
        <v>30</v>
      </c>
      <c r="J1021" t="s">
        <v>16</v>
      </c>
      <c r="K1021" t="s">
        <v>20</v>
      </c>
      <c r="L1021">
        <v>6</v>
      </c>
      <c r="M1021" s="7">
        <v>57.74</v>
      </c>
      <c r="N1021" s="7">
        <v>1240.98</v>
      </c>
      <c r="O1021" t="s">
        <v>16</v>
      </c>
    </row>
    <row r="1022" spans="1:15" x14ac:dyDescent="0.3">
      <c r="A1022" t="s">
        <v>1047</v>
      </c>
      <c r="B1022" t="s">
        <v>15</v>
      </c>
      <c r="C1022">
        <v>44</v>
      </c>
      <c r="D1022" t="s">
        <v>20</v>
      </c>
      <c r="E1022">
        <v>2</v>
      </c>
      <c r="F1022" t="str">
        <f t="shared" si="15"/>
        <v>0-6 Months</v>
      </c>
      <c r="G1022" t="s">
        <v>17</v>
      </c>
      <c r="H1022" t="s">
        <v>18</v>
      </c>
      <c r="I1022" t="s">
        <v>19</v>
      </c>
      <c r="J1022" t="s">
        <v>20</v>
      </c>
      <c r="K1022" t="s">
        <v>16</v>
      </c>
      <c r="L1022">
        <v>3</v>
      </c>
      <c r="M1022" s="7">
        <v>62.65</v>
      </c>
      <c r="N1022" s="7">
        <v>125.94</v>
      </c>
      <c r="O1022" t="s">
        <v>20</v>
      </c>
    </row>
    <row r="1023" spans="1:15" x14ac:dyDescent="0.3">
      <c r="A1023" t="s">
        <v>1048</v>
      </c>
      <c r="B1023" t="s">
        <v>15</v>
      </c>
      <c r="C1023">
        <v>54</v>
      </c>
      <c r="D1023" t="s">
        <v>20</v>
      </c>
      <c r="E1023">
        <v>22</v>
      </c>
      <c r="F1023" t="str">
        <f t="shared" si="15"/>
        <v>13-24 Months</v>
      </c>
      <c r="G1023" t="s">
        <v>17</v>
      </c>
      <c r="H1023" t="s">
        <v>20</v>
      </c>
      <c r="I1023" t="s">
        <v>24</v>
      </c>
      <c r="J1023" t="s">
        <v>20</v>
      </c>
      <c r="K1023" t="s">
        <v>16</v>
      </c>
      <c r="L1023">
        <v>3</v>
      </c>
      <c r="M1023" s="7">
        <v>31.08</v>
      </c>
      <c r="N1023" s="7">
        <v>735.82</v>
      </c>
      <c r="O1023" t="s">
        <v>20</v>
      </c>
    </row>
    <row r="1024" spans="1:15" x14ac:dyDescent="0.3">
      <c r="A1024" t="s">
        <v>1049</v>
      </c>
      <c r="B1024" t="s">
        <v>22</v>
      </c>
      <c r="C1024">
        <v>21</v>
      </c>
      <c r="D1024" t="s">
        <v>20</v>
      </c>
      <c r="E1024">
        <v>57</v>
      </c>
      <c r="F1024" t="str">
        <f t="shared" si="15"/>
        <v>49+ Months</v>
      </c>
      <c r="G1024" t="s">
        <v>17</v>
      </c>
      <c r="H1024" t="s">
        <v>18</v>
      </c>
      <c r="I1024" t="s">
        <v>24</v>
      </c>
      <c r="J1024" t="s">
        <v>20</v>
      </c>
      <c r="K1024" t="s">
        <v>16</v>
      </c>
      <c r="L1024">
        <v>3</v>
      </c>
      <c r="M1024" s="7">
        <v>83.57</v>
      </c>
      <c r="N1024" s="7">
        <v>4896.57</v>
      </c>
      <c r="O1024" t="s">
        <v>20</v>
      </c>
    </row>
    <row r="1025" spans="1:15" x14ac:dyDescent="0.3">
      <c r="A1025" t="s">
        <v>1050</v>
      </c>
      <c r="B1025" t="s">
        <v>22</v>
      </c>
      <c r="C1025">
        <v>67</v>
      </c>
      <c r="D1025" t="s">
        <v>16</v>
      </c>
      <c r="E1025">
        <v>72</v>
      </c>
      <c r="F1025" t="str">
        <f t="shared" si="15"/>
        <v>49+ Months</v>
      </c>
      <c r="G1025" t="s">
        <v>17</v>
      </c>
      <c r="H1025" t="s">
        <v>20</v>
      </c>
      <c r="I1025" t="s">
        <v>19</v>
      </c>
      <c r="J1025" t="s">
        <v>16</v>
      </c>
      <c r="K1025" t="s">
        <v>20</v>
      </c>
      <c r="L1025">
        <v>8</v>
      </c>
      <c r="M1025" s="7">
        <v>59.61</v>
      </c>
      <c r="N1025" s="7">
        <v>4199.3100000000004</v>
      </c>
      <c r="O1025" t="s">
        <v>16</v>
      </c>
    </row>
    <row r="1026" spans="1:15" x14ac:dyDescent="0.3">
      <c r="A1026" t="s">
        <v>1051</v>
      </c>
      <c r="B1026" t="s">
        <v>22</v>
      </c>
      <c r="C1026">
        <v>41</v>
      </c>
      <c r="D1026" t="s">
        <v>20</v>
      </c>
      <c r="E1026">
        <v>7</v>
      </c>
      <c r="F1026" t="str">
        <f t="shared" ref="F1026:F1089" si="16">IF(E1026&lt;=6,"0-6 Months",
 IF(E1026&lt;=12,"7-12 Months",
 IF(E1026&lt;=24,"13-24 Months",
 IF(E1026&lt;=48,"25-48 Months","49+ Months"))))</f>
        <v>7-12 Months</v>
      </c>
      <c r="G1026" t="s">
        <v>17</v>
      </c>
      <c r="H1026" t="s">
        <v>36</v>
      </c>
      <c r="I1026" t="s">
        <v>19</v>
      </c>
      <c r="J1026" t="s">
        <v>20</v>
      </c>
      <c r="K1026" t="s">
        <v>16</v>
      </c>
      <c r="L1026">
        <v>4</v>
      </c>
      <c r="M1026" s="7">
        <v>70.97</v>
      </c>
      <c r="N1026" s="7">
        <v>496.86</v>
      </c>
      <c r="O1026" t="s">
        <v>16</v>
      </c>
    </row>
    <row r="1027" spans="1:15" x14ac:dyDescent="0.3">
      <c r="A1027" t="s">
        <v>1052</v>
      </c>
      <c r="B1027" t="s">
        <v>22</v>
      </c>
      <c r="C1027">
        <v>36</v>
      </c>
      <c r="D1027" t="s">
        <v>20</v>
      </c>
      <c r="E1027">
        <v>56</v>
      </c>
      <c r="F1027" t="str">
        <f t="shared" si="16"/>
        <v>49+ Months</v>
      </c>
      <c r="G1027" t="s">
        <v>23</v>
      </c>
      <c r="H1027" t="s">
        <v>36</v>
      </c>
      <c r="I1027" t="s">
        <v>24</v>
      </c>
      <c r="J1027" t="s">
        <v>16</v>
      </c>
      <c r="K1027" t="s">
        <v>16</v>
      </c>
      <c r="L1027">
        <v>6</v>
      </c>
      <c r="M1027" s="7">
        <v>65.760000000000005</v>
      </c>
      <c r="N1027" s="7">
        <v>3976.52</v>
      </c>
      <c r="O1027" t="s">
        <v>20</v>
      </c>
    </row>
    <row r="1028" spans="1:15" x14ac:dyDescent="0.3">
      <c r="A1028" t="s">
        <v>1053</v>
      </c>
      <c r="B1028" t="s">
        <v>22</v>
      </c>
      <c r="C1028">
        <v>53</v>
      </c>
      <c r="D1028" t="s">
        <v>20</v>
      </c>
      <c r="E1028">
        <v>67</v>
      </c>
      <c r="F1028" t="str">
        <f t="shared" si="16"/>
        <v>49+ Months</v>
      </c>
      <c r="G1028" t="s">
        <v>35</v>
      </c>
      <c r="H1028" t="s">
        <v>36</v>
      </c>
      <c r="I1028" t="s">
        <v>19</v>
      </c>
      <c r="J1028" t="s">
        <v>16</v>
      </c>
      <c r="K1028" t="s">
        <v>20</v>
      </c>
      <c r="L1028">
        <v>5</v>
      </c>
      <c r="M1028" s="7">
        <v>59.32</v>
      </c>
      <c r="N1028" s="7">
        <v>3986.37</v>
      </c>
      <c r="O1028" t="s">
        <v>20</v>
      </c>
    </row>
    <row r="1029" spans="1:15" x14ac:dyDescent="0.3">
      <c r="A1029" t="s">
        <v>1054</v>
      </c>
      <c r="B1029" t="s">
        <v>15</v>
      </c>
      <c r="C1029">
        <v>56</v>
      </c>
      <c r="D1029" t="s">
        <v>20</v>
      </c>
      <c r="E1029">
        <v>16</v>
      </c>
      <c r="F1029" t="str">
        <f t="shared" si="16"/>
        <v>13-24 Months</v>
      </c>
      <c r="G1029" t="s">
        <v>23</v>
      </c>
      <c r="H1029" t="s">
        <v>36</v>
      </c>
      <c r="I1029" t="s">
        <v>24</v>
      </c>
      <c r="J1029" t="s">
        <v>20</v>
      </c>
      <c r="K1029" t="s">
        <v>20</v>
      </c>
      <c r="L1029">
        <v>8</v>
      </c>
      <c r="M1029" s="7">
        <v>84.53</v>
      </c>
      <c r="N1029" s="7">
        <v>1452.93</v>
      </c>
      <c r="O1029" t="s">
        <v>16</v>
      </c>
    </row>
    <row r="1030" spans="1:15" x14ac:dyDescent="0.3">
      <c r="A1030" t="s">
        <v>1055</v>
      </c>
      <c r="B1030" t="s">
        <v>15</v>
      </c>
      <c r="C1030">
        <v>27</v>
      </c>
      <c r="D1030" t="s">
        <v>20</v>
      </c>
      <c r="E1030">
        <v>51</v>
      </c>
      <c r="F1030" t="str">
        <f t="shared" si="16"/>
        <v>49+ Months</v>
      </c>
      <c r="G1030" t="s">
        <v>17</v>
      </c>
      <c r="H1030" t="s">
        <v>20</v>
      </c>
      <c r="I1030" t="s">
        <v>27</v>
      </c>
      <c r="J1030" t="s">
        <v>20</v>
      </c>
      <c r="K1030" t="s">
        <v>20</v>
      </c>
      <c r="L1030">
        <v>3</v>
      </c>
      <c r="M1030" s="7">
        <v>31.15</v>
      </c>
      <c r="N1030" s="7">
        <v>1465.72</v>
      </c>
      <c r="O1030" t="s">
        <v>20</v>
      </c>
    </row>
    <row r="1031" spans="1:15" x14ac:dyDescent="0.3">
      <c r="A1031" t="s">
        <v>1056</v>
      </c>
      <c r="B1031" t="s">
        <v>15</v>
      </c>
      <c r="C1031">
        <v>42</v>
      </c>
      <c r="D1031" t="s">
        <v>20</v>
      </c>
      <c r="E1031">
        <v>72</v>
      </c>
      <c r="F1031" t="str">
        <f t="shared" si="16"/>
        <v>49+ Months</v>
      </c>
      <c r="G1031" t="s">
        <v>17</v>
      </c>
      <c r="H1031" t="s">
        <v>36</v>
      </c>
      <c r="I1031" t="s">
        <v>24</v>
      </c>
      <c r="J1031" t="s">
        <v>20</v>
      </c>
      <c r="K1031" t="s">
        <v>20</v>
      </c>
      <c r="L1031">
        <v>6</v>
      </c>
      <c r="M1031" s="7">
        <v>65.290000000000006</v>
      </c>
      <c r="N1031" s="7">
        <v>4867.08</v>
      </c>
      <c r="O1031" t="s">
        <v>20</v>
      </c>
    </row>
    <row r="1032" spans="1:15" x14ac:dyDescent="0.3">
      <c r="A1032" t="s">
        <v>1057</v>
      </c>
      <c r="B1032" t="s">
        <v>15</v>
      </c>
      <c r="C1032">
        <v>35</v>
      </c>
      <c r="D1032" t="s">
        <v>20</v>
      </c>
      <c r="E1032">
        <v>12</v>
      </c>
      <c r="F1032" t="str">
        <f t="shared" si="16"/>
        <v>7-12 Months</v>
      </c>
      <c r="G1032" t="s">
        <v>17</v>
      </c>
      <c r="H1032" t="s">
        <v>36</v>
      </c>
      <c r="I1032" t="s">
        <v>30</v>
      </c>
      <c r="J1032" t="s">
        <v>20</v>
      </c>
      <c r="K1032" t="s">
        <v>20</v>
      </c>
      <c r="L1032">
        <v>4</v>
      </c>
      <c r="M1032" s="7">
        <v>62.92</v>
      </c>
      <c r="N1032" s="7">
        <v>770.4</v>
      </c>
      <c r="O1032" t="s">
        <v>16</v>
      </c>
    </row>
    <row r="1033" spans="1:15" x14ac:dyDescent="0.3">
      <c r="A1033" t="s">
        <v>1058</v>
      </c>
      <c r="B1033" t="s">
        <v>22</v>
      </c>
      <c r="C1033">
        <v>36</v>
      </c>
      <c r="D1033" t="s">
        <v>20</v>
      </c>
      <c r="E1033">
        <v>53</v>
      </c>
      <c r="F1033" t="str">
        <f t="shared" si="16"/>
        <v>49+ Months</v>
      </c>
      <c r="G1033" t="s">
        <v>17</v>
      </c>
      <c r="H1033" t="s">
        <v>18</v>
      </c>
      <c r="I1033" t="s">
        <v>19</v>
      </c>
      <c r="J1033" t="s">
        <v>20</v>
      </c>
      <c r="K1033" t="s">
        <v>20</v>
      </c>
      <c r="L1033">
        <v>6</v>
      </c>
      <c r="M1033" s="7">
        <v>91.61</v>
      </c>
      <c r="N1033" s="7">
        <v>4999.3</v>
      </c>
      <c r="O1033" t="s">
        <v>20</v>
      </c>
    </row>
    <row r="1034" spans="1:15" x14ac:dyDescent="0.3">
      <c r="A1034" t="s">
        <v>1059</v>
      </c>
      <c r="B1034" t="s">
        <v>15</v>
      </c>
      <c r="C1034">
        <v>53</v>
      </c>
      <c r="D1034" t="s">
        <v>20</v>
      </c>
      <c r="E1034">
        <v>5</v>
      </c>
      <c r="F1034" t="str">
        <f t="shared" si="16"/>
        <v>0-6 Months</v>
      </c>
      <c r="G1034" t="s">
        <v>17</v>
      </c>
      <c r="H1034" t="s">
        <v>18</v>
      </c>
      <c r="I1034" t="s">
        <v>24</v>
      </c>
      <c r="J1034" t="s">
        <v>20</v>
      </c>
      <c r="K1034" t="s">
        <v>20</v>
      </c>
      <c r="L1034">
        <v>4</v>
      </c>
      <c r="M1034" s="7">
        <v>73.42</v>
      </c>
      <c r="N1034" s="7">
        <v>371.24</v>
      </c>
      <c r="O1034" t="s">
        <v>16</v>
      </c>
    </row>
    <row r="1035" spans="1:15" x14ac:dyDescent="0.3">
      <c r="A1035" t="s">
        <v>1060</v>
      </c>
      <c r="B1035" t="s">
        <v>22</v>
      </c>
      <c r="C1035">
        <v>27</v>
      </c>
      <c r="D1035" t="s">
        <v>20</v>
      </c>
      <c r="E1035">
        <v>27</v>
      </c>
      <c r="F1035" t="str">
        <f t="shared" si="16"/>
        <v>25-48 Months</v>
      </c>
      <c r="G1035" t="s">
        <v>17</v>
      </c>
      <c r="H1035" t="s">
        <v>20</v>
      </c>
      <c r="I1035" t="s">
        <v>27</v>
      </c>
      <c r="J1035" t="s">
        <v>16</v>
      </c>
      <c r="K1035" t="s">
        <v>20</v>
      </c>
      <c r="L1035">
        <v>2</v>
      </c>
      <c r="M1035" s="7">
        <v>34.82</v>
      </c>
      <c r="N1035" s="7">
        <v>871.57</v>
      </c>
      <c r="O1035" t="s">
        <v>20</v>
      </c>
    </row>
    <row r="1036" spans="1:15" x14ac:dyDescent="0.3">
      <c r="A1036" t="s">
        <v>1061</v>
      </c>
      <c r="B1036" t="s">
        <v>15</v>
      </c>
      <c r="C1036">
        <v>50</v>
      </c>
      <c r="D1036" t="s">
        <v>20</v>
      </c>
      <c r="E1036">
        <v>12</v>
      </c>
      <c r="F1036" t="str">
        <f t="shared" si="16"/>
        <v>7-12 Months</v>
      </c>
      <c r="G1036" t="s">
        <v>17</v>
      </c>
      <c r="H1036" t="s">
        <v>36</v>
      </c>
      <c r="I1036" t="s">
        <v>30</v>
      </c>
      <c r="J1036" t="s">
        <v>20</v>
      </c>
      <c r="K1036" t="s">
        <v>16</v>
      </c>
      <c r="L1036">
        <v>4</v>
      </c>
      <c r="M1036" s="7">
        <v>56.96</v>
      </c>
      <c r="N1036" s="7">
        <v>645.20000000000005</v>
      </c>
      <c r="O1036" t="s">
        <v>20</v>
      </c>
    </row>
    <row r="1037" spans="1:15" x14ac:dyDescent="0.3">
      <c r="A1037" t="s">
        <v>1062</v>
      </c>
      <c r="B1037" t="s">
        <v>22</v>
      </c>
      <c r="C1037">
        <v>72</v>
      </c>
      <c r="D1037" t="s">
        <v>16</v>
      </c>
      <c r="E1037">
        <v>17</v>
      </c>
      <c r="F1037" t="str">
        <f t="shared" si="16"/>
        <v>13-24 Months</v>
      </c>
      <c r="G1037" t="s">
        <v>35</v>
      </c>
      <c r="H1037" t="s">
        <v>36</v>
      </c>
      <c r="I1037" t="s">
        <v>24</v>
      </c>
      <c r="J1037" t="s">
        <v>20</v>
      </c>
      <c r="K1037" t="s">
        <v>16</v>
      </c>
      <c r="L1037">
        <v>6</v>
      </c>
      <c r="M1037" s="7">
        <v>55.22</v>
      </c>
      <c r="N1037" s="7">
        <v>1002.16</v>
      </c>
      <c r="O1037" t="s">
        <v>20</v>
      </c>
    </row>
    <row r="1038" spans="1:15" x14ac:dyDescent="0.3">
      <c r="A1038" t="s">
        <v>1063</v>
      </c>
      <c r="B1038" t="s">
        <v>22</v>
      </c>
      <c r="C1038">
        <v>67</v>
      </c>
      <c r="D1038" t="s">
        <v>16</v>
      </c>
      <c r="E1038">
        <v>6</v>
      </c>
      <c r="F1038" t="str">
        <f t="shared" si="16"/>
        <v>0-6 Months</v>
      </c>
      <c r="G1038" t="s">
        <v>17</v>
      </c>
      <c r="H1038" t="s">
        <v>36</v>
      </c>
      <c r="I1038" t="s">
        <v>24</v>
      </c>
      <c r="J1038" t="s">
        <v>20</v>
      </c>
      <c r="K1038" t="s">
        <v>16</v>
      </c>
      <c r="L1038">
        <v>3</v>
      </c>
      <c r="M1038" s="7">
        <v>51.77</v>
      </c>
      <c r="N1038" s="7">
        <v>297.35000000000002</v>
      </c>
      <c r="O1038" t="s">
        <v>20</v>
      </c>
    </row>
    <row r="1039" spans="1:15" x14ac:dyDescent="0.3">
      <c r="A1039" t="s">
        <v>1064</v>
      </c>
      <c r="B1039" t="s">
        <v>15</v>
      </c>
      <c r="C1039">
        <v>22</v>
      </c>
      <c r="D1039" t="s">
        <v>20</v>
      </c>
      <c r="E1039">
        <v>5</v>
      </c>
      <c r="F1039" t="str">
        <f t="shared" si="16"/>
        <v>0-6 Months</v>
      </c>
      <c r="G1039" t="s">
        <v>17</v>
      </c>
      <c r="H1039" t="s">
        <v>20</v>
      </c>
      <c r="I1039" t="s">
        <v>24</v>
      </c>
      <c r="J1039" t="s">
        <v>20</v>
      </c>
      <c r="K1039" t="s">
        <v>20</v>
      </c>
      <c r="L1039">
        <v>3</v>
      </c>
      <c r="M1039" s="7">
        <v>25.56</v>
      </c>
      <c r="N1039" s="7">
        <v>137.88</v>
      </c>
      <c r="O1039" t="s">
        <v>16</v>
      </c>
    </row>
    <row r="1040" spans="1:15" x14ac:dyDescent="0.3">
      <c r="A1040" t="s">
        <v>1065</v>
      </c>
      <c r="B1040" t="s">
        <v>15</v>
      </c>
      <c r="C1040">
        <v>64</v>
      </c>
      <c r="D1040" t="s">
        <v>16</v>
      </c>
      <c r="E1040">
        <v>57</v>
      </c>
      <c r="F1040" t="str">
        <f t="shared" si="16"/>
        <v>49+ Months</v>
      </c>
      <c r="G1040" t="s">
        <v>35</v>
      </c>
      <c r="H1040" t="s">
        <v>36</v>
      </c>
      <c r="I1040" t="s">
        <v>24</v>
      </c>
      <c r="J1040" t="s">
        <v>20</v>
      </c>
      <c r="K1040" t="s">
        <v>16</v>
      </c>
      <c r="L1040">
        <v>2</v>
      </c>
      <c r="M1040" s="7">
        <v>46.38</v>
      </c>
      <c r="N1040" s="7">
        <v>2719.62</v>
      </c>
      <c r="O1040" t="s">
        <v>20</v>
      </c>
    </row>
    <row r="1041" spans="1:15" x14ac:dyDescent="0.3">
      <c r="A1041" t="s">
        <v>1066</v>
      </c>
      <c r="B1041" t="s">
        <v>15</v>
      </c>
      <c r="C1041">
        <v>66</v>
      </c>
      <c r="D1041" t="s">
        <v>16</v>
      </c>
      <c r="E1041">
        <v>28</v>
      </c>
      <c r="F1041" t="str">
        <f t="shared" si="16"/>
        <v>25-48 Months</v>
      </c>
      <c r="G1041" t="s">
        <v>17</v>
      </c>
      <c r="H1041" t="s">
        <v>36</v>
      </c>
      <c r="I1041" t="s">
        <v>19</v>
      </c>
      <c r="J1041" t="s">
        <v>20</v>
      </c>
      <c r="K1041" t="s">
        <v>20</v>
      </c>
      <c r="L1041">
        <v>6</v>
      </c>
      <c r="M1041" s="7">
        <v>58.59</v>
      </c>
      <c r="N1041" s="7">
        <v>1625.91</v>
      </c>
      <c r="O1041" t="s">
        <v>20</v>
      </c>
    </row>
    <row r="1042" spans="1:15" x14ac:dyDescent="0.3">
      <c r="A1042" t="s">
        <v>1067</v>
      </c>
      <c r="B1042" t="s">
        <v>15</v>
      </c>
      <c r="C1042">
        <v>52</v>
      </c>
      <c r="D1042" t="s">
        <v>20</v>
      </c>
      <c r="E1042">
        <v>69</v>
      </c>
      <c r="F1042" t="str">
        <f t="shared" si="16"/>
        <v>49+ Months</v>
      </c>
      <c r="G1042" t="s">
        <v>17</v>
      </c>
      <c r="H1042" t="s">
        <v>36</v>
      </c>
      <c r="I1042" t="s">
        <v>30</v>
      </c>
      <c r="J1042" t="s">
        <v>16</v>
      </c>
      <c r="K1042" t="s">
        <v>16</v>
      </c>
      <c r="L1042">
        <v>2</v>
      </c>
      <c r="M1042" s="7">
        <v>56.42</v>
      </c>
      <c r="N1042" s="7">
        <v>4154.62</v>
      </c>
      <c r="O1042" t="s">
        <v>20</v>
      </c>
    </row>
    <row r="1043" spans="1:15" x14ac:dyDescent="0.3">
      <c r="A1043" t="s">
        <v>1068</v>
      </c>
      <c r="B1043" t="s">
        <v>22</v>
      </c>
      <c r="C1043">
        <v>61</v>
      </c>
      <c r="D1043" t="s">
        <v>16</v>
      </c>
      <c r="E1043">
        <v>59</v>
      </c>
      <c r="F1043" t="str">
        <f t="shared" si="16"/>
        <v>49+ Months</v>
      </c>
      <c r="G1043" t="s">
        <v>23</v>
      </c>
      <c r="H1043" t="s">
        <v>18</v>
      </c>
      <c r="I1043" t="s">
        <v>27</v>
      </c>
      <c r="J1043" t="s">
        <v>16</v>
      </c>
      <c r="K1043" t="s">
        <v>20</v>
      </c>
      <c r="L1043">
        <v>4</v>
      </c>
      <c r="M1043" s="7">
        <v>81.099999999999994</v>
      </c>
      <c r="N1043" s="7">
        <v>5010.74</v>
      </c>
      <c r="O1043" t="s">
        <v>20</v>
      </c>
    </row>
    <row r="1044" spans="1:15" x14ac:dyDescent="0.3">
      <c r="A1044" t="s">
        <v>1069</v>
      </c>
      <c r="B1044" t="s">
        <v>15</v>
      </c>
      <c r="C1044">
        <v>51</v>
      </c>
      <c r="D1044" t="s">
        <v>20</v>
      </c>
      <c r="E1044">
        <v>33</v>
      </c>
      <c r="F1044" t="str">
        <f t="shared" si="16"/>
        <v>25-48 Months</v>
      </c>
      <c r="G1044" t="s">
        <v>23</v>
      </c>
      <c r="H1044" t="s">
        <v>18</v>
      </c>
      <c r="I1044" t="s">
        <v>30</v>
      </c>
      <c r="J1044" t="s">
        <v>20</v>
      </c>
      <c r="K1044" t="s">
        <v>20</v>
      </c>
      <c r="L1044">
        <v>3</v>
      </c>
      <c r="M1044" s="7">
        <v>85.77</v>
      </c>
      <c r="N1044" s="7">
        <v>2798.24</v>
      </c>
      <c r="O1044" t="s">
        <v>20</v>
      </c>
    </row>
    <row r="1045" spans="1:15" x14ac:dyDescent="0.3">
      <c r="A1045" t="s">
        <v>1070</v>
      </c>
      <c r="B1045" t="s">
        <v>15</v>
      </c>
      <c r="C1045">
        <v>50</v>
      </c>
      <c r="D1045" t="s">
        <v>20</v>
      </c>
      <c r="E1045">
        <v>62</v>
      </c>
      <c r="F1045" t="str">
        <f t="shared" si="16"/>
        <v>49+ Months</v>
      </c>
      <c r="G1045" t="s">
        <v>23</v>
      </c>
      <c r="H1045" t="s">
        <v>20</v>
      </c>
      <c r="I1045" t="s">
        <v>24</v>
      </c>
      <c r="J1045" t="s">
        <v>20</v>
      </c>
      <c r="K1045" t="s">
        <v>20</v>
      </c>
      <c r="L1045">
        <v>5</v>
      </c>
      <c r="M1045" s="7">
        <v>38.549999999999997</v>
      </c>
      <c r="N1045" s="7">
        <v>2225.12</v>
      </c>
      <c r="O1045" t="s">
        <v>20</v>
      </c>
    </row>
    <row r="1046" spans="1:15" x14ac:dyDescent="0.3">
      <c r="A1046" t="s">
        <v>1071</v>
      </c>
      <c r="B1046" t="s">
        <v>22</v>
      </c>
      <c r="C1046">
        <v>72</v>
      </c>
      <c r="D1046" t="s">
        <v>16</v>
      </c>
      <c r="E1046">
        <v>50</v>
      </c>
      <c r="F1046" t="str">
        <f t="shared" si="16"/>
        <v>49+ Months</v>
      </c>
      <c r="G1046" t="s">
        <v>17</v>
      </c>
      <c r="H1046" t="s">
        <v>18</v>
      </c>
      <c r="I1046" t="s">
        <v>24</v>
      </c>
      <c r="J1046" t="s">
        <v>16</v>
      </c>
      <c r="K1046" t="s">
        <v>20</v>
      </c>
      <c r="L1046">
        <v>7</v>
      </c>
      <c r="M1046" s="7">
        <v>91.86</v>
      </c>
      <c r="N1046" s="7">
        <v>4863.66</v>
      </c>
      <c r="O1046" t="s">
        <v>20</v>
      </c>
    </row>
    <row r="1047" spans="1:15" x14ac:dyDescent="0.3">
      <c r="A1047" t="s">
        <v>1072</v>
      </c>
      <c r="B1047" t="s">
        <v>15</v>
      </c>
      <c r="C1047">
        <v>38</v>
      </c>
      <c r="D1047" t="s">
        <v>20</v>
      </c>
      <c r="E1047">
        <v>19</v>
      </c>
      <c r="F1047" t="str">
        <f t="shared" si="16"/>
        <v>13-24 Months</v>
      </c>
      <c r="G1047" t="s">
        <v>17</v>
      </c>
      <c r="H1047" t="s">
        <v>20</v>
      </c>
      <c r="I1047" t="s">
        <v>19</v>
      </c>
      <c r="J1047" t="s">
        <v>16</v>
      </c>
      <c r="K1047" t="s">
        <v>16</v>
      </c>
      <c r="L1047">
        <v>1</v>
      </c>
      <c r="M1047" s="7">
        <v>21.28</v>
      </c>
      <c r="N1047" s="7">
        <v>421.47</v>
      </c>
      <c r="O1047" t="s">
        <v>20</v>
      </c>
    </row>
    <row r="1048" spans="1:15" x14ac:dyDescent="0.3">
      <c r="A1048" t="s">
        <v>1073</v>
      </c>
      <c r="B1048" t="s">
        <v>15</v>
      </c>
      <c r="C1048">
        <v>34</v>
      </c>
      <c r="D1048" t="s">
        <v>20</v>
      </c>
      <c r="E1048">
        <v>69</v>
      </c>
      <c r="F1048" t="str">
        <f t="shared" si="16"/>
        <v>49+ Months</v>
      </c>
      <c r="G1048" t="s">
        <v>17</v>
      </c>
      <c r="H1048" t="s">
        <v>18</v>
      </c>
      <c r="I1048" t="s">
        <v>24</v>
      </c>
      <c r="J1048" t="s">
        <v>20</v>
      </c>
      <c r="K1048" t="s">
        <v>20</v>
      </c>
      <c r="L1048">
        <v>7</v>
      </c>
      <c r="M1048" s="7">
        <v>86.58</v>
      </c>
      <c r="N1048" s="7">
        <v>6251.92</v>
      </c>
      <c r="O1048" t="s">
        <v>20</v>
      </c>
    </row>
    <row r="1049" spans="1:15" x14ac:dyDescent="0.3">
      <c r="A1049" t="s">
        <v>1074</v>
      </c>
      <c r="B1049" t="s">
        <v>15</v>
      </c>
      <c r="C1049">
        <v>39</v>
      </c>
      <c r="D1049" t="s">
        <v>20</v>
      </c>
      <c r="E1049">
        <v>66</v>
      </c>
      <c r="F1049" t="str">
        <f t="shared" si="16"/>
        <v>49+ Months</v>
      </c>
      <c r="G1049" t="s">
        <v>17</v>
      </c>
      <c r="H1049" t="s">
        <v>18</v>
      </c>
      <c r="I1049" t="s">
        <v>24</v>
      </c>
      <c r="J1049" t="s">
        <v>20</v>
      </c>
      <c r="K1049" t="s">
        <v>16</v>
      </c>
      <c r="L1049">
        <v>4</v>
      </c>
      <c r="M1049" s="7">
        <v>76.2</v>
      </c>
      <c r="N1049" s="7">
        <v>5226.2299999999996</v>
      </c>
      <c r="O1049" t="s">
        <v>20</v>
      </c>
    </row>
    <row r="1050" spans="1:15" x14ac:dyDescent="0.3">
      <c r="A1050" t="s">
        <v>1075</v>
      </c>
      <c r="B1050" t="s">
        <v>15</v>
      </c>
      <c r="C1050">
        <v>65</v>
      </c>
      <c r="D1050" t="s">
        <v>16</v>
      </c>
      <c r="E1050">
        <v>47</v>
      </c>
      <c r="F1050" t="str">
        <f t="shared" si="16"/>
        <v>25-48 Months</v>
      </c>
      <c r="G1050" t="s">
        <v>35</v>
      </c>
      <c r="H1050" t="s">
        <v>20</v>
      </c>
      <c r="I1050" t="s">
        <v>27</v>
      </c>
      <c r="J1050" t="s">
        <v>16</v>
      </c>
      <c r="K1050" t="s">
        <v>20</v>
      </c>
      <c r="L1050">
        <v>4</v>
      </c>
      <c r="M1050" s="7">
        <v>54.82</v>
      </c>
      <c r="N1050" s="7">
        <v>2484.1</v>
      </c>
      <c r="O1050" t="s">
        <v>20</v>
      </c>
    </row>
    <row r="1051" spans="1:15" x14ac:dyDescent="0.3">
      <c r="A1051" t="s">
        <v>1076</v>
      </c>
      <c r="B1051" t="s">
        <v>15</v>
      </c>
      <c r="C1051">
        <v>54</v>
      </c>
      <c r="D1051" t="s">
        <v>20</v>
      </c>
      <c r="E1051">
        <v>39</v>
      </c>
      <c r="F1051" t="str">
        <f t="shared" si="16"/>
        <v>25-48 Months</v>
      </c>
      <c r="G1051" t="s">
        <v>23</v>
      </c>
      <c r="H1051" t="s">
        <v>36</v>
      </c>
      <c r="I1051" t="s">
        <v>24</v>
      </c>
      <c r="J1051" t="s">
        <v>16</v>
      </c>
      <c r="K1051" t="s">
        <v>20</v>
      </c>
      <c r="L1051">
        <v>3</v>
      </c>
      <c r="M1051" s="7">
        <v>57.55</v>
      </c>
      <c r="N1051" s="7">
        <v>2373.3200000000002</v>
      </c>
      <c r="O1051" t="s">
        <v>20</v>
      </c>
    </row>
    <row r="1052" spans="1:15" x14ac:dyDescent="0.3">
      <c r="A1052" t="s">
        <v>1077</v>
      </c>
      <c r="B1052" t="s">
        <v>22</v>
      </c>
      <c r="C1052">
        <v>32</v>
      </c>
      <c r="D1052" t="s">
        <v>20</v>
      </c>
      <c r="E1052">
        <v>68</v>
      </c>
      <c r="F1052" t="str">
        <f t="shared" si="16"/>
        <v>49+ Months</v>
      </c>
      <c r="G1052" t="s">
        <v>17</v>
      </c>
      <c r="H1052" t="s">
        <v>18</v>
      </c>
      <c r="I1052" t="s">
        <v>27</v>
      </c>
      <c r="J1052" t="s">
        <v>20</v>
      </c>
      <c r="K1052" t="s">
        <v>16</v>
      </c>
      <c r="L1052">
        <v>5</v>
      </c>
      <c r="M1052" s="7">
        <v>82.11</v>
      </c>
      <c r="N1052" s="7">
        <v>5138.8</v>
      </c>
      <c r="O1052" t="s">
        <v>20</v>
      </c>
    </row>
    <row r="1053" spans="1:15" x14ac:dyDescent="0.3">
      <c r="A1053" t="s">
        <v>1078</v>
      </c>
      <c r="B1053" t="s">
        <v>15</v>
      </c>
      <c r="C1053">
        <v>52</v>
      </c>
      <c r="D1053" t="s">
        <v>20</v>
      </c>
      <c r="E1053">
        <v>33</v>
      </c>
      <c r="F1053" t="str">
        <f t="shared" si="16"/>
        <v>25-48 Months</v>
      </c>
      <c r="G1053" t="s">
        <v>23</v>
      </c>
      <c r="H1053" t="s">
        <v>36</v>
      </c>
      <c r="I1053" t="s">
        <v>24</v>
      </c>
      <c r="J1053" t="s">
        <v>20</v>
      </c>
      <c r="K1053" t="s">
        <v>20</v>
      </c>
      <c r="L1053">
        <v>4</v>
      </c>
      <c r="M1053" s="7">
        <v>66.55</v>
      </c>
      <c r="N1053" s="7">
        <v>2103.83</v>
      </c>
      <c r="O1053" t="s">
        <v>20</v>
      </c>
    </row>
    <row r="1054" spans="1:15" x14ac:dyDescent="0.3">
      <c r="A1054" t="s">
        <v>1079</v>
      </c>
      <c r="B1054" t="s">
        <v>15</v>
      </c>
      <c r="C1054">
        <v>45</v>
      </c>
      <c r="D1054" t="s">
        <v>20</v>
      </c>
      <c r="E1054">
        <v>13</v>
      </c>
      <c r="F1054" t="str">
        <f t="shared" si="16"/>
        <v>13-24 Months</v>
      </c>
      <c r="G1054" t="s">
        <v>17</v>
      </c>
      <c r="H1054" t="s">
        <v>36</v>
      </c>
      <c r="I1054" t="s">
        <v>27</v>
      </c>
      <c r="J1054" t="s">
        <v>16</v>
      </c>
      <c r="K1054" t="s">
        <v>20</v>
      </c>
      <c r="L1054">
        <v>3</v>
      </c>
      <c r="M1054" s="7">
        <v>59.71</v>
      </c>
      <c r="N1054" s="7">
        <v>719.91</v>
      </c>
      <c r="O1054" t="s">
        <v>20</v>
      </c>
    </row>
    <row r="1055" spans="1:15" x14ac:dyDescent="0.3">
      <c r="A1055" t="s">
        <v>1080</v>
      </c>
      <c r="B1055" t="s">
        <v>15</v>
      </c>
      <c r="C1055">
        <v>24</v>
      </c>
      <c r="D1055" t="s">
        <v>20</v>
      </c>
      <c r="E1055">
        <v>54</v>
      </c>
      <c r="F1055" t="str">
        <f t="shared" si="16"/>
        <v>49+ Months</v>
      </c>
      <c r="G1055" t="s">
        <v>35</v>
      </c>
      <c r="H1055" t="s">
        <v>36</v>
      </c>
      <c r="I1055" t="s">
        <v>30</v>
      </c>
      <c r="J1055" t="s">
        <v>16</v>
      </c>
      <c r="K1055" t="s">
        <v>20</v>
      </c>
      <c r="L1055">
        <v>4</v>
      </c>
      <c r="M1055" s="7">
        <v>58.61</v>
      </c>
      <c r="N1055" s="7">
        <v>2967.75</v>
      </c>
      <c r="O1055" t="s">
        <v>20</v>
      </c>
    </row>
    <row r="1056" spans="1:15" x14ac:dyDescent="0.3">
      <c r="A1056" t="s">
        <v>1081</v>
      </c>
      <c r="B1056" t="s">
        <v>15</v>
      </c>
      <c r="C1056">
        <v>49</v>
      </c>
      <c r="D1056" t="s">
        <v>20</v>
      </c>
      <c r="E1056">
        <v>7</v>
      </c>
      <c r="F1056" t="str">
        <f t="shared" si="16"/>
        <v>7-12 Months</v>
      </c>
      <c r="G1056" t="s">
        <v>17</v>
      </c>
      <c r="H1056" t="s">
        <v>18</v>
      </c>
      <c r="I1056" t="s">
        <v>30</v>
      </c>
      <c r="J1056" t="s">
        <v>20</v>
      </c>
      <c r="K1056" t="s">
        <v>20</v>
      </c>
      <c r="L1056">
        <v>3</v>
      </c>
      <c r="M1056" s="7">
        <v>79.73</v>
      </c>
      <c r="N1056" s="7">
        <v>561</v>
      </c>
      <c r="O1056" t="s">
        <v>20</v>
      </c>
    </row>
    <row r="1057" spans="1:15" x14ac:dyDescent="0.3">
      <c r="A1057" t="s">
        <v>1082</v>
      </c>
      <c r="B1057" t="s">
        <v>15</v>
      </c>
      <c r="C1057">
        <v>28</v>
      </c>
      <c r="D1057" t="s">
        <v>20</v>
      </c>
      <c r="E1057">
        <v>14</v>
      </c>
      <c r="F1057" t="str">
        <f t="shared" si="16"/>
        <v>13-24 Months</v>
      </c>
      <c r="G1057" t="s">
        <v>17</v>
      </c>
      <c r="H1057" t="s">
        <v>20</v>
      </c>
      <c r="I1057" t="s">
        <v>24</v>
      </c>
      <c r="J1057" t="s">
        <v>20</v>
      </c>
      <c r="K1057" t="s">
        <v>20</v>
      </c>
      <c r="L1057">
        <v>4</v>
      </c>
      <c r="M1057" s="7">
        <v>38.86</v>
      </c>
      <c r="N1057" s="7">
        <v>503.76</v>
      </c>
      <c r="O1057" t="s">
        <v>20</v>
      </c>
    </row>
    <row r="1058" spans="1:15" x14ac:dyDescent="0.3">
      <c r="A1058" t="s">
        <v>1083</v>
      </c>
      <c r="B1058" t="s">
        <v>22</v>
      </c>
      <c r="C1058">
        <v>27</v>
      </c>
      <c r="D1058" t="s">
        <v>20</v>
      </c>
      <c r="E1058">
        <v>19</v>
      </c>
      <c r="F1058" t="str">
        <f t="shared" si="16"/>
        <v>13-24 Months</v>
      </c>
      <c r="G1058" t="s">
        <v>17</v>
      </c>
      <c r="H1058" t="s">
        <v>20</v>
      </c>
      <c r="I1058" t="s">
        <v>27</v>
      </c>
      <c r="J1058" t="s">
        <v>20</v>
      </c>
      <c r="K1058" t="s">
        <v>20</v>
      </c>
      <c r="L1058">
        <v>1</v>
      </c>
      <c r="M1058" s="7">
        <v>49.9</v>
      </c>
      <c r="N1058" s="7">
        <v>899.77</v>
      </c>
      <c r="O1058" t="s">
        <v>16</v>
      </c>
    </row>
    <row r="1059" spans="1:15" x14ac:dyDescent="0.3">
      <c r="A1059" t="s">
        <v>1084</v>
      </c>
      <c r="B1059" t="s">
        <v>15</v>
      </c>
      <c r="C1059">
        <v>26</v>
      </c>
      <c r="D1059" t="s">
        <v>20</v>
      </c>
      <c r="E1059">
        <v>54</v>
      </c>
      <c r="F1059" t="str">
        <f t="shared" si="16"/>
        <v>49+ Months</v>
      </c>
      <c r="G1059" t="s">
        <v>23</v>
      </c>
      <c r="H1059" t="s">
        <v>18</v>
      </c>
      <c r="I1059" t="s">
        <v>27</v>
      </c>
      <c r="J1059" t="s">
        <v>20</v>
      </c>
      <c r="K1059" t="s">
        <v>20</v>
      </c>
      <c r="L1059">
        <v>2</v>
      </c>
      <c r="M1059" s="7">
        <v>79.540000000000006</v>
      </c>
      <c r="N1059" s="7">
        <v>4111.49</v>
      </c>
      <c r="O1059" t="s">
        <v>20</v>
      </c>
    </row>
    <row r="1060" spans="1:15" x14ac:dyDescent="0.3">
      <c r="A1060" t="s">
        <v>1085</v>
      </c>
      <c r="B1060" t="s">
        <v>22</v>
      </c>
      <c r="C1060">
        <v>31</v>
      </c>
      <c r="D1060" t="s">
        <v>20</v>
      </c>
      <c r="E1060">
        <v>20</v>
      </c>
      <c r="F1060" t="str">
        <f t="shared" si="16"/>
        <v>13-24 Months</v>
      </c>
      <c r="G1060" t="s">
        <v>23</v>
      </c>
      <c r="H1060" t="s">
        <v>20</v>
      </c>
      <c r="I1060" t="s">
        <v>30</v>
      </c>
      <c r="J1060" t="s">
        <v>16</v>
      </c>
      <c r="K1060" t="s">
        <v>20</v>
      </c>
      <c r="L1060">
        <v>2</v>
      </c>
      <c r="M1060" s="7">
        <v>30.15</v>
      </c>
      <c r="N1060" s="7">
        <v>617.99</v>
      </c>
      <c r="O1060" t="s">
        <v>20</v>
      </c>
    </row>
    <row r="1061" spans="1:15" x14ac:dyDescent="0.3">
      <c r="A1061" t="s">
        <v>1086</v>
      </c>
      <c r="B1061" t="s">
        <v>22</v>
      </c>
      <c r="C1061">
        <v>30</v>
      </c>
      <c r="D1061" t="s">
        <v>20</v>
      </c>
      <c r="E1061">
        <v>29</v>
      </c>
      <c r="F1061" t="str">
        <f t="shared" si="16"/>
        <v>25-48 Months</v>
      </c>
      <c r="G1061" t="s">
        <v>17</v>
      </c>
      <c r="H1061" t="s">
        <v>20</v>
      </c>
      <c r="I1061" t="s">
        <v>19</v>
      </c>
      <c r="J1061" t="s">
        <v>20</v>
      </c>
      <c r="K1061" t="s">
        <v>16</v>
      </c>
      <c r="L1061">
        <v>1</v>
      </c>
      <c r="M1061" s="7">
        <v>34.31</v>
      </c>
      <c r="N1061" s="7">
        <v>990.03</v>
      </c>
      <c r="O1061" t="s">
        <v>20</v>
      </c>
    </row>
    <row r="1062" spans="1:15" x14ac:dyDescent="0.3">
      <c r="A1062" t="s">
        <v>1087</v>
      </c>
      <c r="B1062" t="s">
        <v>15</v>
      </c>
      <c r="C1062">
        <v>74</v>
      </c>
      <c r="D1062" t="s">
        <v>16</v>
      </c>
      <c r="E1062">
        <v>24</v>
      </c>
      <c r="F1062" t="str">
        <f t="shared" si="16"/>
        <v>13-24 Months</v>
      </c>
      <c r="G1062" t="s">
        <v>17</v>
      </c>
      <c r="H1062" t="s">
        <v>36</v>
      </c>
      <c r="I1062" t="s">
        <v>30</v>
      </c>
      <c r="J1062" t="s">
        <v>20</v>
      </c>
      <c r="K1062" t="s">
        <v>20</v>
      </c>
      <c r="L1062">
        <v>4</v>
      </c>
      <c r="M1062" s="7">
        <v>62.84</v>
      </c>
      <c r="N1062" s="7">
        <v>1498.12</v>
      </c>
      <c r="O1062" t="s">
        <v>16</v>
      </c>
    </row>
    <row r="1063" spans="1:15" x14ac:dyDescent="0.3">
      <c r="A1063" t="s">
        <v>1088</v>
      </c>
      <c r="B1063" t="s">
        <v>15</v>
      </c>
      <c r="C1063">
        <v>42</v>
      </c>
      <c r="D1063" t="s">
        <v>20</v>
      </c>
      <c r="E1063">
        <v>63</v>
      </c>
      <c r="F1063" t="str">
        <f t="shared" si="16"/>
        <v>49+ Months</v>
      </c>
      <c r="G1063" t="s">
        <v>17</v>
      </c>
      <c r="H1063" t="s">
        <v>36</v>
      </c>
      <c r="I1063" t="s">
        <v>24</v>
      </c>
      <c r="J1063" t="s">
        <v>16</v>
      </c>
      <c r="K1063" t="s">
        <v>20</v>
      </c>
      <c r="L1063">
        <v>3</v>
      </c>
      <c r="M1063" s="7">
        <v>56.98</v>
      </c>
      <c r="N1063" s="7">
        <v>3743.92</v>
      </c>
      <c r="O1063" t="s">
        <v>20</v>
      </c>
    </row>
    <row r="1064" spans="1:15" x14ac:dyDescent="0.3">
      <c r="A1064" t="s">
        <v>1089</v>
      </c>
      <c r="B1064" t="s">
        <v>15</v>
      </c>
      <c r="C1064">
        <v>19</v>
      </c>
      <c r="D1064" t="s">
        <v>20</v>
      </c>
      <c r="E1064">
        <v>57</v>
      </c>
      <c r="F1064" t="str">
        <f t="shared" si="16"/>
        <v>49+ Months</v>
      </c>
      <c r="G1064" t="s">
        <v>17</v>
      </c>
      <c r="H1064" t="s">
        <v>18</v>
      </c>
      <c r="I1064" t="s">
        <v>30</v>
      </c>
      <c r="J1064" t="s">
        <v>20</v>
      </c>
      <c r="K1064" t="s">
        <v>16</v>
      </c>
      <c r="L1064">
        <v>3</v>
      </c>
      <c r="M1064" s="7">
        <v>78.599999999999994</v>
      </c>
      <c r="N1064" s="7">
        <v>4449.18</v>
      </c>
      <c r="O1064" t="s">
        <v>20</v>
      </c>
    </row>
    <row r="1065" spans="1:15" x14ac:dyDescent="0.3">
      <c r="A1065" t="s">
        <v>1090</v>
      </c>
      <c r="B1065" t="s">
        <v>15</v>
      </c>
      <c r="C1065">
        <v>52</v>
      </c>
      <c r="D1065" t="s">
        <v>20</v>
      </c>
      <c r="E1065">
        <v>8</v>
      </c>
      <c r="F1065" t="str">
        <f t="shared" si="16"/>
        <v>7-12 Months</v>
      </c>
      <c r="G1065" t="s">
        <v>35</v>
      </c>
      <c r="H1065" t="s">
        <v>18</v>
      </c>
      <c r="I1065" t="s">
        <v>27</v>
      </c>
      <c r="J1065" t="s">
        <v>20</v>
      </c>
      <c r="K1065" t="s">
        <v>16</v>
      </c>
      <c r="L1065">
        <v>3</v>
      </c>
      <c r="M1065" s="7">
        <v>69.31</v>
      </c>
      <c r="N1065" s="7">
        <v>541.04</v>
      </c>
      <c r="O1065" t="s">
        <v>20</v>
      </c>
    </row>
    <row r="1066" spans="1:15" x14ac:dyDescent="0.3">
      <c r="A1066" t="s">
        <v>1091</v>
      </c>
      <c r="B1066" t="s">
        <v>22</v>
      </c>
      <c r="C1066">
        <v>24</v>
      </c>
      <c r="D1066" t="s">
        <v>20</v>
      </c>
      <c r="E1066">
        <v>62</v>
      </c>
      <c r="F1066" t="str">
        <f t="shared" si="16"/>
        <v>49+ Months</v>
      </c>
      <c r="G1066" t="s">
        <v>17</v>
      </c>
      <c r="H1066" t="s">
        <v>36</v>
      </c>
      <c r="I1066" t="s">
        <v>19</v>
      </c>
      <c r="J1066" t="s">
        <v>16</v>
      </c>
      <c r="K1066" t="s">
        <v>16</v>
      </c>
      <c r="L1066">
        <v>1</v>
      </c>
      <c r="M1066" s="7">
        <v>43.95</v>
      </c>
      <c r="N1066" s="7">
        <v>2926.52</v>
      </c>
      <c r="O1066" t="s">
        <v>20</v>
      </c>
    </row>
    <row r="1067" spans="1:15" x14ac:dyDescent="0.3">
      <c r="A1067" t="s">
        <v>1092</v>
      </c>
      <c r="B1067" t="s">
        <v>15</v>
      </c>
      <c r="C1067">
        <v>38</v>
      </c>
      <c r="D1067" t="s">
        <v>20</v>
      </c>
      <c r="E1067">
        <v>29</v>
      </c>
      <c r="F1067" t="str">
        <f t="shared" si="16"/>
        <v>25-48 Months</v>
      </c>
      <c r="G1067" t="s">
        <v>17</v>
      </c>
      <c r="H1067" t="s">
        <v>20</v>
      </c>
      <c r="I1067" t="s">
        <v>24</v>
      </c>
      <c r="J1067" t="s">
        <v>16</v>
      </c>
      <c r="K1067" t="s">
        <v>20</v>
      </c>
      <c r="L1067">
        <v>4</v>
      </c>
      <c r="M1067" s="7">
        <v>52.61</v>
      </c>
      <c r="N1067" s="7">
        <v>1405.66</v>
      </c>
      <c r="O1067" t="s">
        <v>20</v>
      </c>
    </row>
    <row r="1068" spans="1:15" x14ac:dyDescent="0.3">
      <c r="A1068" t="s">
        <v>1093</v>
      </c>
      <c r="B1068" t="s">
        <v>15</v>
      </c>
      <c r="C1068">
        <v>35</v>
      </c>
      <c r="D1068" t="s">
        <v>20</v>
      </c>
      <c r="E1068">
        <v>17</v>
      </c>
      <c r="F1068" t="str">
        <f t="shared" si="16"/>
        <v>13-24 Months</v>
      </c>
      <c r="G1068" t="s">
        <v>23</v>
      </c>
      <c r="H1068" t="s">
        <v>36</v>
      </c>
      <c r="I1068" t="s">
        <v>19</v>
      </c>
      <c r="J1068" t="s">
        <v>16</v>
      </c>
      <c r="K1068" t="s">
        <v>20</v>
      </c>
      <c r="L1068">
        <v>6</v>
      </c>
      <c r="M1068" s="7">
        <v>68.430000000000007</v>
      </c>
      <c r="N1068" s="7">
        <v>1127.0899999999999</v>
      </c>
      <c r="O1068" t="s">
        <v>16</v>
      </c>
    </row>
    <row r="1069" spans="1:15" x14ac:dyDescent="0.3">
      <c r="A1069" t="s">
        <v>1094</v>
      </c>
      <c r="B1069" t="s">
        <v>15</v>
      </c>
      <c r="C1069">
        <v>20</v>
      </c>
      <c r="D1069" t="s">
        <v>20</v>
      </c>
      <c r="E1069">
        <v>66</v>
      </c>
      <c r="F1069" t="str">
        <f t="shared" si="16"/>
        <v>49+ Months</v>
      </c>
      <c r="G1069" t="s">
        <v>17</v>
      </c>
      <c r="H1069" t="s">
        <v>36</v>
      </c>
      <c r="I1069" t="s">
        <v>30</v>
      </c>
      <c r="J1069" t="s">
        <v>16</v>
      </c>
      <c r="K1069" t="s">
        <v>20</v>
      </c>
      <c r="L1069">
        <v>6</v>
      </c>
      <c r="M1069" s="7">
        <v>62.1</v>
      </c>
      <c r="N1069" s="7">
        <v>4170.34</v>
      </c>
      <c r="O1069" t="s">
        <v>20</v>
      </c>
    </row>
    <row r="1070" spans="1:15" x14ac:dyDescent="0.3">
      <c r="A1070" t="s">
        <v>1095</v>
      </c>
      <c r="B1070" t="s">
        <v>15</v>
      </c>
      <c r="C1070">
        <v>59</v>
      </c>
      <c r="D1070" t="s">
        <v>20</v>
      </c>
      <c r="E1070">
        <v>6</v>
      </c>
      <c r="F1070" t="str">
        <f t="shared" si="16"/>
        <v>0-6 Months</v>
      </c>
      <c r="G1070" t="s">
        <v>23</v>
      </c>
      <c r="H1070" t="s">
        <v>18</v>
      </c>
      <c r="I1070" t="s">
        <v>24</v>
      </c>
      <c r="J1070" t="s">
        <v>20</v>
      </c>
      <c r="K1070" t="s">
        <v>20</v>
      </c>
      <c r="L1070">
        <v>8</v>
      </c>
      <c r="M1070" s="7">
        <v>94.02</v>
      </c>
      <c r="N1070" s="7">
        <v>589.65</v>
      </c>
      <c r="O1070" t="s">
        <v>20</v>
      </c>
    </row>
    <row r="1071" spans="1:15" x14ac:dyDescent="0.3">
      <c r="A1071" t="s">
        <v>1096</v>
      </c>
      <c r="B1071" t="s">
        <v>15</v>
      </c>
      <c r="C1071">
        <v>71</v>
      </c>
      <c r="D1071" t="s">
        <v>16</v>
      </c>
      <c r="E1071">
        <v>58</v>
      </c>
      <c r="F1071" t="str">
        <f t="shared" si="16"/>
        <v>49+ Months</v>
      </c>
      <c r="G1071" t="s">
        <v>35</v>
      </c>
      <c r="H1071" t="s">
        <v>18</v>
      </c>
      <c r="I1071" t="s">
        <v>24</v>
      </c>
      <c r="J1071" t="s">
        <v>20</v>
      </c>
      <c r="K1071" t="s">
        <v>16</v>
      </c>
      <c r="L1071">
        <v>3</v>
      </c>
      <c r="M1071" s="7">
        <v>71.260000000000005</v>
      </c>
      <c r="N1071" s="7">
        <v>4342.32</v>
      </c>
      <c r="O1071" t="s">
        <v>20</v>
      </c>
    </row>
    <row r="1072" spans="1:15" x14ac:dyDescent="0.3">
      <c r="A1072" t="s">
        <v>1097</v>
      </c>
      <c r="B1072" t="s">
        <v>15</v>
      </c>
      <c r="C1072">
        <v>56</v>
      </c>
      <c r="D1072" t="s">
        <v>20</v>
      </c>
      <c r="E1072">
        <v>69</v>
      </c>
      <c r="F1072" t="str">
        <f t="shared" si="16"/>
        <v>49+ Months</v>
      </c>
      <c r="G1072" t="s">
        <v>17</v>
      </c>
      <c r="H1072" t="s">
        <v>18</v>
      </c>
      <c r="I1072" t="s">
        <v>24</v>
      </c>
      <c r="J1072" t="s">
        <v>20</v>
      </c>
      <c r="K1072" t="s">
        <v>16</v>
      </c>
      <c r="L1072">
        <v>5</v>
      </c>
      <c r="M1072" s="7">
        <v>89.28</v>
      </c>
      <c r="N1072" s="7">
        <v>5712.91</v>
      </c>
      <c r="O1072" t="s">
        <v>20</v>
      </c>
    </row>
    <row r="1073" spans="1:15" x14ac:dyDescent="0.3">
      <c r="A1073" t="s">
        <v>1098</v>
      </c>
      <c r="B1073" t="s">
        <v>22</v>
      </c>
      <c r="C1073">
        <v>58</v>
      </c>
      <c r="D1073" t="s">
        <v>20</v>
      </c>
      <c r="E1073">
        <v>28</v>
      </c>
      <c r="F1073" t="str">
        <f t="shared" si="16"/>
        <v>25-48 Months</v>
      </c>
      <c r="G1073" t="s">
        <v>35</v>
      </c>
      <c r="H1073" t="s">
        <v>18</v>
      </c>
      <c r="I1073" t="s">
        <v>27</v>
      </c>
      <c r="J1073" t="s">
        <v>16</v>
      </c>
      <c r="K1073" t="s">
        <v>20</v>
      </c>
      <c r="L1073">
        <v>4</v>
      </c>
      <c r="M1073" s="7">
        <v>75.069999999999993</v>
      </c>
      <c r="N1073" s="7">
        <v>2172.29</v>
      </c>
      <c r="O1073" t="s">
        <v>16</v>
      </c>
    </row>
    <row r="1074" spans="1:15" x14ac:dyDescent="0.3">
      <c r="A1074" t="s">
        <v>1099</v>
      </c>
      <c r="B1074" t="s">
        <v>22</v>
      </c>
      <c r="C1074">
        <v>66</v>
      </c>
      <c r="D1074" t="s">
        <v>16</v>
      </c>
      <c r="E1074">
        <v>62</v>
      </c>
      <c r="F1074" t="str">
        <f t="shared" si="16"/>
        <v>49+ Months</v>
      </c>
      <c r="G1074" t="s">
        <v>23</v>
      </c>
      <c r="H1074" t="s">
        <v>36</v>
      </c>
      <c r="I1074" t="s">
        <v>24</v>
      </c>
      <c r="J1074" t="s">
        <v>20</v>
      </c>
      <c r="K1074" t="s">
        <v>20</v>
      </c>
      <c r="L1074">
        <v>2</v>
      </c>
      <c r="M1074" s="7">
        <v>51.31</v>
      </c>
      <c r="N1074" s="7">
        <v>3293.33</v>
      </c>
      <c r="O1074" t="s">
        <v>20</v>
      </c>
    </row>
    <row r="1075" spans="1:15" x14ac:dyDescent="0.3">
      <c r="A1075" t="s">
        <v>1100</v>
      </c>
      <c r="B1075" t="s">
        <v>15</v>
      </c>
      <c r="C1075">
        <v>28</v>
      </c>
      <c r="D1075" t="s">
        <v>20</v>
      </c>
      <c r="E1075">
        <v>41</v>
      </c>
      <c r="F1075" t="str">
        <f t="shared" si="16"/>
        <v>25-48 Months</v>
      </c>
      <c r="G1075" t="s">
        <v>17</v>
      </c>
      <c r="H1075" t="s">
        <v>18</v>
      </c>
      <c r="I1075" t="s">
        <v>30</v>
      </c>
      <c r="J1075" t="s">
        <v>20</v>
      </c>
      <c r="K1075" t="s">
        <v>16</v>
      </c>
      <c r="L1075">
        <v>5</v>
      </c>
      <c r="M1075" s="7">
        <v>78.36</v>
      </c>
      <c r="N1075" s="7">
        <v>3065.78</v>
      </c>
      <c r="O1075" t="s">
        <v>20</v>
      </c>
    </row>
    <row r="1076" spans="1:15" x14ac:dyDescent="0.3">
      <c r="A1076" t="s">
        <v>1101</v>
      </c>
      <c r="B1076" t="s">
        <v>15</v>
      </c>
      <c r="C1076">
        <v>56</v>
      </c>
      <c r="D1076" t="s">
        <v>20</v>
      </c>
      <c r="E1076">
        <v>69</v>
      </c>
      <c r="F1076" t="str">
        <f t="shared" si="16"/>
        <v>49+ Months</v>
      </c>
      <c r="G1076" t="s">
        <v>17</v>
      </c>
      <c r="H1076" t="s">
        <v>36</v>
      </c>
      <c r="I1076" t="s">
        <v>19</v>
      </c>
      <c r="J1076" t="s">
        <v>20</v>
      </c>
      <c r="K1076" t="s">
        <v>20</v>
      </c>
      <c r="L1076">
        <v>2</v>
      </c>
      <c r="M1076" s="7">
        <v>66.459999999999994</v>
      </c>
      <c r="N1076" s="7">
        <v>4301.63</v>
      </c>
      <c r="O1076" t="s">
        <v>20</v>
      </c>
    </row>
    <row r="1077" spans="1:15" x14ac:dyDescent="0.3">
      <c r="A1077" t="s">
        <v>1102</v>
      </c>
      <c r="B1077" t="s">
        <v>15</v>
      </c>
      <c r="C1077">
        <v>41</v>
      </c>
      <c r="D1077" t="s">
        <v>20</v>
      </c>
      <c r="E1077">
        <v>41</v>
      </c>
      <c r="F1077" t="str">
        <f t="shared" si="16"/>
        <v>25-48 Months</v>
      </c>
      <c r="G1077" t="s">
        <v>17</v>
      </c>
      <c r="H1077" t="s">
        <v>18</v>
      </c>
      <c r="I1077" t="s">
        <v>30</v>
      </c>
      <c r="J1077" t="s">
        <v>16</v>
      </c>
      <c r="K1077" t="s">
        <v>20</v>
      </c>
      <c r="L1077">
        <v>2</v>
      </c>
      <c r="M1077" s="7">
        <v>75.400000000000006</v>
      </c>
      <c r="N1077" s="7">
        <v>3214.9</v>
      </c>
      <c r="O1077" t="s">
        <v>20</v>
      </c>
    </row>
    <row r="1078" spans="1:15" x14ac:dyDescent="0.3">
      <c r="A1078" t="s">
        <v>1103</v>
      </c>
      <c r="B1078" t="s">
        <v>22</v>
      </c>
      <c r="C1078">
        <v>63</v>
      </c>
      <c r="D1078" t="s">
        <v>16</v>
      </c>
      <c r="E1078">
        <v>49</v>
      </c>
      <c r="F1078" t="str">
        <f t="shared" si="16"/>
        <v>49+ Months</v>
      </c>
      <c r="G1078" t="s">
        <v>23</v>
      </c>
      <c r="H1078" t="s">
        <v>36</v>
      </c>
      <c r="I1078" t="s">
        <v>27</v>
      </c>
      <c r="J1078" t="s">
        <v>16</v>
      </c>
      <c r="K1078" t="s">
        <v>20</v>
      </c>
      <c r="L1078">
        <v>5</v>
      </c>
      <c r="M1078" s="7">
        <v>67.13</v>
      </c>
      <c r="N1078" s="7">
        <v>3157.53</v>
      </c>
      <c r="O1078" t="s">
        <v>20</v>
      </c>
    </row>
    <row r="1079" spans="1:15" x14ac:dyDescent="0.3">
      <c r="A1079" t="s">
        <v>1104</v>
      </c>
      <c r="B1079" t="s">
        <v>15</v>
      </c>
      <c r="C1079">
        <v>36</v>
      </c>
      <c r="D1079" t="s">
        <v>20</v>
      </c>
      <c r="E1079">
        <v>49</v>
      </c>
      <c r="F1079" t="str">
        <f t="shared" si="16"/>
        <v>49+ Months</v>
      </c>
      <c r="G1079" t="s">
        <v>23</v>
      </c>
      <c r="H1079" t="s">
        <v>36</v>
      </c>
      <c r="I1079" t="s">
        <v>24</v>
      </c>
      <c r="J1079" t="s">
        <v>20</v>
      </c>
      <c r="K1079" t="s">
        <v>20</v>
      </c>
      <c r="L1079">
        <v>3</v>
      </c>
      <c r="M1079" s="7">
        <v>59.88</v>
      </c>
      <c r="N1079" s="7">
        <v>2700.18</v>
      </c>
      <c r="O1079" t="s">
        <v>20</v>
      </c>
    </row>
    <row r="1080" spans="1:15" x14ac:dyDescent="0.3">
      <c r="A1080" t="s">
        <v>1105</v>
      </c>
      <c r="B1080" t="s">
        <v>22</v>
      </c>
      <c r="C1080">
        <v>21</v>
      </c>
      <c r="D1080" t="s">
        <v>20</v>
      </c>
      <c r="E1080">
        <v>71</v>
      </c>
      <c r="F1080" t="str">
        <f t="shared" si="16"/>
        <v>49+ Months</v>
      </c>
      <c r="G1080" t="s">
        <v>35</v>
      </c>
      <c r="H1080" t="s">
        <v>18</v>
      </c>
      <c r="I1080" t="s">
        <v>24</v>
      </c>
      <c r="J1080" t="s">
        <v>20</v>
      </c>
      <c r="K1080" t="s">
        <v>20</v>
      </c>
      <c r="L1080">
        <v>3</v>
      </c>
      <c r="M1080" s="7">
        <v>72.239999999999995</v>
      </c>
      <c r="N1080" s="7">
        <v>4902.1899999999996</v>
      </c>
      <c r="O1080" t="s">
        <v>20</v>
      </c>
    </row>
    <row r="1081" spans="1:15" x14ac:dyDescent="0.3">
      <c r="A1081" t="s">
        <v>1106</v>
      </c>
      <c r="B1081" t="s">
        <v>15</v>
      </c>
      <c r="C1081">
        <v>43</v>
      </c>
      <c r="D1081" t="s">
        <v>20</v>
      </c>
      <c r="E1081">
        <v>3</v>
      </c>
      <c r="F1081" t="str">
        <f t="shared" si="16"/>
        <v>0-6 Months</v>
      </c>
      <c r="G1081" t="s">
        <v>35</v>
      </c>
      <c r="H1081" t="s">
        <v>18</v>
      </c>
      <c r="I1081" t="s">
        <v>27</v>
      </c>
      <c r="J1081" t="s">
        <v>20</v>
      </c>
      <c r="K1081" t="s">
        <v>16</v>
      </c>
      <c r="L1081">
        <v>2</v>
      </c>
      <c r="M1081" s="7">
        <v>81.650000000000006</v>
      </c>
      <c r="N1081" s="7">
        <v>226.57</v>
      </c>
      <c r="O1081" t="s">
        <v>16</v>
      </c>
    </row>
    <row r="1082" spans="1:15" x14ac:dyDescent="0.3">
      <c r="A1082" t="s">
        <v>1107</v>
      </c>
      <c r="B1082" t="s">
        <v>15</v>
      </c>
      <c r="C1082">
        <v>55</v>
      </c>
      <c r="D1082" t="s">
        <v>20</v>
      </c>
      <c r="E1082">
        <v>10</v>
      </c>
      <c r="F1082" t="str">
        <f t="shared" si="16"/>
        <v>7-12 Months</v>
      </c>
      <c r="G1082" t="s">
        <v>23</v>
      </c>
      <c r="H1082" t="s">
        <v>18</v>
      </c>
      <c r="I1082" t="s">
        <v>24</v>
      </c>
      <c r="J1082" t="s">
        <v>20</v>
      </c>
      <c r="K1082" t="s">
        <v>16</v>
      </c>
      <c r="L1082">
        <v>6</v>
      </c>
      <c r="M1082" s="7">
        <v>86.53</v>
      </c>
      <c r="N1082" s="7">
        <v>830.58</v>
      </c>
      <c r="O1082" t="s">
        <v>20</v>
      </c>
    </row>
    <row r="1083" spans="1:15" x14ac:dyDescent="0.3">
      <c r="A1083" t="s">
        <v>1108</v>
      </c>
      <c r="B1083" t="s">
        <v>15</v>
      </c>
      <c r="C1083">
        <v>59</v>
      </c>
      <c r="D1083" t="s">
        <v>20</v>
      </c>
      <c r="E1083">
        <v>35</v>
      </c>
      <c r="F1083" t="str">
        <f t="shared" si="16"/>
        <v>25-48 Months</v>
      </c>
      <c r="G1083" t="s">
        <v>23</v>
      </c>
      <c r="H1083" t="s">
        <v>20</v>
      </c>
      <c r="I1083" t="s">
        <v>24</v>
      </c>
      <c r="J1083" t="s">
        <v>20</v>
      </c>
      <c r="K1083" t="s">
        <v>20</v>
      </c>
      <c r="L1083">
        <v>2</v>
      </c>
      <c r="M1083" s="7">
        <v>45.41</v>
      </c>
      <c r="N1083" s="7">
        <v>1547.4</v>
      </c>
      <c r="O1083" t="s">
        <v>20</v>
      </c>
    </row>
    <row r="1084" spans="1:15" x14ac:dyDescent="0.3">
      <c r="A1084" t="s">
        <v>1109</v>
      </c>
      <c r="B1084" t="s">
        <v>15</v>
      </c>
      <c r="C1084">
        <v>49</v>
      </c>
      <c r="D1084" t="s">
        <v>20</v>
      </c>
      <c r="E1084">
        <v>2</v>
      </c>
      <c r="F1084" t="str">
        <f t="shared" si="16"/>
        <v>0-6 Months</v>
      </c>
      <c r="G1084" t="s">
        <v>17</v>
      </c>
      <c r="H1084" t="s">
        <v>18</v>
      </c>
      <c r="I1084" t="s">
        <v>27</v>
      </c>
      <c r="J1084" t="s">
        <v>20</v>
      </c>
      <c r="K1084" t="s">
        <v>20</v>
      </c>
      <c r="L1084">
        <v>5</v>
      </c>
      <c r="M1084" s="7">
        <v>80.73</v>
      </c>
      <c r="N1084" s="7">
        <v>155.55000000000001</v>
      </c>
      <c r="O1084" t="s">
        <v>16</v>
      </c>
    </row>
    <row r="1085" spans="1:15" x14ac:dyDescent="0.3">
      <c r="A1085" t="s">
        <v>1110</v>
      </c>
      <c r="B1085" t="s">
        <v>22</v>
      </c>
      <c r="C1085">
        <v>56</v>
      </c>
      <c r="D1085" t="s">
        <v>20</v>
      </c>
      <c r="E1085">
        <v>24</v>
      </c>
      <c r="F1085" t="str">
        <f t="shared" si="16"/>
        <v>13-24 Months</v>
      </c>
      <c r="G1085" t="s">
        <v>17</v>
      </c>
      <c r="H1085" t="s">
        <v>36</v>
      </c>
      <c r="I1085" t="s">
        <v>27</v>
      </c>
      <c r="J1085" t="s">
        <v>20</v>
      </c>
      <c r="K1085" t="s">
        <v>20</v>
      </c>
      <c r="L1085">
        <v>3</v>
      </c>
      <c r="M1085" s="7">
        <v>60.01</v>
      </c>
      <c r="N1085" s="7">
        <v>1537.01</v>
      </c>
      <c r="O1085" t="s">
        <v>16</v>
      </c>
    </row>
    <row r="1086" spans="1:15" x14ac:dyDescent="0.3">
      <c r="A1086" t="s">
        <v>1111</v>
      </c>
      <c r="B1086" t="s">
        <v>22</v>
      </c>
      <c r="C1086">
        <v>62</v>
      </c>
      <c r="D1086" t="s">
        <v>16</v>
      </c>
      <c r="E1086">
        <v>38</v>
      </c>
      <c r="F1086" t="str">
        <f t="shared" si="16"/>
        <v>25-48 Months</v>
      </c>
      <c r="G1086" t="s">
        <v>17</v>
      </c>
      <c r="H1086" t="s">
        <v>20</v>
      </c>
      <c r="I1086" t="s">
        <v>30</v>
      </c>
      <c r="J1086" t="s">
        <v>20</v>
      </c>
      <c r="K1086" t="s">
        <v>16</v>
      </c>
      <c r="L1086">
        <v>5</v>
      </c>
      <c r="M1086" s="7">
        <v>46.17</v>
      </c>
      <c r="N1086" s="7">
        <v>1679.38</v>
      </c>
      <c r="O1086" t="s">
        <v>20</v>
      </c>
    </row>
    <row r="1087" spans="1:15" x14ac:dyDescent="0.3">
      <c r="A1087" t="s">
        <v>1112</v>
      </c>
      <c r="B1087" t="s">
        <v>15</v>
      </c>
      <c r="C1087">
        <v>63</v>
      </c>
      <c r="D1087" t="s">
        <v>16</v>
      </c>
      <c r="E1087">
        <v>22</v>
      </c>
      <c r="F1087" t="str">
        <f t="shared" si="16"/>
        <v>13-24 Months</v>
      </c>
      <c r="G1087" t="s">
        <v>23</v>
      </c>
      <c r="H1087" t="s">
        <v>36</v>
      </c>
      <c r="I1087" t="s">
        <v>24</v>
      </c>
      <c r="J1087" t="s">
        <v>20</v>
      </c>
      <c r="K1087" t="s">
        <v>20</v>
      </c>
      <c r="L1087">
        <v>3</v>
      </c>
      <c r="M1087" s="7">
        <v>56.87</v>
      </c>
      <c r="N1087" s="7">
        <v>1244.6400000000001</v>
      </c>
      <c r="O1087" t="s">
        <v>16</v>
      </c>
    </row>
    <row r="1088" spans="1:15" x14ac:dyDescent="0.3">
      <c r="A1088" t="s">
        <v>1113</v>
      </c>
      <c r="B1088" t="s">
        <v>15</v>
      </c>
      <c r="C1088">
        <v>53</v>
      </c>
      <c r="D1088" t="s">
        <v>20</v>
      </c>
      <c r="E1088">
        <v>26</v>
      </c>
      <c r="F1088" t="str">
        <f t="shared" si="16"/>
        <v>25-48 Months</v>
      </c>
      <c r="G1088" t="s">
        <v>17</v>
      </c>
      <c r="H1088" t="s">
        <v>18</v>
      </c>
      <c r="I1088" t="s">
        <v>19</v>
      </c>
      <c r="J1088" t="s">
        <v>16</v>
      </c>
      <c r="K1088" t="s">
        <v>16</v>
      </c>
      <c r="L1088">
        <v>4</v>
      </c>
      <c r="M1088" s="7">
        <v>67.31</v>
      </c>
      <c r="N1088" s="7">
        <v>1878.14</v>
      </c>
      <c r="O1088" t="s">
        <v>20</v>
      </c>
    </row>
    <row r="1089" spans="1:15" x14ac:dyDescent="0.3">
      <c r="A1089" t="s">
        <v>1114</v>
      </c>
      <c r="B1089" t="s">
        <v>22</v>
      </c>
      <c r="C1089">
        <v>57</v>
      </c>
      <c r="D1089" t="s">
        <v>20</v>
      </c>
      <c r="E1089">
        <v>43</v>
      </c>
      <c r="F1089" t="str">
        <f t="shared" si="16"/>
        <v>25-48 Months</v>
      </c>
      <c r="G1089" t="s">
        <v>17</v>
      </c>
      <c r="H1089" t="s">
        <v>20</v>
      </c>
      <c r="I1089" t="s">
        <v>24</v>
      </c>
      <c r="J1089" t="s">
        <v>20</v>
      </c>
      <c r="K1089" t="s">
        <v>16</v>
      </c>
      <c r="L1089">
        <v>4</v>
      </c>
      <c r="M1089" s="7">
        <v>34.119999999999997</v>
      </c>
      <c r="N1089" s="7">
        <v>1556.18</v>
      </c>
      <c r="O1089" t="s">
        <v>16</v>
      </c>
    </row>
    <row r="1090" spans="1:15" x14ac:dyDescent="0.3">
      <c r="A1090" t="s">
        <v>1115</v>
      </c>
      <c r="B1090" t="s">
        <v>22</v>
      </c>
      <c r="C1090">
        <v>54</v>
      </c>
      <c r="D1090" t="s">
        <v>20</v>
      </c>
      <c r="E1090">
        <v>55</v>
      </c>
      <c r="F1090" t="str">
        <f t="shared" ref="F1090:F1153" si="17">IF(E1090&lt;=6,"0-6 Months",
 IF(E1090&lt;=12,"7-12 Months",
 IF(E1090&lt;=24,"13-24 Months",
 IF(E1090&lt;=48,"25-48 Months","49+ Months"))))</f>
        <v>49+ Months</v>
      </c>
      <c r="G1090" t="s">
        <v>17</v>
      </c>
      <c r="H1090" t="s">
        <v>18</v>
      </c>
      <c r="I1090" t="s">
        <v>27</v>
      </c>
      <c r="J1090" t="s">
        <v>16</v>
      </c>
      <c r="K1090" t="s">
        <v>16</v>
      </c>
      <c r="L1090">
        <v>5</v>
      </c>
      <c r="M1090" s="7">
        <v>93.57</v>
      </c>
      <c r="N1090" s="7">
        <v>4989.29</v>
      </c>
      <c r="O1090" t="s">
        <v>20</v>
      </c>
    </row>
    <row r="1091" spans="1:15" x14ac:dyDescent="0.3">
      <c r="A1091" t="s">
        <v>1116</v>
      </c>
      <c r="B1091" t="s">
        <v>22</v>
      </c>
      <c r="C1091">
        <v>50</v>
      </c>
      <c r="D1091" t="s">
        <v>20</v>
      </c>
      <c r="E1091">
        <v>39</v>
      </c>
      <c r="F1091" t="str">
        <f t="shared" si="17"/>
        <v>25-48 Months</v>
      </c>
      <c r="G1091" t="s">
        <v>17</v>
      </c>
      <c r="H1091" t="s">
        <v>36</v>
      </c>
      <c r="I1091" t="s">
        <v>27</v>
      </c>
      <c r="J1091" t="s">
        <v>16</v>
      </c>
      <c r="K1091" t="s">
        <v>20</v>
      </c>
      <c r="L1091">
        <v>5</v>
      </c>
      <c r="M1091" s="7">
        <v>53.98</v>
      </c>
      <c r="N1091" s="7">
        <v>2046.78</v>
      </c>
      <c r="O1091" t="s">
        <v>20</v>
      </c>
    </row>
    <row r="1092" spans="1:15" x14ac:dyDescent="0.3">
      <c r="A1092" t="s">
        <v>1117</v>
      </c>
      <c r="B1092" t="s">
        <v>22</v>
      </c>
      <c r="C1092">
        <v>53</v>
      </c>
      <c r="D1092" t="s">
        <v>20</v>
      </c>
      <c r="E1092">
        <v>29</v>
      </c>
      <c r="F1092" t="str">
        <f t="shared" si="17"/>
        <v>25-48 Months</v>
      </c>
      <c r="G1092" t="s">
        <v>23</v>
      </c>
      <c r="H1092" t="s">
        <v>20</v>
      </c>
      <c r="I1092" t="s">
        <v>27</v>
      </c>
      <c r="J1092" t="s">
        <v>20</v>
      </c>
      <c r="K1092" t="s">
        <v>16</v>
      </c>
      <c r="L1092">
        <v>2</v>
      </c>
      <c r="M1092" s="7">
        <v>39.24</v>
      </c>
      <c r="N1092" s="7">
        <v>1154.95</v>
      </c>
      <c r="O1092" t="s">
        <v>20</v>
      </c>
    </row>
    <row r="1093" spans="1:15" x14ac:dyDescent="0.3">
      <c r="A1093" t="s">
        <v>1118</v>
      </c>
      <c r="B1093" t="s">
        <v>15</v>
      </c>
      <c r="C1093">
        <v>20</v>
      </c>
      <c r="D1093" t="s">
        <v>20</v>
      </c>
      <c r="E1093">
        <v>20</v>
      </c>
      <c r="F1093" t="str">
        <f t="shared" si="17"/>
        <v>13-24 Months</v>
      </c>
      <c r="G1093" t="s">
        <v>17</v>
      </c>
      <c r="H1093" t="s">
        <v>36</v>
      </c>
      <c r="I1093" t="s">
        <v>24</v>
      </c>
      <c r="J1093" t="s">
        <v>20</v>
      </c>
      <c r="K1093" t="s">
        <v>16</v>
      </c>
      <c r="L1093">
        <v>5</v>
      </c>
      <c r="M1093" s="7">
        <v>81.2</v>
      </c>
      <c r="N1093" s="7">
        <v>1732.58</v>
      </c>
      <c r="O1093" t="s">
        <v>20</v>
      </c>
    </row>
    <row r="1094" spans="1:15" x14ac:dyDescent="0.3">
      <c r="A1094" t="s">
        <v>1119</v>
      </c>
      <c r="B1094" t="s">
        <v>22</v>
      </c>
      <c r="C1094">
        <v>26</v>
      </c>
      <c r="D1094" t="s">
        <v>20</v>
      </c>
      <c r="E1094">
        <v>41</v>
      </c>
      <c r="F1094" t="str">
        <f t="shared" si="17"/>
        <v>25-48 Months</v>
      </c>
      <c r="G1094" t="s">
        <v>23</v>
      </c>
      <c r="H1094" t="s">
        <v>18</v>
      </c>
      <c r="I1094" t="s">
        <v>30</v>
      </c>
      <c r="J1094" t="s">
        <v>16</v>
      </c>
      <c r="K1094" t="s">
        <v>20</v>
      </c>
      <c r="L1094">
        <v>2</v>
      </c>
      <c r="M1094" s="7">
        <v>74.87</v>
      </c>
      <c r="N1094" s="7">
        <v>2829.01</v>
      </c>
      <c r="O1094" t="s">
        <v>20</v>
      </c>
    </row>
    <row r="1095" spans="1:15" x14ac:dyDescent="0.3">
      <c r="A1095" t="s">
        <v>1120</v>
      </c>
      <c r="B1095" t="s">
        <v>15</v>
      </c>
      <c r="C1095">
        <v>25</v>
      </c>
      <c r="D1095" t="s">
        <v>20</v>
      </c>
      <c r="E1095">
        <v>54</v>
      </c>
      <c r="F1095" t="str">
        <f t="shared" si="17"/>
        <v>49+ Months</v>
      </c>
      <c r="G1095" t="s">
        <v>17</v>
      </c>
      <c r="H1095" t="s">
        <v>18</v>
      </c>
      <c r="I1095" t="s">
        <v>24</v>
      </c>
      <c r="J1095" t="s">
        <v>20</v>
      </c>
      <c r="K1095" t="s">
        <v>20</v>
      </c>
      <c r="L1095">
        <v>5</v>
      </c>
      <c r="M1095" s="7">
        <v>97.89</v>
      </c>
      <c r="N1095" s="7">
        <v>5195.66</v>
      </c>
      <c r="O1095" t="s">
        <v>20</v>
      </c>
    </row>
    <row r="1096" spans="1:15" x14ac:dyDescent="0.3">
      <c r="A1096" t="s">
        <v>1121</v>
      </c>
      <c r="B1096" t="s">
        <v>22</v>
      </c>
      <c r="C1096">
        <v>50</v>
      </c>
      <c r="D1096" t="s">
        <v>20</v>
      </c>
      <c r="E1096">
        <v>20</v>
      </c>
      <c r="F1096" t="str">
        <f t="shared" si="17"/>
        <v>13-24 Months</v>
      </c>
      <c r="G1096" t="s">
        <v>23</v>
      </c>
      <c r="H1096" t="s">
        <v>18</v>
      </c>
      <c r="I1096" t="s">
        <v>19</v>
      </c>
      <c r="J1096" t="s">
        <v>20</v>
      </c>
      <c r="K1096" t="s">
        <v>20</v>
      </c>
      <c r="L1096">
        <v>6</v>
      </c>
      <c r="M1096" s="7">
        <v>91.84</v>
      </c>
      <c r="N1096" s="7">
        <v>1939.59</v>
      </c>
      <c r="O1096" t="s">
        <v>20</v>
      </c>
    </row>
    <row r="1097" spans="1:15" x14ac:dyDescent="0.3">
      <c r="A1097" t="s">
        <v>1122</v>
      </c>
      <c r="B1097" t="s">
        <v>22</v>
      </c>
      <c r="C1097">
        <v>23</v>
      </c>
      <c r="D1097" t="s">
        <v>20</v>
      </c>
      <c r="E1097">
        <v>19</v>
      </c>
      <c r="F1097" t="str">
        <f t="shared" si="17"/>
        <v>13-24 Months</v>
      </c>
      <c r="G1097" t="s">
        <v>17</v>
      </c>
      <c r="H1097" t="s">
        <v>36</v>
      </c>
      <c r="I1097" t="s">
        <v>27</v>
      </c>
      <c r="J1097" t="s">
        <v>20</v>
      </c>
      <c r="K1097" t="s">
        <v>20</v>
      </c>
      <c r="L1097">
        <v>1</v>
      </c>
      <c r="M1097" s="7">
        <v>48.84</v>
      </c>
      <c r="N1097" s="7">
        <v>914.67</v>
      </c>
      <c r="O1097" t="s">
        <v>20</v>
      </c>
    </row>
    <row r="1098" spans="1:15" x14ac:dyDescent="0.3">
      <c r="A1098" t="s">
        <v>1123</v>
      </c>
      <c r="B1098" t="s">
        <v>22</v>
      </c>
      <c r="C1098">
        <v>58</v>
      </c>
      <c r="D1098" t="s">
        <v>20</v>
      </c>
      <c r="E1098">
        <v>66</v>
      </c>
      <c r="F1098" t="str">
        <f t="shared" si="17"/>
        <v>49+ Months</v>
      </c>
      <c r="G1098" t="s">
        <v>17</v>
      </c>
      <c r="H1098" t="s">
        <v>18</v>
      </c>
      <c r="I1098" t="s">
        <v>24</v>
      </c>
      <c r="J1098" t="s">
        <v>20</v>
      </c>
      <c r="K1098" t="s">
        <v>20</v>
      </c>
      <c r="L1098">
        <v>4</v>
      </c>
      <c r="M1098" s="7">
        <v>81.62</v>
      </c>
      <c r="N1098" s="7">
        <v>5576.59</v>
      </c>
      <c r="O1098" t="s">
        <v>20</v>
      </c>
    </row>
    <row r="1099" spans="1:15" x14ac:dyDescent="0.3">
      <c r="A1099" t="s">
        <v>1124</v>
      </c>
      <c r="B1099" t="s">
        <v>22</v>
      </c>
      <c r="C1099">
        <v>56</v>
      </c>
      <c r="D1099" t="s">
        <v>20</v>
      </c>
      <c r="E1099">
        <v>30</v>
      </c>
      <c r="F1099" t="str">
        <f t="shared" si="17"/>
        <v>25-48 Months</v>
      </c>
      <c r="G1099" t="s">
        <v>23</v>
      </c>
      <c r="H1099" t="s">
        <v>20</v>
      </c>
      <c r="I1099" t="s">
        <v>30</v>
      </c>
      <c r="J1099" t="s">
        <v>20</v>
      </c>
      <c r="K1099" t="s">
        <v>16</v>
      </c>
      <c r="L1099">
        <v>1</v>
      </c>
      <c r="M1099" s="7">
        <v>27.76</v>
      </c>
      <c r="N1099" s="7">
        <v>858.37</v>
      </c>
      <c r="O1099" t="s">
        <v>20</v>
      </c>
    </row>
    <row r="1100" spans="1:15" x14ac:dyDescent="0.3">
      <c r="A1100" t="s">
        <v>1125</v>
      </c>
      <c r="B1100" t="s">
        <v>22</v>
      </c>
      <c r="C1100">
        <v>21</v>
      </c>
      <c r="D1100" t="s">
        <v>20</v>
      </c>
      <c r="E1100">
        <v>53</v>
      </c>
      <c r="F1100" t="str">
        <f t="shared" si="17"/>
        <v>49+ Months</v>
      </c>
      <c r="G1100" t="s">
        <v>17</v>
      </c>
      <c r="H1100" t="s">
        <v>20</v>
      </c>
      <c r="I1100" t="s">
        <v>30</v>
      </c>
      <c r="J1100" t="s">
        <v>20</v>
      </c>
      <c r="K1100" t="s">
        <v>16</v>
      </c>
      <c r="L1100">
        <v>2</v>
      </c>
      <c r="M1100" s="7">
        <v>31.54</v>
      </c>
      <c r="N1100" s="7">
        <v>1592.84</v>
      </c>
      <c r="O1100" t="s">
        <v>20</v>
      </c>
    </row>
    <row r="1101" spans="1:15" x14ac:dyDescent="0.3">
      <c r="A1101" t="s">
        <v>1126</v>
      </c>
      <c r="B1101" t="s">
        <v>15</v>
      </c>
      <c r="C1101">
        <v>30</v>
      </c>
      <c r="D1101" t="s">
        <v>20</v>
      </c>
      <c r="E1101">
        <v>34</v>
      </c>
      <c r="F1101" t="str">
        <f t="shared" si="17"/>
        <v>25-48 Months</v>
      </c>
      <c r="G1101" t="s">
        <v>17</v>
      </c>
      <c r="H1101" t="s">
        <v>20</v>
      </c>
      <c r="I1101" t="s">
        <v>27</v>
      </c>
      <c r="J1101" t="s">
        <v>20</v>
      </c>
      <c r="K1101" t="s">
        <v>20</v>
      </c>
      <c r="L1101">
        <v>4</v>
      </c>
      <c r="M1101" s="7">
        <v>37.32</v>
      </c>
      <c r="N1101" s="7">
        <v>1258.6500000000001</v>
      </c>
      <c r="O1101" t="s">
        <v>20</v>
      </c>
    </row>
    <row r="1102" spans="1:15" x14ac:dyDescent="0.3">
      <c r="A1102" t="s">
        <v>1127</v>
      </c>
      <c r="B1102" t="s">
        <v>15</v>
      </c>
      <c r="C1102">
        <v>66</v>
      </c>
      <c r="D1102" t="s">
        <v>16</v>
      </c>
      <c r="E1102">
        <v>22</v>
      </c>
      <c r="F1102" t="str">
        <f t="shared" si="17"/>
        <v>13-24 Months</v>
      </c>
      <c r="G1102" t="s">
        <v>17</v>
      </c>
      <c r="H1102" t="s">
        <v>18</v>
      </c>
      <c r="I1102" t="s">
        <v>27</v>
      </c>
      <c r="J1102" t="s">
        <v>20</v>
      </c>
      <c r="K1102" t="s">
        <v>16</v>
      </c>
      <c r="L1102">
        <v>1</v>
      </c>
      <c r="M1102" s="7">
        <v>69.959999999999994</v>
      </c>
      <c r="N1102" s="7">
        <v>1555.42</v>
      </c>
      <c r="O1102" t="s">
        <v>20</v>
      </c>
    </row>
    <row r="1103" spans="1:15" x14ac:dyDescent="0.3">
      <c r="A1103" t="s">
        <v>1128</v>
      </c>
      <c r="B1103" t="s">
        <v>22</v>
      </c>
      <c r="C1103">
        <v>19</v>
      </c>
      <c r="D1103" t="s">
        <v>20</v>
      </c>
      <c r="E1103">
        <v>67</v>
      </c>
      <c r="F1103" t="str">
        <f t="shared" si="17"/>
        <v>49+ Months</v>
      </c>
      <c r="G1103" t="s">
        <v>17</v>
      </c>
      <c r="H1103" t="s">
        <v>36</v>
      </c>
      <c r="I1103" t="s">
        <v>27</v>
      </c>
      <c r="J1103" t="s">
        <v>16</v>
      </c>
      <c r="K1103" t="s">
        <v>20</v>
      </c>
      <c r="L1103">
        <v>3</v>
      </c>
      <c r="M1103" s="7">
        <v>70.400000000000006</v>
      </c>
      <c r="N1103" s="7">
        <v>4879.41</v>
      </c>
      <c r="O1103" t="s">
        <v>20</v>
      </c>
    </row>
    <row r="1104" spans="1:15" x14ac:dyDescent="0.3">
      <c r="A1104" t="s">
        <v>1129</v>
      </c>
      <c r="B1104" t="s">
        <v>22</v>
      </c>
      <c r="C1104">
        <v>22</v>
      </c>
      <c r="D1104" t="s">
        <v>20</v>
      </c>
      <c r="E1104">
        <v>6</v>
      </c>
      <c r="F1104" t="str">
        <f t="shared" si="17"/>
        <v>0-6 Months</v>
      </c>
      <c r="G1104" t="s">
        <v>17</v>
      </c>
      <c r="H1104" t="s">
        <v>20</v>
      </c>
      <c r="I1104" t="s">
        <v>30</v>
      </c>
      <c r="J1104" t="s">
        <v>20</v>
      </c>
      <c r="K1104" t="s">
        <v>20</v>
      </c>
      <c r="L1104">
        <v>1</v>
      </c>
      <c r="M1104" s="7">
        <v>38.97</v>
      </c>
      <c r="N1104" s="7">
        <v>245.88</v>
      </c>
      <c r="O1104" t="s">
        <v>20</v>
      </c>
    </row>
    <row r="1105" spans="1:15" x14ac:dyDescent="0.3">
      <c r="A1105" t="s">
        <v>1130</v>
      </c>
      <c r="B1105" t="s">
        <v>15</v>
      </c>
      <c r="C1105">
        <v>61</v>
      </c>
      <c r="D1105" t="s">
        <v>16</v>
      </c>
      <c r="E1105">
        <v>27</v>
      </c>
      <c r="F1105" t="str">
        <f t="shared" si="17"/>
        <v>25-48 Months</v>
      </c>
      <c r="G1105" t="s">
        <v>17</v>
      </c>
      <c r="H1105" t="s">
        <v>20</v>
      </c>
      <c r="I1105" t="s">
        <v>24</v>
      </c>
      <c r="J1105" t="s">
        <v>16</v>
      </c>
      <c r="K1105" t="s">
        <v>20</v>
      </c>
      <c r="L1105">
        <v>3</v>
      </c>
      <c r="M1105" s="7">
        <v>38.43</v>
      </c>
      <c r="N1105" s="7">
        <v>1080.76</v>
      </c>
      <c r="O1105" t="s">
        <v>16</v>
      </c>
    </row>
    <row r="1106" spans="1:15" x14ac:dyDescent="0.3">
      <c r="A1106" t="s">
        <v>1131</v>
      </c>
      <c r="B1106" t="s">
        <v>22</v>
      </c>
      <c r="C1106">
        <v>44</v>
      </c>
      <c r="D1106" t="s">
        <v>20</v>
      </c>
      <c r="E1106">
        <v>10</v>
      </c>
      <c r="F1106" t="str">
        <f t="shared" si="17"/>
        <v>7-12 Months</v>
      </c>
      <c r="G1106" t="s">
        <v>23</v>
      </c>
      <c r="H1106" t="s">
        <v>18</v>
      </c>
      <c r="I1106" t="s">
        <v>19</v>
      </c>
      <c r="J1106" t="s">
        <v>20</v>
      </c>
      <c r="K1106" t="s">
        <v>20</v>
      </c>
      <c r="L1106">
        <v>5</v>
      </c>
      <c r="M1106" s="7">
        <v>87.3</v>
      </c>
      <c r="N1106" s="7">
        <v>807.11</v>
      </c>
      <c r="O1106" t="s">
        <v>20</v>
      </c>
    </row>
    <row r="1107" spans="1:15" x14ac:dyDescent="0.3">
      <c r="A1107" t="s">
        <v>1132</v>
      </c>
      <c r="B1107" t="s">
        <v>22</v>
      </c>
      <c r="C1107">
        <v>49</v>
      </c>
      <c r="D1107" t="s">
        <v>20</v>
      </c>
      <c r="E1107">
        <v>48</v>
      </c>
      <c r="F1107" t="str">
        <f t="shared" si="17"/>
        <v>25-48 Months</v>
      </c>
      <c r="G1107" t="s">
        <v>35</v>
      </c>
      <c r="H1107" t="s">
        <v>18</v>
      </c>
      <c r="I1107" t="s">
        <v>30</v>
      </c>
      <c r="J1107" t="s">
        <v>16</v>
      </c>
      <c r="K1107" t="s">
        <v>20</v>
      </c>
      <c r="L1107">
        <v>1</v>
      </c>
      <c r="M1107" s="7">
        <v>66.400000000000006</v>
      </c>
      <c r="N1107" s="7">
        <v>3274.22</v>
      </c>
      <c r="O1107" t="s">
        <v>20</v>
      </c>
    </row>
    <row r="1108" spans="1:15" x14ac:dyDescent="0.3">
      <c r="A1108" t="s">
        <v>1133</v>
      </c>
      <c r="B1108" t="s">
        <v>15</v>
      </c>
      <c r="C1108">
        <v>38</v>
      </c>
      <c r="D1108" t="s">
        <v>20</v>
      </c>
      <c r="E1108">
        <v>70</v>
      </c>
      <c r="F1108" t="str">
        <f t="shared" si="17"/>
        <v>49+ Months</v>
      </c>
      <c r="G1108" t="s">
        <v>17</v>
      </c>
      <c r="H1108" t="s">
        <v>18</v>
      </c>
      <c r="I1108" t="s">
        <v>30</v>
      </c>
      <c r="J1108" t="s">
        <v>20</v>
      </c>
      <c r="K1108" t="s">
        <v>16</v>
      </c>
      <c r="L1108">
        <v>4</v>
      </c>
      <c r="M1108" s="7">
        <v>88.95</v>
      </c>
      <c r="N1108" s="7">
        <v>6223.83</v>
      </c>
      <c r="O1108" t="s">
        <v>20</v>
      </c>
    </row>
    <row r="1109" spans="1:15" x14ac:dyDescent="0.3">
      <c r="A1109" t="s">
        <v>1134</v>
      </c>
      <c r="B1109" t="s">
        <v>22</v>
      </c>
      <c r="C1109">
        <v>25</v>
      </c>
      <c r="D1109" t="s">
        <v>20</v>
      </c>
      <c r="E1109">
        <v>59</v>
      </c>
      <c r="F1109" t="str">
        <f t="shared" si="17"/>
        <v>49+ Months</v>
      </c>
      <c r="G1109" t="s">
        <v>35</v>
      </c>
      <c r="H1109" t="s">
        <v>36</v>
      </c>
      <c r="I1109" t="s">
        <v>30</v>
      </c>
      <c r="J1109" t="s">
        <v>20</v>
      </c>
      <c r="K1109" t="s">
        <v>20</v>
      </c>
      <c r="L1109">
        <v>3</v>
      </c>
      <c r="M1109" s="7">
        <v>43.57</v>
      </c>
      <c r="N1109" s="7">
        <v>2601.0100000000002</v>
      </c>
      <c r="O1109" t="s">
        <v>20</v>
      </c>
    </row>
    <row r="1110" spans="1:15" x14ac:dyDescent="0.3">
      <c r="A1110" t="s">
        <v>1135</v>
      </c>
      <c r="B1110" t="s">
        <v>22</v>
      </c>
      <c r="C1110">
        <v>55</v>
      </c>
      <c r="D1110" t="s">
        <v>20</v>
      </c>
      <c r="E1110">
        <v>59</v>
      </c>
      <c r="F1110" t="str">
        <f t="shared" si="17"/>
        <v>49+ Months</v>
      </c>
      <c r="G1110" t="s">
        <v>17</v>
      </c>
      <c r="H1110" t="s">
        <v>36</v>
      </c>
      <c r="I1110" t="s">
        <v>19</v>
      </c>
      <c r="J1110" t="s">
        <v>16</v>
      </c>
      <c r="K1110" t="s">
        <v>16</v>
      </c>
      <c r="L1110">
        <v>3</v>
      </c>
      <c r="M1110" s="7">
        <v>68.510000000000005</v>
      </c>
      <c r="N1110" s="7">
        <v>3959.93</v>
      </c>
      <c r="O1110" t="s">
        <v>20</v>
      </c>
    </row>
    <row r="1111" spans="1:15" x14ac:dyDescent="0.3">
      <c r="A1111" t="s">
        <v>1136</v>
      </c>
      <c r="B1111" t="s">
        <v>15</v>
      </c>
      <c r="C1111">
        <v>25</v>
      </c>
      <c r="D1111" t="s">
        <v>20</v>
      </c>
      <c r="E1111">
        <v>2</v>
      </c>
      <c r="F1111" t="str">
        <f t="shared" si="17"/>
        <v>0-6 Months</v>
      </c>
      <c r="G1111" t="s">
        <v>23</v>
      </c>
      <c r="H1111" t="s">
        <v>20</v>
      </c>
      <c r="I1111" t="s">
        <v>24</v>
      </c>
      <c r="J1111" t="s">
        <v>20</v>
      </c>
      <c r="K1111" t="s">
        <v>20</v>
      </c>
      <c r="L1111">
        <v>3</v>
      </c>
      <c r="M1111" s="7">
        <v>33.18</v>
      </c>
      <c r="N1111" s="7">
        <v>68.63</v>
      </c>
      <c r="O1111" t="s">
        <v>20</v>
      </c>
    </row>
    <row r="1112" spans="1:15" x14ac:dyDescent="0.3">
      <c r="A1112" t="s">
        <v>1137</v>
      </c>
      <c r="B1112" t="s">
        <v>15</v>
      </c>
      <c r="C1112">
        <v>67</v>
      </c>
      <c r="D1112" t="s">
        <v>16</v>
      </c>
      <c r="E1112">
        <v>29</v>
      </c>
      <c r="F1112" t="str">
        <f t="shared" si="17"/>
        <v>25-48 Months</v>
      </c>
      <c r="G1112" t="s">
        <v>23</v>
      </c>
      <c r="H1112" t="s">
        <v>18</v>
      </c>
      <c r="I1112" t="s">
        <v>24</v>
      </c>
      <c r="J1112" t="s">
        <v>16</v>
      </c>
      <c r="K1112" t="s">
        <v>20</v>
      </c>
      <c r="L1112">
        <v>4</v>
      </c>
      <c r="M1112" s="7">
        <v>76.31</v>
      </c>
      <c r="N1112" s="7">
        <v>2274.56</v>
      </c>
      <c r="O1112" t="s">
        <v>20</v>
      </c>
    </row>
    <row r="1113" spans="1:15" x14ac:dyDescent="0.3">
      <c r="A1113" t="s">
        <v>1138</v>
      </c>
      <c r="B1113" t="s">
        <v>15</v>
      </c>
      <c r="C1113">
        <v>20</v>
      </c>
      <c r="D1113" t="s">
        <v>20</v>
      </c>
      <c r="E1113">
        <v>68</v>
      </c>
      <c r="F1113" t="str">
        <f t="shared" si="17"/>
        <v>49+ Months</v>
      </c>
      <c r="G1113" t="s">
        <v>23</v>
      </c>
      <c r="H1113" t="s">
        <v>18</v>
      </c>
      <c r="I1113" t="s">
        <v>30</v>
      </c>
      <c r="J1113" t="s">
        <v>20</v>
      </c>
      <c r="K1113" t="s">
        <v>16</v>
      </c>
      <c r="L1113">
        <v>3</v>
      </c>
      <c r="M1113" s="7">
        <v>66.44</v>
      </c>
      <c r="N1113" s="7">
        <v>4575.38</v>
      </c>
      <c r="O1113" t="s">
        <v>20</v>
      </c>
    </row>
    <row r="1114" spans="1:15" x14ac:dyDescent="0.3">
      <c r="A1114" t="s">
        <v>1139</v>
      </c>
      <c r="B1114" t="s">
        <v>22</v>
      </c>
      <c r="C1114">
        <v>71</v>
      </c>
      <c r="D1114" t="s">
        <v>16</v>
      </c>
      <c r="E1114">
        <v>65</v>
      </c>
      <c r="F1114" t="str">
        <f t="shared" si="17"/>
        <v>49+ Months</v>
      </c>
      <c r="G1114" t="s">
        <v>17</v>
      </c>
      <c r="H1114" t="s">
        <v>18</v>
      </c>
      <c r="I1114" t="s">
        <v>30</v>
      </c>
      <c r="J1114" t="s">
        <v>20</v>
      </c>
      <c r="K1114" t="s">
        <v>20</v>
      </c>
      <c r="L1114">
        <v>1</v>
      </c>
      <c r="M1114" s="7">
        <v>68.08</v>
      </c>
      <c r="N1114" s="7">
        <v>4681.2299999999996</v>
      </c>
      <c r="O1114" t="s">
        <v>20</v>
      </c>
    </row>
    <row r="1115" spans="1:15" x14ac:dyDescent="0.3">
      <c r="A1115" t="s">
        <v>1140</v>
      </c>
      <c r="B1115" t="s">
        <v>15</v>
      </c>
      <c r="C1115">
        <v>61</v>
      </c>
      <c r="D1115" t="s">
        <v>16</v>
      </c>
      <c r="E1115">
        <v>26</v>
      </c>
      <c r="F1115" t="str">
        <f t="shared" si="17"/>
        <v>25-48 Months</v>
      </c>
      <c r="G1115" t="s">
        <v>17</v>
      </c>
      <c r="H1115" t="s">
        <v>18</v>
      </c>
      <c r="I1115" t="s">
        <v>30</v>
      </c>
      <c r="J1115" t="s">
        <v>20</v>
      </c>
      <c r="K1115" t="s">
        <v>16</v>
      </c>
      <c r="L1115">
        <v>2</v>
      </c>
      <c r="M1115" s="7">
        <v>66.23</v>
      </c>
      <c r="N1115" s="7">
        <v>1612.3</v>
      </c>
      <c r="O1115" t="s">
        <v>16</v>
      </c>
    </row>
    <row r="1116" spans="1:15" x14ac:dyDescent="0.3">
      <c r="A1116" t="s">
        <v>1141</v>
      </c>
      <c r="B1116" t="s">
        <v>15</v>
      </c>
      <c r="C1116">
        <v>75</v>
      </c>
      <c r="D1116" t="s">
        <v>16</v>
      </c>
      <c r="E1116">
        <v>10</v>
      </c>
      <c r="F1116" t="str">
        <f t="shared" si="17"/>
        <v>7-12 Months</v>
      </c>
      <c r="G1116" t="s">
        <v>17</v>
      </c>
      <c r="H1116" t="s">
        <v>18</v>
      </c>
      <c r="I1116" t="s">
        <v>19</v>
      </c>
      <c r="J1116" t="s">
        <v>20</v>
      </c>
      <c r="K1116" t="s">
        <v>16</v>
      </c>
      <c r="L1116">
        <v>8</v>
      </c>
      <c r="M1116" s="7">
        <v>103.14</v>
      </c>
      <c r="N1116" s="7">
        <v>998.56</v>
      </c>
      <c r="O1116" t="s">
        <v>16</v>
      </c>
    </row>
    <row r="1117" spans="1:15" x14ac:dyDescent="0.3">
      <c r="A1117" t="s">
        <v>1142</v>
      </c>
      <c r="B1117" t="s">
        <v>15</v>
      </c>
      <c r="C1117">
        <v>20</v>
      </c>
      <c r="D1117" t="s">
        <v>20</v>
      </c>
      <c r="E1117">
        <v>53</v>
      </c>
      <c r="F1117" t="str">
        <f t="shared" si="17"/>
        <v>49+ Months</v>
      </c>
      <c r="G1117" t="s">
        <v>17</v>
      </c>
      <c r="H1117" t="s">
        <v>36</v>
      </c>
      <c r="I1117" t="s">
        <v>24</v>
      </c>
      <c r="J1117" t="s">
        <v>16</v>
      </c>
      <c r="K1117" t="s">
        <v>20</v>
      </c>
      <c r="L1117">
        <v>3</v>
      </c>
      <c r="M1117" s="7">
        <v>59.73</v>
      </c>
      <c r="N1117" s="7">
        <v>3163.22</v>
      </c>
      <c r="O1117" t="s">
        <v>20</v>
      </c>
    </row>
    <row r="1118" spans="1:15" x14ac:dyDescent="0.3">
      <c r="A1118" t="s">
        <v>1143</v>
      </c>
      <c r="B1118" t="s">
        <v>15</v>
      </c>
      <c r="C1118">
        <v>39</v>
      </c>
      <c r="D1118" t="s">
        <v>20</v>
      </c>
      <c r="E1118">
        <v>59</v>
      </c>
      <c r="F1118" t="str">
        <f t="shared" si="17"/>
        <v>49+ Months</v>
      </c>
      <c r="G1118" t="s">
        <v>17</v>
      </c>
      <c r="H1118" t="s">
        <v>36</v>
      </c>
      <c r="I1118" t="s">
        <v>30</v>
      </c>
      <c r="J1118" t="s">
        <v>20</v>
      </c>
      <c r="K1118" t="s">
        <v>16</v>
      </c>
      <c r="L1118">
        <v>4</v>
      </c>
      <c r="M1118" s="7">
        <v>54.14</v>
      </c>
      <c r="N1118" s="7">
        <v>3428.64</v>
      </c>
      <c r="O1118" t="s">
        <v>20</v>
      </c>
    </row>
    <row r="1119" spans="1:15" x14ac:dyDescent="0.3">
      <c r="A1119" t="s">
        <v>1144</v>
      </c>
      <c r="B1119" t="s">
        <v>15</v>
      </c>
      <c r="C1119">
        <v>23</v>
      </c>
      <c r="D1119" t="s">
        <v>20</v>
      </c>
      <c r="E1119">
        <v>22</v>
      </c>
      <c r="F1119" t="str">
        <f t="shared" si="17"/>
        <v>13-24 Months</v>
      </c>
      <c r="G1119" t="s">
        <v>17</v>
      </c>
      <c r="H1119" t="s">
        <v>36</v>
      </c>
      <c r="I1119" t="s">
        <v>27</v>
      </c>
      <c r="J1119" t="s">
        <v>20</v>
      </c>
      <c r="K1119" t="s">
        <v>16</v>
      </c>
      <c r="L1119">
        <v>2</v>
      </c>
      <c r="M1119" s="7">
        <v>44.86</v>
      </c>
      <c r="N1119" s="7">
        <v>919.33</v>
      </c>
      <c r="O1119" t="s">
        <v>20</v>
      </c>
    </row>
    <row r="1120" spans="1:15" x14ac:dyDescent="0.3">
      <c r="A1120" t="s">
        <v>1145</v>
      </c>
      <c r="B1120" t="s">
        <v>15</v>
      </c>
      <c r="C1120">
        <v>19</v>
      </c>
      <c r="D1120" t="s">
        <v>20</v>
      </c>
      <c r="E1120">
        <v>51</v>
      </c>
      <c r="F1120" t="str">
        <f t="shared" si="17"/>
        <v>49+ Months</v>
      </c>
      <c r="G1120" t="s">
        <v>17</v>
      </c>
      <c r="H1120" t="s">
        <v>18</v>
      </c>
      <c r="I1120" t="s">
        <v>19</v>
      </c>
      <c r="J1120" t="s">
        <v>20</v>
      </c>
      <c r="K1120" t="s">
        <v>20</v>
      </c>
      <c r="L1120">
        <v>2</v>
      </c>
      <c r="M1120" s="7">
        <v>66.510000000000005</v>
      </c>
      <c r="N1120" s="7">
        <v>3303.59</v>
      </c>
      <c r="O1120" t="s">
        <v>16</v>
      </c>
    </row>
    <row r="1121" spans="1:15" x14ac:dyDescent="0.3">
      <c r="A1121" t="s">
        <v>1146</v>
      </c>
      <c r="B1121" t="s">
        <v>22</v>
      </c>
      <c r="C1121">
        <v>40</v>
      </c>
      <c r="D1121" t="s">
        <v>20</v>
      </c>
      <c r="E1121">
        <v>48</v>
      </c>
      <c r="F1121" t="str">
        <f t="shared" si="17"/>
        <v>25-48 Months</v>
      </c>
      <c r="G1121" t="s">
        <v>17</v>
      </c>
      <c r="H1121" t="s">
        <v>18</v>
      </c>
      <c r="I1121" t="s">
        <v>30</v>
      </c>
      <c r="J1121" t="s">
        <v>20</v>
      </c>
      <c r="K1121" t="s">
        <v>20</v>
      </c>
      <c r="L1121">
        <v>4</v>
      </c>
      <c r="M1121" s="7">
        <v>72.38</v>
      </c>
      <c r="N1121" s="7">
        <v>3710.98</v>
      </c>
      <c r="O1121" t="s">
        <v>20</v>
      </c>
    </row>
    <row r="1122" spans="1:15" x14ac:dyDescent="0.3">
      <c r="A1122" t="s">
        <v>1147</v>
      </c>
      <c r="B1122" t="s">
        <v>22</v>
      </c>
      <c r="C1122">
        <v>61</v>
      </c>
      <c r="D1122" t="s">
        <v>16</v>
      </c>
      <c r="E1122">
        <v>21</v>
      </c>
      <c r="F1122" t="str">
        <f t="shared" si="17"/>
        <v>13-24 Months</v>
      </c>
      <c r="G1122" t="s">
        <v>23</v>
      </c>
      <c r="H1122" t="s">
        <v>36</v>
      </c>
      <c r="I1122" t="s">
        <v>19</v>
      </c>
      <c r="J1122" t="s">
        <v>20</v>
      </c>
      <c r="K1122" t="s">
        <v>16</v>
      </c>
      <c r="L1122">
        <v>6</v>
      </c>
      <c r="M1122" s="7">
        <v>65.040000000000006</v>
      </c>
      <c r="N1122" s="7">
        <v>1452.81</v>
      </c>
      <c r="O1122" t="s">
        <v>16</v>
      </c>
    </row>
    <row r="1123" spans="1:15" x14ac:dyDescent="0.3">
      <c r="A1123" t="s">
        <v>1148</v>
      </c>
      <c r="B1123" t="s">
        <v>15</v>
      </c>
      <c r="C1123">
        <v>19</v>
      </c>
      <c r="D1123" t="s">
        <v>20</v>
      </c>
      <c r="E1123">
        <v>22</v>
      </c>
      <c r="F1123" t="str">
        <f t="shared" si="17"/>
        <v>13-24 Months</v>
      </c>
      <c r="G1123" t="s">
        <v>35</v>
      </c>
      <c r="H1123" t="s">
        <v>20</v>
      </c>
      <c r="I1123" t="s">
        <v>30</v>
      </c>
      <c r="J1123" t="s">
        <v>20</v>
      </c>
      <c r="K1123" t="s">
        <v>20</v>
      </c>
      <c r="L1123">
        <v>1</v>
      </c>
      <c r="M1123" s="7">
        <v>23.11</v>
      </c>
      <c r="N1123" s="7">
        <v>538.13</v>
      </c>
      <c r="O1123" t="s">
        <v>20</v>
      </c>
    </row>
    <row r="1124" spans="1:15" x14ac:dyDescent="0.3">
      <c r="A1124" t="s">
        <v>1149</v>
      </c>
      <c r="B1124" t="s">
        <v>15</v>
      </c>
      <c r="C1124">
        <v>55</v>
      </c>
      <c r="D1124" t="s">
        <v>20</v>
      </c>
      <c r="E1124">
        <v>30</v>
      </c>
      <c r="F1124" t="str">
        <f t="shared" si="17"/>
        <v>25-48 Months</v>
      </c>
      <c r="G1124" t="s">
        <v>35</v>
      </c>
      <c r="H1124" t="s">
        <v>18</v>
      </c>
      <c r="I1124" t="s">
        <v>27</v>
      </c>
      <c r="J1124" t="s">
        <v>16</v>
      </c>
      <c r="K1124" t="s">
        <v>20</v>
      </c>
      <c r="L1124">
        <v>1</v>
      </c>
      <c r="M1124" s="7">
        <v>75.180000000000007</v>
      </c>
      <c r="N1124" s="7">
        <v>2186.2600000000002</v>
      </c>
      <c r="O1124" t="s">
        <v>16</v>
      </c>
    </row>
    <row r="1125" spans="1:15" x14ac:dyDescent="0.3">
      <c r="A1125" t="s">
        <v>1150</v>
      </c>
      <c r="B1125" t="s">
        <v>15</v>
      </c>
      <c r="C1125">
        <v>34</v>
      </c>
      <c r="D1125" t="s">
        <v>20</v>
      </c>
      <c r="E1125">
        <v>25</v>
      </c>
      <c r="F1125" t="str">
        <f t="shared" si="17"/>
        <v>25-48 Months</v>
      </c>
      <c r="G1125" t="s">
        <v>17</v>
      </c>
      <c r="H1125" t="s">
        <v>20</v>
      </c>
      <c r="I1125" t="s">
        <v>30</v>
      </c>
      <c r="J1125" t="s">
        <v>20</v>
      </c>
      <c r="K1125" t="s">
        <v>16</v>
      </c>
      <c r="L1125">
        <v>3</v>
      </c>
      <c r="M1125" s="7">
        <v>33.51</v>
      </c>
      <c r="N1125" s="7">
        <v>884.24</v>
      </c>
      <c r="O1125" t="s">
        <v>20</v>
      </c>
    </row>
    <row r="1126" spans="1:15" x14ac:dyDescent="0.3">
      <c r="A1126" t="s">
        <v>1151</v>
      </c>
      <c r="B1126" t="s">
        <v>22</v>
      </c>
      <c r="C1126">
        <v>52</v>
      </c>
      <c r="D1126" t="s">
        <v>20</v>
      </c>
      <c r="E1126">
        <v>28</v>
      </c>
      <c r="F1126" t="str">
        <f t="shared" si="17"/>
        <v>25-48 Months</v>
      </c>
      <c r="G1126" t="s">
        <v>23</v>
      </c>
      <c r="H1126" t="s">
        <v>18</v>
      </c>
      <c r="I1126" t="s">
        <v>19</v>
      </c>
      <c r="J1126" t="s">
        <v>16</v>
      </c>
      <c r="K1126" t="s">
        <v>16</v>
      </c>
      <c r="L1126">
        <v>8</v>
      </c>
      <c r="M1126" s="7">
        <v>99.03</v>
      </c>
      <c r="N1126" s="7">
        <v>2775.21</v>
      </c>
      <c r="O1126" t="s">
        <v>20</v>
      </c>
    </row>
    <row r="1127" spans="1:15" x14ac:dyDescent="0.3">
      <c r="A1127" t="s">
        <v>1152</v>
      </c>
      <c r="B1127" t="s">
        <v>22</v>
      </c>
      <c r="C1127">
        <v>51</v>
      </c>
      <c r="D1127" t="s">
        <v>20</v>
      </c>
      <c r="E1127">
        <v>65</v>
      </c>
      <c r="F1127" t="str">
        <f t="shared" si="17"/>
        <v>49+ Months</v>
      </c>
      <c r="G1127" t="s">
        <v>35</v>
      </c>
      <c r="H1127" t="s">
        <v>20</v>
      </c>
      <c r="I1127" t="s">
        <v>19</v>
      </c>
      <c r="J1127" t="s">
        <v>20</v>
      </c>
      <c r="K1127" t="s">
        <v>20</v>
      </c>
      <c r="L1127">
        <v>4</v>
      </c>
      <c r="M1127" s="7">
        <v>45.09</v>
      </c>
      <c r="N1127" s="7">
        <v>2987.02</v>
      </c>
      <c r="O1127" t="s">
        <v>20</v>
      </c>
    </row>
    <row r="1128" spans="1:15" x14ac:dyDescent="0.3">
      <c r="A1128" t="s">
        <v>1153</v>
      </c>
      <c r="B1128" t="s">
        <v>22</v>
      </c>
      <c r="C1128">
        <v>40</v>
      </c>
      <c r="D1128" t="s">
        <v>20</v>
      </c>
      <c r="E1128">
        <v>45</v>
      </c>
      <c r="F1128" t="str">
        <f t="shared" si="17"/>
        <v>25-48 Months</v>
      </c>
      <c r="G1128" t="s">
        <v>17</v>
      </c>
      <c r="H1128" t="s">
        <v>20</v>
      </c>
      <c r="I1128" t="s">
        <v>30</v>
      </c>
      <c r="J1128" t="s">
        <v>16</v>
      </c>
      <c r="K1128" t="s">
        <v>20</v>
      </c>
      <c r="L1128">
        <v>5</v>
      </c>
      <c r="M1128" s="7">
        <v>32.03</v>
      </c>
      <c r="N1128" s="7">
        <v>1381.12</v>
      </c>
      <c r="O1128" t="s">
        <v>20</v>
      </c>
    </row>
    <row r="1129" spans="1:15" x14ac:dyDescent="0.3">
      <c r="A1129" t="s">
        <v>1154</v>
      </c>
      <c r="B1129" t="s">
        <v>22</v>
      </c>
      <c r="C1129">
        <v>47</v>
      </c>
      <c r="D1129" t="s">
        <v>20</v>
      </c>
      <c r="E1129">
        <v>68</v>
      </c>
      <c r="F1129" t="str">
        <f t="shared" si="17"/>
        <v>49+ Months</v>
      </c>
      <c r="G1129" t="s">
        <v>17</v>
      </c>
      <c r="H1129" t="s">
        <v>18</v>
      </c>
      <c r="I1129" t="s">
        <v>30</v>
      </c>
      <c r="J1129" t="s">
        <v>20</v>
      </c>
      <c r="K1129" t="s">
        <v>20</v>
      </c>
      <c r="L1129">
        <v>6</v>
      </c>
      <c r="M1129" s="7">
        <v>91.99</v>
      </c>
      <c r="N1129" s="7">
        <v>6462.17</v>
      </c>
      <c r="O1129" t="s">
        <v>20</v>
      </c>
    </row>
    <row r="1130" spans="1:15" x14ac:dyDescent="0.3">
      <c r="A1130" t="s">
        <v>1155</v>
      </c>
      <c r="B1130" t="s">
        <v>22</v>
      </c>
      <c r="C1130">
        <v>69</v>
      </c>
      <c r="D1130" t="s">
        <v>16</v>
      </c>
      <c r="E1130">
        <v>7</v>
      </c>
      <c r="F1130" t="str">
        <f t="shared" si="17"/>
        <v>7-12 Months</v>
      </c>
      <c r="G1130" t="s">
        <v>35</v>
      </c>
      <c r="H1130" t="s">
        <v>36</v>
      </c>
      <c r="I1130" t="s">
        <v>30</v>
      </c>
      <c r="J1130" t="s">
        <v>16</v>
      </c>
      <c r="K1130" t="s">
        <v>16</v>
      </c>
      <c r="L1130">
        <v>4</v>
      </c>
      <c r="M1130" s="7">
        <v>47.05</v>
      </c>
      <c r="N1130" s="7">
        <v>320.27</v>
      </c>
      <c r="O1130" t="s">
        <v>20</v>
      </c>
    </row>
    <row r="1131" spans="1:15" x14ac:dyDescent="0.3">
      <c r="A1131" t="s">
        <v>1156</v>
      </c>
      <c r="B1131" t="s">
        <v>22</v>
      </c>
      <c r="C1131">
        <v>25</v>
      </c>
      <c r="D1131" t="s">
        <v>20</v>
      </c>
      <c r="E1131">
        <v>49</v>
      </c>
      <c r="F1131" t="str">
        <f t="shared" si="17"/>
        <v>49+ Months</v>
      </c>
      <c r="G1131" t="s">
        <v>17</v>
      </c>
      <c r="H1131" t="s">
        <v>18</v>
      </c>
      <c r="I1131" t="s">
        <v>30</v>
      </c>
      <c r="J1131" t="s">
        <v>20</v>
      </c>
      <c r="K1131" t="s">
        <v>20</v>
      </c>
      <c r="L1131">
        <v>3</v>
      </c>
      <c r="M1131" s="7">
        <v>69.16</v>
      </c>
      <c r="N1131" s="7">
        <v>3304.19</v>
      </c>
      <c r="O1131" t="s">
        <v>16</v>
      </c>
    </row>
    <row r="1132" spans="1:15" x14ac:dyDescent="0.3">
      <c r="A1132" t="s">
        <v>1157</v>
      </c>
      <c r="B1132" t="s">
        <v>22</v>
      </c>
      <c r="C1132">
        <v>39</v>
      </c>
      <c r="D1132" t="s">
        <v>20</v>
      </c>
      <c r="E1132">
        <v>9</v>
      </c>
      <c r="F1132" t="str">
        <f t="shared" si="17"/>
        <v>7-12 Months</v>
      </c>
      <c r="G1132" t="s">
        <v>17</v>
      </c>
      <c r="H1132" t="s">
        <v>20</v>
      </c>
      <c r="I1132" t="s">
        <v>24</v>
      </c>
      <c r="J1132" t="s">
        <v>20</v>
      </c>
      <c r="K1132" t="s">
        <v>20</v>
      </c>
      <c r="L1132">
        <v>4</v>
      </c>
      <c r="M1132" s="7">
        <v>45.67</v>
      </c>
      <c r="N1132" s="7">
        <v>420.03</v>
      </c>
      <c r="O1132" t="s">
        <v>16</v>
      </c>
    </row>
    <row r="1133" spans="1:15" x14ac:dyDescent="0.3">
      <c r="A1133" t="s">
        <v>1158</v>
      </c>
      <c r="B1133" t="s">
        <v>22</v>
      </c>
      <c r="C1133">
        <v>61</v>
      </c>
      <c r="D1133" t="s">
        <v>16</v>
      </c>
      <c r="E1133">
        <v>36</v>
      </c>
      <c r="F1133" t="str">
        <f t="shared" si="17"/>
        <v>25-48 Months</v>
      </c>
      <c r="G1133" t="s">
        <v>17</v>
      </c>
      <c r="H1133" t="s">
        <v>18</v>
      </c>
      <c r="I1133" t="s">
        <v>27</v>
      </c>
      <c r="J1133" t="s">
        <v>20</v>
      </c>
      <c r="K1133" t="s">
        <v>16</v>
      </c>
      <c r="L1133">
        <v>3</v>
      </c>
      <c r="M1133" s="7">
        <v>75.87</v>
      </c>
      <c r="N1133" s="7">
        <v>2617.62</v>
      </c>
      <c r="O1133" t="s">
        <v>16</v>
      </c>
    </row>
    <row r="1134" spans="1:15" x14ac:dyDescent="0.3">
      <c r="A1134" t="s">
        <v>1159</v>
      </c>
      <c r="B1134" t="s">
        <v>22</v>
      </c>
      <c r="C1134">
        <v>75</v>
      </c>
      <c r="D1134" t="s">
        <v>16</v>
      </c>
      <c r="E1134">
        <v>1</v>
      </c>
      <c r="F1134" t="str">
        <f t="shared" si="17"/>
        <v>0-6 Months</v>
      </c>
      <c r="G1134" t="s">
        <v>17</v>
      </c>
      <c r="H1134" t="s">
        <v>36</v>
      </c>
      <c r="I1134" t="s">
        <v>27</v>
      </c>
      <c r="J1134" t="s">
        <v>20</v>
      </c>
      <c r="K1134" t="s">
        <v>16</v>
      </c>
      <c r="L1134">
        <v>5</v>
      </c>
      <c r="M1134" s="7">
        <v>60.62</v>
      </c>
      <c r="N1134" s="7">
        <v>57.95</v>
      </c>
      <c r="O1134" t="s">
        <v>16</v>
      </c>
    </row>
    <row r="1135" spans="1:15" x14ac:dyDescent="0.3">
      <c r="A1135" t="s">
        <v>1160</v>
      </c>
      <c r="B1135" t="s">
        <v>15</v>
      </c>
      <c r="C1135">
        <v>53</v>
      </c>
      <c r="D1135" t="s">
        <v>20</v>
      </c>
      <c r="E1135">
        <v>10</v>
      </c>
      <c r="F1135" t="str">
        <f t="shared" si="17"/>
        <v>7-12 Months</v>
      </c>
      <c r="G1135" t="s">
        <v>35</v>
      </c>
      <c r="H1135" t="s">
        <v>36</v>
      </c>
      <c r="I1135" t="s">
        <v>19</v>
      </c>
      <c r="J1135" t="s">
        <v>20</v>
      </c>
      <c r="K1135" t="s">
        <v>20</v>
      </c>
      <c r="L1135">
        <v>7</v>
      </c>
      <c r="M1135" s="7">
        <v>58.52</v>
      </c>
      <c r="N1135" s="7">
        <v>572.95000000000005</v>
      </c>
      <c r="O1135" t="s">
        <v>20</v>
      </c>
    </row>
    <row r="1136" spans="1:15" x14ac:dyDescent="0.3">
      <c r="A1136" t="s">
        <v>1161</v>
      </c>
      <c r="B1136" t="s">
        <v>15</v>
      </c>
      <c r="C1136">
        <v>22</v>
      </c>
      <c r="D1136" t="s">
        <v>20</v>
      </c>
      <c r="E1136">
        <v>36</v>
      </c>
      <c r="F1136" t="str">
        <f t="shared" si="17"/>
        <v>25-48 Months</v>
      </c>
      <c r="G1136" t="s">
        <v>23</v>
      </c>
      <c r="H1136" t="s">
        <v>20</v>
      </c>
      <c r="I1136" t="s">
        <v>30</v>
      </c>
      <c r="J1136" t="s">
        <v>20</v>
      </c>
      <c r="K1136" t="s">
        <v>20</v>
      </c>
      <c r="L1136">
        <v>4</v>
      </c>
      <c r="M1136" s="7">
        <v>47.75</v>
      </c>
      <c r="N1136" s="7">
        <v>1795.48</v>
      </c>
      <c r="O1136" t="s">
        <v>20</v>
      </c>
    </row>
    <row r="1137" spans="1:15" x14ac:dyDescent="0.3">
      <c r="A1137" t="s">
        <v>1162</v>
      </c>
      <c r="B1137" t="s">
        <v>15</v>
      </c>
      <c r="C1137">
        <v>30</v>
      </c>
      <c r="D1137" t="s">
        <v>20</v>
      </c>
      <c r="E1137">
        <v>46</v>
      </c>
      <c r="F1137" t="str">
        <f t="shared" si="17"/>
        <v>25-48 Months</v>
      </c>
      <c r="G1137" t="s">
        <v>17</v>
      </c>
      <c r="H1137" t="s">
        <v>18</v>
      </c>
      <c r="I1137" t="s">
        <v>24</v>
      </c>
      <c r="J1137" t="s">
        <v>20</v>
      </c>
      <c r="K1137" t="s">
        <v>20</v>
      </c>
      <c r="L1137">
        <v>5</v>
      </c>
      <c r="M1137" s="7">
        <v>86.04</v>
      </c>
      <c r="N1137" s="7">
        <v>3783.49</v>
      </c>
      <c r="O1137" t="s">
        <v>20</v>
      </c>
    </row>
    <row r="1138" spans="1:15" x14ac:dyDescent="0.3">
      <c r="A1138" t="s">
        <v>1163</v>
      </c>
      <c r="B1138" t="s">
        <v>15</v>
      </c>
      <c r="C1138">
        <v>46</v>
      </c>
      <c r="D1138" t="s">
        <v>20</v>
      </c>
      <c r="E1138">
        <v>32</v>
      </c>
      <c r="F1138" t="str">
        <f t="shared" si="17"/>
        <v>25-48 Months</v>
      </c>
      <c r="G1138" t="s">
        <v>17</v>
      </c>
      <c r="H1138" t="s">
        <v>36</v>
      </c>
      <c r="I1138" t="s">
        <v>24</v>
      </c>
      <c r="J1138" t="s">
        <v>20</v>
      </c>
      <c r="K1138" t="s">
        <v>20</v>
      </c>
      <c r="L1138">
        <v>8</v>
      </c>
      <c r="M1138" s="7">
        <v>69</v>
      </c>
      <c r="N1138" s="7">
        <v>2309.5</v>
      </c>
      <c r="O1138" t="s">
        <v>20</v>
      </c>
    </row>
    <row r="1139" spans="1:15" x14ac:dyDescent="0.3">
      <c r="A1139" t="s">
        <v>1164</v>
      </c>
      <c r="B1139" t="s">
        <v>22</v>
      </c>
      <c r="C1139">
        <v>48</v>
      </c>
      <c r="D1139" t="s">
        <v>20</v>
      </c>
      <c r="E1139">
        <v>32</v>
      </c>
      <c r="F1139" t="str">
        <f t="shared" si="17"/>
        <v>25-48 Months</v>
      </c>
      <c r="G1139" t="s">
        <v>23</v>
      </c>
      <c r="H1139" t="s">
        <v>18</v>
      </c>
      <c r="I1139" t="s">
        <v>24</v>
      </c>
      <c r="J1139" t="s">
        <v>20</v>
      </c>
      <c r="K1139" t="s">
        <v>20</v>
      </c>
      <c r="L1139">
        <v>3</v>
      </c>
      <c r="M1139" s="7">
        <v>68.27</v>
      </c>
      <c r="N1139" s="7">
        <v>2253.0100000000002</v>
      </c>
      <c r="O1139" t="s">
        <v>20</v>
      </c>
    </row>
    <row r="1140" spans="1:15" x14ac:dyDescent="0.3">
      <c r="A1140" t="s">
        <v>1165</v>
      </c>
      <c r="B1140" t="s">
        <v>22</v>
      </c>
      <c r="C1140">
        <v>64</v>
      </c>
      <c r="D1140" t="s">
        <v>16</v>
      </c>
      <c r="E1140">
        <v>6</v>
      </c>
      <c r="F1140" t="str">
        <f t="shared" si="17"/>
        <v>0-6 Months</v>
      </c>
      <c r="G1140" t="s">
        <v>23</v>
      </c>
      <c r="H1140" t="s">
        <v>18</v>
      </c>
      <c r="I1140" t="s">
        <v>30</v>
      </c>
      <c r="J1140" t="s">
        <v>20</v>
      </c>
      <c r="K1140" t="s">
        <v>20</v>
      </c>
      <c r="L1140">
        <v>2</v>
      </c>
      <c r="M1140" s="7">
        <v>78.19</v>
      </c>
      <c r="N1140" s="7">
        <v>482.58</v>
      </c>
      <c r="O1140" t="s">
        <v>16</v>
      </c>
    </row>
    <row r="1141" spans="1:15" x14ac:dyDescent="0.3">
      <c r="A1141" t="s">
        <v>1166</v>
      </c>
      <c r="B1141" t="s">
        <v>15</v>
      </c>
      <c r="C1141">
        <v>74</v>
      </c>
      <c r="D1141" t="s">
        <v>16</v>
      </c>
      <c r="E1141">
        <v>48</v>
      </c>
      <c r="F1141" t="str">
        <f t="shared" si="17"/>
        <v>25-48 Months</v>
      </c>
      <c r="G1141" t="s">
        <v>17</v>
      </c>
      <c r="H1141" t="s">
        <v>36</v>
      </c>
      <c r="I1141" t="s">
        <v>27</v>
      </c>
      <c r="J1141" t="s">
        <v>16</v>
      </c>
      <c r="K1141" t="s">
        <v>16</v>
      </c>
      <c r="L1141">
        <v>4</v>
      </c>
      <c r="M1141" s="7">
        <v>61.1</v>
      </c>
      <c r="N1141" s="7">
        <v>2920.95</v>
      </c>
      <c r="O1141" t="s">
        <v>20</v>
      </c>
    </row>
    <row r="1142" spans="1:15" x14ac:dyDescent="0.3">
      <c r="A1142" t="s">
        <v>1167</v>
      </c>
      <c r="B1142" t="s">
        <v>22</v>
      </c>
      <c r="C1142">
        <v>72</v>
      </c>
      <c r="D1142" t="s">
        <v>16</v>
      </c>
      <c r="E1142">
        <v>38</v>
      </c>
      <c r="F1142" t="str">
        <f t="shared" si="17"/>
        <v>25-48 Months</v>
      </c>
      <c r="G1142" t="s">
        <v>35</v>
      </c>
      <c r="H1142" t="s">
        <v>18</v>
      </c>
      <c r="I1142" t="s">
        <v>30</v>
      </c>
      <c r="J1142" t="s">
        <v>20</v>
      </c>
      <c r="K1142" t="s">
        <v>16</v>
      </c>
      <c r="L1142">
        <v>7</v>
      </c>
      <c r="M1142" s="7">
        <v>81.48</v>
      </c>
      <c r="N1142" s="7">
        <v>3218.05</v>
      </c>
      <c r="O1142" t="s">
        <v>20</v>
      </c>
    </row>
    <row r="1143" spans="1:15" x14ac:dyDescent="0.3">
      <c r="A1143" t="s">
        <v>1168</v>
      </c>
      <c r="B1143" t="s">
        <v>15</v>
      </c>
      <c r="C1143">
        <v>33</v>
      </c>
      <c r="D1143" t="s">
        <v>20</v>
      </c>
      <c r="E1143">
        <v>17</v>
      </c>
      <c r="F1143" t="str">
        <f t="shared" si="17"/>
        <v>13-24 Months</v>
      </c>
      <c r="G1143" t="s">
        <v>17</v>
      </c>
      <c r="H1143" t="s">
        <v>18</v>
      </c>
      <c r="I1143" t="s">
        <v>30</v>
      </c>
      <c r="J1143" t="s">
        <v>16</v>
      </c>
      <c r="K1143" t="s">
        <v>20</v>
      </c>
      <c r="L1143">
        <v>6</v>
      </c>
      <c r="M1143" s="7">
        <v>81.89</v>
      </c>
      <c r="N1143" s="7">
        <v>1283.77</v>
      </c>
      <c r="O1143" t="s">
        <v>20</v>
      </c>
    </row>
    <row r="1144" spans="1:15" x14ac:dyDescent="0.3">
      <c r="A1144" t="s">
        <v>1169</v>
      </c>
      <c r="B1144" t="s">
        <v>22</v>
      </c>
      <c r="C1144">
        <v>59</v>
      </c>
      <c r="D1144" t="s">
        <v>20</v>
      </c>
      <c r="E1144">
        <v>27</v>
      </c>
      <c r="F1144" t="str">
        <f t="shared" si="17"/>
        <v>25-48 Months</v>
      </c>
      <c r="G1144" t="s">
        <v>17</v>
      </c>
      <c r="H1144" t="s">
        <v>20</v>
      </c>
      <c r="I1144" t="s">
        <v>19</v>
      </c>
      <c r="J1144" t="s">
        <v>20</v>
      </c>
      <c r="K1144" t="s">
        <v>20</v>
      </c>
      <c r="L1144">
        <v>1</v>
      </c>
      <c r="M1144" s="7">
        <v>42.7</v>
      </c>
      <c r="N1144" s="7">
        <v>1117.04</v>
      </c>
      <c r="O1144" t="s">
        <v>16</v>
      </c>
    </row>
    <row r="1145" spans="1:15" x14ac:dyDescent="0.3">
      <c r="A1145" t="s">
        <v>1170</v>
      </c>
      <c r="B1145" t="s">
        <v>15</v>
      </c>
      <c r="C1145">
        <v>47</v>
      </c>
      <c r="D1145" t="s">
        <v>20</v>
      </c>
      <c r="E1145">
        <v>54</v>
      </c>
      <c r="F1145" t="str">
        <f t="shared" si="17"/>
        <v>49+ Months</v>
      </c>
      <c r="G1145" t="s">
        <v>23</v>
      </c>
      <c r="H1145" t="s">
        <v>18</v>
      </c>
      <c r="I1145" t="s">
        <v>24</v>
      </c>
      <c r="J1145" t="s">
        <v>20</v>
      </c>
      <c r="K1145" t="s">
        <v>20</v>
      </c>
      <c r="L1145">
        <v>3</v>
      </c>
      <c r="M1145" s="7">
        <v>82.02</v>
      </c>
      <c r="N1145" s="7">
        <v>4556.03</v>
      </c>
      <c r="O1145" t="s">
        <v>20</v>
      </c>
    </row>
    <row r="1146" spans="1:15" x14ac:dyDescent="0.3">
      <c r="A1146" t="s">
        <v>1171</v>
      </c>
      <c r="B1146" t="s">
        <v>22</v>
      </c>
      <c r="C1146">
        <v>74</v>
      </c>
      <c r="D1146" t="s">
        <v>16</v>
      </c>
      <c r="E1146">
        <v>50</v>
      </c>
      <c r="F1146" t="str">
        <f t="shared" si="17"/>
        <v>49+ Months</v>
      </c>
      <c r="G1146" t="s">
        <v>17</v>
      </c>
      <c r="H1146" t="s">
        <v>36</v>
      </c>
      <c r="I1146" t="s">
        <v>24</v>
      </c>
      <c r="J1146" t="s">
        <v>20</v>
      </c>
      <c r="K1146" t="s">
        <v>20</v>
      </c>
      <c r="L1146">
        <v>6</v>
      </c>
      <c r="M1146" s="7">
        <v>67</v>
      </c>
      <c r="N1146" s="7">
        <v>3611.19</v>
      </c>
      <c r="O1146" t="s">
        <v>20</v>
      </c>
    </row>
    <row r="1147" spans="1:15" x14ac:dyDescent="0.3">
      <c r="A1147" t="s">
        <v>1172</v>
      </c>
      <c r="B1147" t="s">
        <v>22</v>
      </c>
      <c r="C1147">
        <v>72</v>
      </c>
      <c r="D1147" t="s">
        <v>16</v>
      </c>
      <c r="E1147">
        <v>35</v>
      </c>
      <c r="F1147" t="str">
        <f t="shared" si="17"/>
        <v>25-48 Months</v>
      </c>
      <c r="G1147" t="s">
        <v>35</v>
      </c>
      <c r="H1147" t="s">
        <v>18</v>
      </c>
      <c r="I1147" t="s">
        <v>27</v>
      </c>
      <c r="J1147" t="s">
        <v>16</v>
      </c>
      <c r="K1147" t="s">
        <v>20</v>
      </c>
      <c r="L1147">
        <v>8</v>
      </c>
      <c r="M1147" s="7">
        <v>95.16</v>
      </c>
      <c r="N1147" s="7">
        <v>3065.49</v>
      </c>
      <c r="O1147" t="s">
        <v>20</v>
      </c>
    </row>
    <row r="1148" spans="1:15" x14ac:dyDescent="0.3">
      <c r="A1148" t="s">
        <v>1173</v>
      </c>
      <c r="B1148" t="s">
        <v>15</v>
      </c>
      <c r="C1148">
        <v>33</v>
      </c>
      <c r="D1148" t="s">
        <v>20</v>
      </c>
      <c r="E1148">
        <v>25</v>
      </c>
      <c r="F1148" t="str">
        <f t="shared" si="17"/>
        <v>25-48 Months</v>
      </c>
      <c r="G1148" t="s">
        <v>23</v>
      </c>
      <c r="H1148" t="s">
        <v>18</v>
      </c>
      <c r="I1148" t="s">
        <v>27</v>
      </c>
      <c r="J1148" t="s">
        <v>16</v>
      </c>
      <c r="K1148" t="s">
        <v>16</v>
      </c>
      <c r="L1148">
        <v>6</v>
      </c>
      <c r="M1148" s="7">
        <v>71.77</v>
      </c>
      <c r="N1148" s="7">
        <v>1797.11</v>
      </c>
      <c r="O1148" t="s">
        <v>20</v>
      </c>
    </row>
    <row r="1149" spans="1:15" x14ac:dyDescent="0.3">
      <c r="A1149" t="s">
        <v>1174</v>
      </c>
      <c r="B1149" t="s">
        <v>22</v>
      </c>
      <c r="C1149">
        <v>29</v>
      </c>
      <c r="D1149" t="s">
        <v>20</v>
      </c>
      <c r="E1149">
        <v>28</v>
      </c>
      <c r="F1149" t="str">
        <f t="shared" si="17"/>
        <v>25-48 Months</v>
      </c>
      <c r="G1149" t="s">
        <v>23</v>
      </c>
      <c r="H1149" t="s">
        <v>18</v>
      </c>
      <c r="I1149" t="s">
        <v>19</v>
      </c>
      <c r="J1149" t="s">
        <v>20</v>
      </c>
      <c r="K1149" t="s">
        <v>20</v>
      </c>
      <c r="L1149">
        <v>5</v>
      </c>
      <c r="M1149" s="7">
        <v>92.15</v>
      </c>
      <c r="N1149" s="7">
        <v>2755.17</v>
      </c>
      <c r="O1149" t="s">
        <v>20</v>
      </c>
    </row>
    <row r="1150" spans="1:15" x14ac:dyDescent="0.3">
      <c r="A1150" t="s">
        <v>1175</v>
      </c>
      <c r="B1150" t="s">
        <v>15</v>
      </c>
      <c r="C1150">
        <v>34</v>
      </c>
      <c r="D1150" t="s">
        <v>20</v>
      </c>
      <c r="E1150">
        <v>15</v>
      </c>
      <c r="F1150" t="str">
        <f t="shared" si="17"/>
        <v>13-24 Months</v>
      </c>
      <c r="G1150" t="s">
        <v>17</v>
      </c>
      <c r="H1150" t="s">
        <v>36</v>
      </c>
      <c r="I1150" t="s">
        <v>30</v>
      </c>
      <c r="J1150" t="s">
        <v>20</v>
      </c>
      <c r="K1150" t="s">
        <v>20</v>
      </c>
      <c r="L1150">
        <v>5</v>
      </c>
      <c r="M1150" s="7">
        <v>59.84</v>
      </c>
      <c r="N1150" s="7">
        <v>949.81</v>
      </c>
      <c r="O1150" t="s">
        <v>16</v>
      </c>
    </row>
    <row r="1151" spans="1:15" x14ac:dyDescent="0.3">
      <c r="A1151" t="s">
        <v>1176</v>
      </c>
      <c r="B1151" t="s">
        <v>15</v>
      </c>
      <c r="C1151">
        <v>33</v>
      </c>
      <c r="D1151" t="s">
        <v>20</v>
      </c>
      <c r="E1151">
        <v>4</v>
      </c>
      <c r="F1151" t="str">
        <f t="shared" si="17"/>
        <v>0-6 Months</v>
      </c>
      <c r="G1151" t="s">
        <v>17</v>
      </c>
      <c r="H1151" t="s">
        <v>36</v>
      </c>
      <c r="I1151" t="s">
        <v>27</v>
      </c>
      <c r="J1151" t="s">
        <v>20</v>
      </c>
      <c r="K1151" t="s">
        <v>16</v>
      </c>
      <c r="L1151">
        <v>4</v>
      </c>
      <c r="M1151" s="7">
        <v>53.34</v>
      </c>
      <c r="N1151" s="7">
        <v>197.08</v>
      </c>
      <c r="O1151" t="s">
        <v>16</v>
      </c>
    </row>
    <row r="1152" spans="1:15" x14ac:dyDescent="0.3">
      <c r="A1152" t="s">
        <v>1177</v>
      </c>
      <c r="B1152" t="s">
        <v>15</v>
      </c>
      <c r="C1152">
        <v>29</v>
      </c>
      <c r="D1152" t="s">
        <v>20</v>
      </c>
      <c r="E1152">
        <v>27</v>
      </c>
      <c r="F1152" t="str">
        <f t="shared" si="17"/>
        <v>25-48 Months</v>
      </c>
      <c r="G1152" t="s">
        <v>17</v>
      </c>
      <c r="H1152" t="s">
        <v>18</v>
      </c>
      <c r="I1152" t="s">
        <v>24</v>
      </c>
      <c r="J1152" t="s">
        <v>20</v>
      </c>
      <c r="K1152" t="s">
        <v>16</v>
      </c>
      <c r="L1152">
        <v>2</v>
      </c>
      <c r="M1152" s="7">
        <v>76.25</v>
      </c>
      <c r="N1152" s="7">
        <v>2068.4899999999998</v>
      </c>
      <c r="O1152" t="s">
        <v>16</v>
      </c>
    </row>
    <row r="1153" spans="1:15" x14ac:dyDescent="0.3">
      <c r="A1153" t="s">
        <v>1178</v>
      </c>
      <c r="B1153" t="s">
        <v>15</v>
      </c>
      <c r="C1153">
        <v>25</v>
      </c>
      <c r="D1153" t="s">
        <v>20</v>
      </c>
      <c r="E1153">
        <v>26</v>
      </c>
      <c r="F1153" t="str">
        <f t="shared" si="17"/>
        <v>25-48 Months</v>
      </c>
      <c r="G1153" t="s">
        <v>17</v>
      </c>
      <c r="H1153" t="s">
        <v>18</v>
      </c>
      <c r="I1153" t="s">
        <v>27</v>
      </c>
      <c r="J1153" t="s">
        <v>20</v>
      </c>
      <c r="K1153" t="s">
        <v>20</v>
      </c>
      <c r="L1153">
        <v>5</v>
      </c>
      <c r="M1153" s="7">
        <v>78.59</v>
      </c>
      <c r="N1153" s="7">
        <v>1881.27</v>
      </c>
      <c r="O1153" t="s">
        <v>20</v>
      </c>
    </row>
    <row r="1154" spans="1:15" x14ac:dyDescent="0.3">
      <c r="A1154" t="s">
        <v>1179</v>
      </c>
      <c r="B1154" t="s">
        <v>22</v>
      </c>
      <c r="C1154">
        <v>37</v>
      </c>
      <c r="D1154" t="s">
        <v>20</v>
      </c>
      <c r="E1154">
        <v>19</v>
      </c>
      <c r="F1154" t="str">
        <f t="shared" ref="F1154:F1217" si="18">IF(E1154&lt;=6,"0-6 Months",
 IF(E1154&lt;=12,"7-12 Months",
 IF(E1154&lt;=24,"13-24 Months",
 IF(E1154&lt;=48,"25-48 Months","49+ Months"))))</f>
        <v>13-24 Months</v>
      </c>
      <c r="G1154" t="s">
        <v>23</v>
      </c>
      <c r="H1154" t="s">
        <v>20</v>
      </c>
      <c r="I1154" t="s">
        <v>30</v>
      </c>
      <c r="J1154" t="s">
        <v>16</v>
      </c>
      <c r="K1154" t="s">
        <v>20</v>
      </c>
      <c r="L1154">
        <v>1</v>
      </c>
      <c r="M1154" s="7">
        <v>20</v>
      </c>
      <c r="N1154" s="7">
        <v>397.61</v>
      </c>
      <c r="O1154" t="s">
        <v>20</v>
      </c>
    </row>
    <row r="1155" spans="1:15" x14ac:dyDescent="0.3">
      <c r="A1155" t="s">
        <v>1180</v>
      </c>
      <c r="B1155" t="s">
        <v>22</v>
      </c>
      <c r="C1155">
        <v>20</v>
      </c>
      <c r="D1155" t="s">
        <v>20</v>
      </c>
      <c r="E1155">
        <v>17</v>
      </c>
      <c r="F1155" t="str">
        <f t="shared" si="18"/>
        <v>13-24 Months</v>
      </c>
      <c r="G1155" t="s">
        <v>35</v>
      </c>
      <c r="H1155" t="s">
        <v>18</v>
      </c>
      <c r="I1155" t="s">
        <v>30</v>
      </c>
      <c r="J1155" t="s">
        <v>20</v>
      </c>
      <c r="K1155" t="s">
        <v>16</v>
      </c>
      <c r="L1155">
        <v>3</v>
      </c>
      <c r="M1155" s="7">
        <v>77.87</v>
      </c>
      <c r="N1155" s="7">
        <v>1283.31</v>
      </c>
      <c r="O1155" t="s">
        <v>16</v>
      </c>
    </row>
    <row r="1156" spans="1:15" x14ac:dyDescent="0.3">
      <c r="A1156" t="s">
        <v>1181</v>
      </c>
      <c r="B1156" t="s">
        <v>22</v>
      </c>
      <c r="C1156">
        <v>33</v>
      </c>
      <c r="D1156" t="s">
        <v>20</v>
      </c>
      <c r="E1156">
        <v>43</v>
      </c>
      <c r="F1156" t="str">
        <f t="shared" si="18"/>
        <v>25-48 Months</v>
      </c>
      <c r="G1156" t="s">
        <v>23</v>
      </c>
      <c r="H1156" t="s">
        <v>20</v>
      </c>
      <c r="I1156" t="s">
        <v>24</v>
      </c>
      <c r="J1156" t="s">
        <v>16</v>
      </c>
      <c r="K1156" t="s">
        <v>16</v>
      </c>
      <c r="L1156">
        <v>4</v>
      </c>
      <c r="M1156" s="7">
        <v>30.39</v>
      </c>
      <c r="N1156" s="7">
        <v>1362.3</v>
      </c>
      <c r="O1156" t="s">
        <v>20</v>
      </c>
    </row>
    <row r="1157" spans="1:15" x14ac:dyDescent="0.3">
      <c r="A1157" t="s">
        <v>1182</v>
      </c>
      <c r="B1157" t="s">
        <v>15</v>
      </c>
      <c r="C1157">
        <v>47</v>
      </c>
      <c r="D1157" t="s">
        <v>20</v>
      </c>
      <c r="E1157">
        <v>41</v>
      </c>
      <c r="F1157" t="str">
        <f t="shared" si="18"/>
        <v>25-48 Months</v>
      </c>
      <c r="G1157" t="s">
        <v>35</v>
      </c>
      <c r="H1157" t="s">
        <v>18</v>
      </c>
      <c r="I1157" t="s">
        <v>30</v>
      </c>
      <c r="J1157" t="s">
        <v>20</v>
      </c>
      <c r="K1157" t="s">
        <v>20</v>
      </c>
      <c r="L1157">
        <v>2</v>
      </c>
      <c r="M1157" s="7">
        <v>70.59</v>
      </c>
      <c r="N1157" s="7">
        <v>3100.16</v>
      </c>
      <c r="O1157" t="s">
        <v>20</v>
      </c>
    </row>
    <row r="1158" spans="1:15" x14ac:dyDescent="0.3">
      <c r="A1158" t="s">
        <v>1183</v>
      </c>
      <c r="B1158" t="s">
        <v>22</v>
      </c>
      <c r="C1158">
        <v>62</v>
      </c>
      <c r="D1158" t="s">
        <v>16</v>
      </c>
      <c r="E1158">
        <v>42</v>
      </c>
      <c r="F1158" t="str">
        <f t="shared" si="18"/>
        <v>25-48 Months</v>
      </c>
      <c r="G1158" t="s">
        <v>23</v>
      </c>
      <c r="H1158" t="s">
        <v>36</v>
      </c>
      <c r="I1158" t="s">
        <v>27</v>
      </c>
      <c r="J1158" t="s">
        <v>16</v>
      </c>
      <c r="K1158" t="s">
        <v>20</v>
      </c>
      <c r="L1158">
        <v>6</v>
      </c>
      <c r="M1158" s="7">
        <v>69.22</v>
      </c>
      <c r="N1158" s="7">
        <v>3128.69</v>
      </c>
      <c r="O1158" t="s">
        <v>20</v>
      </c>
    </row>
    <row r="1159" spans="1:15" x14ac:dyDescent="0.3">
      <c r="A1159" t="s">
        <v>1184</v>
      </c>
      <c r="B1159" t="s">
        <v>15</v>
      </c>
      <c r="C1159">
        <v>40</v>
      </c>
      <c r="D1159" t="s">
        <v>20</v>
      </c>
      <c r="E1159">
        <v>50</v>
      </c>
      <c r="F1159" t="str">
        <f t="shared" si="18"/>
        <v>49+ Months</v>
      </c>
      <c r="G1159" t="s">
        <v>17</v>
      </c>
      <c r="H1159" t="s">
        <v>18</v>
      </c>
      <c r="I1159" t="s">
        <v>24</v>
      </c>
      <c r="J1159" t="s">
        <v>20</v>
      </c>
      <c r="K1159" t="s">
        <v>20</v>
      </c>
      <c r="L1159">
        <v>4</v>
      </c>
      <c r="M1159" s="7">
        <v>77.06</v>
      </c>
      <c r="N1159" s="7">
        <v>4095.96</v>
      </c>
      <c r="O1159" t="s">
        <v>20</v>
      </c>
    </row>
    <row r="1160" spans="1:15" x14ac:dyDescent="0.3">
      <c r="A1160" t="s">
        <v>1185</v>
      </c>
      <c r="B1160" t="s">
        <v>22</v>
      </c>
      <c r="C1160">
        <v>45</v>
      </c>
      <c r="D1160" t="s">
        <v>20</v>
      </c>
      <c r="E1160">
        <v>40</v>
      </c>
      <c r="F1160" t="str">
        <f t="shared" si="18"/>
        <v>25-48 Months</v>
      </c>
      <c r="G1160" t="s">
        <v>17</v>
      </c>
      <c r="H1160" t="s">
        <v>20</v>
      </c>
      <c r="I1160" t="s">
        <v>30</v>
      </c>
      <c r="J1160" t="s">
        <v>16</v>
      </c>
      <c r="K1160" t="s">
        <v>20</v>
      </c>
      <c r="L1160">
        <v>4</v>
      </c>
      <c r="M1160" s="7">
        <v>39.090000000000003</v>
      </c>
      <c r="N1160" s="7">
        <v>1489.58</v>
      </c>
      <c r="O1160" t="s">
        <v>20</v>
      </c>
    </row>
    <row r="1161" spans="1:15" x14ac:dyDescent="0.3">
      <c r="A1161" t="s">
        <v>1186</v>
      </c>
      <c r="B1161" t="s">
        <v>22</v>
      </c>
      <c r="C1161">
        <v>68</v>
      </c>
      <c r="D1161" t="s">
        <v>16</v>
      </c>
      <c r="E1161">
        <v>39</v>
      </c>
      <c r="F1161" t="str">
        <f t="shared" si="18"/>
        <v>25-48 Months</v>
      </c>
      <c r="G1161" t="s">
        <v>23</v>
      </c>
      <c r="H1161" t="s">
        <v>36</v>
      </c>
      <c r="I1161" t="s">
        <v>24</v>
      </c>
      <c r="J1161" t="s">
        <v>20</v>
      </c>
      <c r="K1161" t="s">
        <v>20</v>
      </c>
      <c r="L1161">
        <v>3</v>
      </c>
      <c r="M1161" s="7">
        <v>65.86</v>
      </c>
      <c r="N1161" s="7">
        <v>2443.0300000000002</v>
      </c>
      <c r="O1161" t="s">
        <v>20</v>
      </c>
    </row>
    <row r="1162" spans="1:15" x14ac:dyDescent="0.3">
      <c r="A1162" t="s">
        <v>1187</v>
      </c>
      <c r="B1162" t="s">
        <v>22</v>
      </c>
      <c r="C1162">
        <v>57</v>
      </c>
      <c r="D1162" t="s">
        <v>20</v>
      </c>
      <c r="E1162">
        <v>23</v>
      </c>
      <c r="F1162" t="str">
        <f t="shared" si="18"/>
        <v>13-24 Months</v>
      </c>
      <c r="G1162" t="s">
        <v>17</v>
      </c>
      <c r="H1162" t="s">
        <v>18</v>
      </c>
      <c r="I1162" t="s">
        <v>27</v>
      </c>
      <c r="J1162" t="s">
        <v>16</v>
      </c>
      <c r="K1162" t="s">
        <v>16</v>
      </c>
      <c r="L1162">
        <v>4</v>
      </c>
      <c r="M1162" s="7">
        <v>89.96</v>
      </c>
      <c r="N1162" s="7">
        <v>2110.7199999999998</v>
      </c>
      <c r="O1162" t="s">
        <v>20</v>
      </c>
    </row>
    <row r="1163" spans="1:15" x14ac:dyDescent="0.3">
      <c r="A1163" t="s">
        <v>1188</v>
      </c>
      <c r="B1163" t="s">
        <v>15</v>
      </c>
      <c r="C1163">
        <v>71</v>
      </c>
      <c r="D1163" t="s">
        <v>16</v>
      </c>
      <c r="E1163">
        <v>52</v>
      </c>
      <c r="F1163" t="str">
        <f t="shared" si="18"/>
        <v>49+ Months</v>
      </c>
      <c r="G1163" t="s">
        <v>17</v>
      </c>
      <c r="H1163" t="s">
        <v>18</v>
      </c>
      <c r="I1163" t="s">
        <v>19</v>
      </c>
      <c r="J1163" t="s">
        <v>20</v>
      </c>
      <c r="K1163" t="s">
        <v>20</v>
      </c>
      <c r="L1163">
        <v>3</v>
      </c>
      <c r="M1163" s="7">
        <v>68.58</v>
      </c>
      <c r="N1163" s="7">
        <v>3591.3</v>
      </c>
      <c r="O1163" t="s">
        <v>20</v>
      </c>
    </row>
    <row r="1164" spans="1:15" x14ac:dyDescent="0.3">
      <c r="A1164" t="s">
        <v>1189</v>
      </c>
      <c r="B1164" t="s">
        <v>22</v>
      </c>
      <c r="C1164">
        <v>22</v>
      </c>
      <c r="D1164" t="s">
        <v>20</v>
      </c>
      <c r="E1164">
        <v>47</v>
      </c>
      <c r="F1164" t="str">
        <f t="shared" si="18"/>
        <v>25-48 Months</v>
      </c>
      <c r="G1164" t="s">
        <v>17</v>
      </c>
      <c r="H1164" t="s">
        <v>36</v>
      </c>
      <c r="I1164" t="s">
        <v>27</v>
      </c>
      <c r="J1164" t="s">
        <v>20</v>
      </c>
      <c r="K1164" t="s">
        <v>16</v>
      </c>
      <c r="L1164">
        <v>4</v>
      </c>
      <c r="M1164" s="7">
        <v>54.84</v>
      </c>
      <c r="N1164" s="7">
        <v>2375.21</v>
      </c>
      <c r="O1164" t="s">
        <v>20</v>
      </c>
    </row>
    <row r="1165" spans="1:15" x14ac:dyDescent="0.3">
      <c r="A1165" t="s">
        <v>1190</v>
      </c>
      <c r="B1165" t="s">
        <v>22</v>
      </c>
      <c r="C1165">
        <v>37</v>
      </c>
      <c r="D1165" t="s">
        <v>20</v>
      </c>
      <c r="E1165">
        <v>63</v>
      </c>
      <c r="F1165" t="str">
        <f t="shared" si="18"/>
        <v>49+ Months</v>
      </c>
      <c r="G1165" t="s">
        <v>35</v>
      </c>
      <c r="H1165" t="s">
        <v>36</v>
      </c>
      <c r="I1165" t="s">
        <v>19</v>
      </c>
      <c r="J1165" t="s">
        <v>16</v>
      </c>
      <c r="K1165" t="s">
        <v>20</v>
      </c>
      <c r="L1165">
        <v>5</v>
      </c>
      <c r="M1165" s="7">
        <v>59.22</v>
      </c>
      <c r="N1165" s="7">
        <v>3666.23</v>
      </c>
      <c r="O1165" t="s">
        <v>20</v>
      </c>
    </row>
    <row r="1166" spans="1:15" x14ac:dyDescent="0.3">
      <c r="A1166" t="s">
        <v>1191</v>
      </c>
      <c r="B1166" t="s">
        <v>15</v>
      </c>
      <c r="C1166">
        <v>57</v>
      </c>
      <c r="D1166" t="s">
        <v>20</v>
      </c>
      <c r="E1166">
        <v>69</v>
      </c>
      <c r="F1166" t="str">
        <f t="shared" si="18"/>
        <v>49+ Months</v>
      </c>
      <c r="G1166" t="s">
        <v>17</v>
      </c>
      <c r="H1166" t="s">
        <v>18</v>
      </c>
      <c r="I1166" t="s">
        <v>24</v>
      </c>
      <c r="J1166" t="s">
        <v>20</v>
      </c>
      <c r="K1166" t="s">
        <v>16</v>
      </c>
      <c r="L1166">
        <v>2</v>
      </c>
      <c r="M1166" s="7">
        <v>70.78</v>
      </c>
      <c r="N1166" s="7">
        <v>5201.6099999999997</v>
      </c>
      <c r="O1166" t="s">
        <v>20</v>
      </c>
    </row>
    <row r="1167" spans="1:15" x14ac:dyDescent="0.3">
      <c r="A1167" t="s">
        <v>1192</v>
      </c>
      <c r="B1167" t="s">
        <v>22</v>
      </c>
      <c r="C1167">
        <v>73</v>
      </c>
      <c r="D1167" t="s">
        <v>16</v>
      </c>
      <c r="E1167">
        <v>43</v>
      </c>
      <c r="F1167" t="str">
        <f t="shared" si="18"/>
        <v>25-48 Months</v>
      </c>
      <c r="G1167" t="s">
        <v>23</v>
      </c>
      <c r="H1167" t="s">
        <v>18</v>
      </c>
      <c r="I1167" t="s">
        <v>24</v>
      </c>
      <c r="J1167" t="s">
        <v>20</v>
      </c>
      <c r="K1167" t="s">
        <v>20</v>
      </c>
      <c r="L1167">
        <v>3</v>
      </c>
      <c r="M1167" s="7">
        <v>74.430000000000007</v>
      </c>
      <c r="N1167" s="7">
        <v>3404.48</v>
      </c>
      <c r="O1167" t="s">
        <v>16</v>
      </c>
    </row>
    <row r="1168" spans="1:15" x14ac:dyDescent="0.3">
      <c r="A1168" t="s">
        <v>1193</v>
      </c>
      <c r="B1168" t="s">
        <v>15</v>
      </c>
      <c r="C1168">
        <v>61</v>
      </c>
      <c r="D1168" t="s">
        <v>16</v>
      </c>
      <c r="E1168">
        <v>48</v>
      </c>
      <c r="F1168" t="str">
        <f t="shared" si="18"/>
        <v>25-48 Months</v>
      </c>
      <c r="G1168" t="s">
        <v>35</v>
      </c>
      <c r="H1168" t="s">
        <v>20</v>
      </c>
      <c r="I1168" t="s">
        <v>24</v>
      </c>
      <c r="J1168" t="s">
        <v>16</v>
      </c>
      <c r="K1168" t="s">
        <v>16</v>
      </c>
      <c r="L1168">
        <v>4</v>
      </c>
      <c r="M1168" s="7">
        <v>53.02</v>
      </c>
      <c r="N1168" s="7">
        <v>2424.39</v>
      </c>
      <c r="O1168" t="s">
        <v>20</v>
      </c>
    </row>
    <row r="1169" spans="1:15" x14ac:dyDescent="0.3">
      <c r="A1169" t="s">
        <v>1194</v>
      </c>
      <c r="B1169" t="s">
        <v>22</v>
      </c>
      <c r="C1169">
        <v>18</v>
      </c>
      <c r="D1169" t="s">
        <v>20</v>
      </c>
      <c r="E1169">
        <v>34</v>
      </c>
      <c r="F1169" t="str">
        <f t="shared" si="18"/>
        <v>25-48 Months</v>
      </c>
      <c r="G1169" t="s">
        <v>17</v>
      </c>
      <c r="H1169" t="s">
        <v>18</v>
      </c>
      <c r="I1169" t="s">
        <v>24</v>
      </c>
      <c r="J1169" t="s">
        <v>16</v>
      </c>
      <c r="K1169" t="s">
        <v>20</v>
      </c>
      <c r="L1169">
        <v>4</v>
      </c>
      <c r="M1169" s="7">
        <v>77.7</v>
      </c>
      <c r="N1169" s="7">
        <v>2591.91</v>
      </c>
      <c r="O1169" t="s">
        <v>20</v>
      </c>
    </row>
    <row r="1170" spans="1:15" x14ac:dyDescent="0.3">
      <c r="A1170" t="s">
        <v>1195</v>
      </c>
      <c r="B1170" t="s">
        <v>15</v>
      </c>
      <c r="C1170">
        <v>74</v>
      </c>
      <c r="D1170" t="s">
        <v>16</v>
      </c>
      <c r="E1170">
        <v>40</v>
      </c>
      <c r="F1170" t="str">
        <f t="shared" si="18"/>
        <v>25-48 Months</v>
      </c>
      <c r="G1170" t="s">
        <v>17</v>
      </c>
      <c r="H1170" t="s">
        <v>36</v>
      </c>
      <c r="I1170" t="s">
        <v>30</v>
      </c>
      <c r="J1170" t="s">
        <v>20</v>
      </c>
      <c r="K1170" t="s">
        <v>16</v>
      </c>
      <c r="L1170">
        <v>2</v>
      </c>
      <c r="M1170" s="7">
        <v>43.79</v>
      </c>
      <c r="N1170" s="7">
        <v>1768.52</v>
      </c>
      <c r="O1170" t="s">
        <v>20</v>
      </c>
    </row>
    <row r="1171" spans="1:15" x14ac:dyDescent="0.3">
      <c r="A1171" t="s">
        <v>1196</v>
      </c>
      <c r="B1171" t="s">
        <v>15</v>
      </c>
      <c r="C1171">
        <v>47</v>
      </c>
      <c r="D1171" t="s">
        <v>20</v>
      </c>
      <c r="E1171">
        <v>61</v>
      </c>
      <c r="F1171" t="str">
        <f t="shared" si="18"/>
        <v>49+ Months</v>
      </c>
      <c r="G1171" t="s">
        <v>17</v>
      </c>
      <c r="H1171" t="s">
        <v>36</v>
      </c>
      <c r="I1171" t="s">
        <v>24</v>
      </c>
      <c r="J1171" t="s">
        <v>16</v>
      </c>
      <c r="K1171" t="s">
        <v>16</v>
      </c>
      <c r="L1171">
        <v>3</v>
      </c>
      <c r="M1171" s="7">
        <v>50.88</v>
      </c>
      <c r="N1171" s="7">
        <v>3278.87</v>
      </c>
      <c r="O1171" t="s">
        <v>20</v>
      </c>
    </row>
    <row r="1172" spans="1:15" x14ac:dyDescent="0.3">
      <c r="A1172" t="s">
        <v>1197</v>
      </c>
      <c r="B1172" t="s">
        <v>22</v>
      </c>
      <c r="C1172">
        <v>38</v>
      </c>
      <c r="D1172" t="s">
        <v>20</v>
      </c>
      <c r="E1172">
        <v>50</v>
      </c>
      <c r="F1172" t="str">
        <f t="shared" si="18"/>
        <v>49+ Months</v>
      </c>
      <c r="G1172" t="s">
        <v>23</v>
      </c>
      <c r="H1172" t="s">
        <v>20</v>
      </c>
      <c r="I1172" t="s">
        <v>30</v>
      </c>
      <c r="J1172" t="s">
        <v>16</v>
      </c>
      <c r="K1172" t="s">
        <v>16</v>
      </c>
      <c r="L1172">
        <v>2</v>
      </c>
      <c r="M1172" s="7">
        <v>35.61</v>
      </c>
      <c r="N1172" s="7">
        <v>1789.61</v>
      </c>
      <c r="O1172" t="s">
        <v>20</v>
      </c>
    </row>
    <row r="1173" spans="1:15" x14ac:dyDescent="0.3">
      <c r="A1173" t="s">
        <v>1198</v>
      </c>
      <c r="B1173" t="s">
        <v>15</v>
      </c>
      <c r="C1173">
        <v>37</v>
      </c>
      <c r="D1173" t="s">
        <v>20</v>
      </c>
      <c r="E1173">
        <v>67</v>
      </c>
      <c r="F1173" t="str">
        <f t="shared" si="18"/>
        <v>49+ Months</v>
      </c>
      <c r="G1173" t="s">
        <v>23</v>
      </c>
      <c r="H1173" t="s">
        <v>20</v>
      </c>
      <c r="I1173" t="s">
        <v>19</v>
      </c>
      <c r="J1173" t="s">
        <v>16</v>
      </c>
      <c r="K1173" t="s">
        <v>20</v>
      </c>
      <c r="L1173">
        <v>1</v>
      </c>
      <c r="M1173" s="7">
        <v>27.2</v>
      </c>
      <c r="N1173" s="7">
        <v>1958.92</v>
      </c>
      <c r="O1173" t="s">
        <v>20</v>
      </c>
    </row>
    <row r="1174" spans="1:15" x14ac:dyDescent="0.3">
      <c r="A1174" t="s">
        <v>1199</v>
      </c>
      <c r="B1174" t="s">
        <v>15</v>
      </c>
      <c r="C1174">
        <v>23</v>
      </c>
      <c r="D1174" t="s">
        <v>20</v>
      </c>
      <c r="E1174">
        <v>62</v>
      </c>
      <c r="F1174" t="str">
        <f t="shared" si="18"/>
        <v>49+ Months</v>
      </c>
      <c r="G1174" t="s">
        <v>35</v>
      </c>
      <c r="H1174" t="s">
        <v>20</v>
      </c>
      <c r="I1174" t="s">
        <v>30</v>
      </c>
      <c r="J1174" t="s">
        <v>20</v>
      </c>
      <c r="K1174" t="s">
        <v>20</v>
      </c>
      <c r="L1174">
        <v>3</v>
      </c>
      <c r="M1174" s="7">
        <v>39.200000000000003</v>
      </c>
      <c r="N1174" s="7">
        <v>2546.69</v>
      </c>
      <c r="O1174" t="s">
        <v>20</v>
      </c>
    </row>
    <row r="1175" spans="1:15" x14ac:dyDescent="0.3">
      <c r="A1175" t="s">
        <v>1200</v>
      </c>
      <c r="B1175" t="s">
        <v>15</v>
      </c>
      <c r="C1175">
        <v>39</v>
      </c>
      <c r="D1175" t="s">
        <v>20</v>
      </c>
      <c r="E1175">
        <v>58</v>
      </c>
      <c r="F1175" t="str">
        <f t="shared" si="18"/>
        <v>49+ Months</v>
      </c>
      <c r="G1175" t="s">
        <v>23</v>
      </c>
      <c r="H1175" t="s">
        <v>18</v>
      </c>
      <c r="I1175" t="s">
        <v>30</v>
      </c>
      <c r="J1175" t="s">
        <v>20</v>
      </c>
      <c r="K1175" t="s">
        <v>20</v>
      </c>
      <c r="L1175">
        <v>6</v>
      </c>
      <c r="M1175" s="7">
        <v>85.29</v>
      </c>
      <c r="N1175" s="7">
        <v>5305.44</v>
      </c>
      <c r="O1175" t="s">
        <v>20</v>
      </c>
    </row>
    <row r="1176" spans="1:15" x14ac:dyDescent="0.3">
      <c r="A1176" t="s">
        <v>1201</v>
      </c>
      <c r="B1176" t="s">
        <v>15</v>
      </c>
      <c r="C1176">
        <v>35</v>
      </c>
      <c r="D1176" t="s">
        <v>20</v>
      </c>
      <c r="E1176">
        <v>33</v>
      </c>
      <c r="F1176" t="str">
        <f t="shared" si="18"/>
        <v>25-48 Months</v>
      </c>
      <c r="G1176" t="s">
        <v>17</v>
      </c>
      <c r="H1176" t="s">
        <v>20</v>
      </c>
      <c r="I1176" t="s">
        <v>30</v>
      </c>
      <c r="J1176" t="s">
        <v>16</v>
      </c>
      <c r="K1176" t="s">
        <v>20</v>
      </c>
      <c r="L1176">
        <v>3</v>
      </c>
      <c r="M1176" s="7">
        <v>42.07</v>
      </c>
      <c r="N1176" s="7">
        <v>1439.73</v>
      </c>
      <c r="O1176" t="s">
        <v>20</v>
      </c>
    </row>
    <row r="1177" spans="1:15" x14ac:dyDescent="0.3">
      <c r="A1177" t="s">
        <v>1202</v>
      </c>
      <c r="B1177" t="s">
        <v>15</v>
      </c>
      <c r="C1177">
        <v>25</v>
      </c>
      <c r="D1177" t="s">
        <v>20</v>
      </c>
      <c r="E1177">
        <v>16</v>
      </c>
      <c r="F1177" t="str">
        <f t="shared" si="18"/>
        <v>13-24 Months</v>
      </c>
      <c r="G1177" t="s">
        <v>17</v>
      </c>
      <c r="H1177" t="s">
        <v>18</v>
      </c>
      <c r="I1177" t="s">
        <v>27</v>
      </c>
      <c r="J1177" t="s">
        <v>20</v>
      </c>
      <c r="K1177" t="s">
        <v>20</v>
      </c>
      <c r="L1177">
        <v>8</v>
      </c>
      <c r="M1177" s="7">
        <v>94.38</v>
      </c>
      <c r="N1177" s="7">
        <v>1601.32</v>
      </c>
      <c r="O1177" t="s">
        <v>20</v>
      </c>
    </row>
    <row r="1178" spans="1:15" x14ac:dyDescent="0.3">
      <c r="A1178" t="s">
        <v>1203</v>
      </c>
      <c r="B1178" t="s">
        <v>15</v>
      </c>
      <c r="C1178">
        <v>56</v>
      </c>
      <c r="D1178" t="s">
        <v>20</v>
      </c>
      <c r="E1178">
        <v>48</v>
      </c>
      <c r="F1178" t="str">
        <f t="shared" si="18"/>
        <v>25-48 Months</v>
      </c>
      <c r="G1178" t="s">
        <v>23</v>
      </c>
      <c r="H1178" t="s">
        <v>36</v>
      </c>
      <c r="I1178" t="s">
        <v>24</v>
      </c>
      <c r="J1178" t="s">
        <v>20</v>
      </c>
      <c r="K1178" t="s">
        <v>20</v>
      </c>
      <c r="L1178">
        <v>4</v>
      </c>
      <c r="M1178" s="7">
        <v>50.49</v>
      </c>
      <c r="N1178" s="7">
        <v>2551.87</v>
      </c>
      <c r="O1178" t="s">
        <v>20</v>
      </c>
    </row>
    <row r="1179" spans="1:15" x14ac:dyDescent="0.3">
      <c r="A1179" t="s">
        <v>1204</v>
      </c>
      <c r="B1179" t="s">
        <v>22</v>
      </c>
      <c r="C1179">
        <v>49</v>
      </c>
      <c r="D1179" t="s">
        <v>20</v>
      </c>
      <c r="E1179">
        <v>10</v>
      </c>
      <c r="F1179" t="str">
        <f t="shared" si="18"/>
        <v>7-12 Months</v>
      </c>
      <c r="G1179" t="s">
        <v>17</v>
      </c>
      <c r="H1179" t="s">
        <v>36</v>
      </c>
      <c r="I1179" t="s">
        <v>19</v>
      </c>
      <c r="J1179" t="s">
        <v>16</v>
      </c>
      <c r="K1179" t="s">
        <v>20</v>
      </c>
      <c r="L1179">
        <v>1</v>
      </c>
      <c r="M1179" s="7">
        <v>44.57</v>
      </c>
      <c r="N1179" s="7">
        <v>428.15</v>
      </c>
      <c r="O1179" t="s">
        <v>20</v>
      </c>
    </row>
    <row r="1180" spans="1:15" x14ac:dyDescent="0.3">
      <c r="A1180" t="s">
        <v>1205</v>
      </c>
      <c r="B1180" t="s">
        <v>15</v>
      </c>
      <c r="C1180">
        <v>50</v>
      </c>
      <c r="D1180" t="s">
        <v>20</v>
      </c>
      <c r="E1180">
        <v>38</v>
      </c>
      <c r="F1180" t="str">
        <f t="shared" si="18"/>
        <v>25-48 Months</v>
      </c>
      <c r="G1180" t="s">
        <v>17</v>
      </c>
      <c r="H1180" t="s">
        <v>18</v>
      </c>
      <c r="I1180" t="s">
        <v>19</v>
      </c>
      <c r="J1180" t="s">
        <v>16</v>
      </c>
      <c r="K1180" t="s">
        <v>20</v>
      </c>
      <c r="L1180">
        <v>5</v>
      </c>
      <c r="M1180" s="7">
        <v>98.48</v>
      </c>
      <c r="N1180" s="7">
        <v>3580.3</v>
      </c>
      <c r="O1180" t="s">
        <v>20</v>
      </c>
    </row>
    <row r="1181" spans="1:15" x14ac:dyDescent="0.3">
      <c r="A1181" t="s">
        <v>1206</v>
      </c>
      <c r="B1181" t="s">
        <v>15</v>
      </c>
      <c r="C1181">
        <v>70</v>
      </c>
      <c r="D1181" t="s">
        <v>16</v>
      </c>
      <c r="E1181">
        <v>19</v>
      </c>
      <c r="F1181" t="str">
        <f t="shared" si="18"/>
        <v>13-24 Months</v>
      </c>
      <c r="G1181" t="s">
        <v>17</v>
      </c>
      <c r="H1181" t="s">
        <v>20</v>
      </c>
      <c r="I1181" t="s">
        <v>19</v>
      </c>
      <c r="J1181" t="s">
        <v>20</v>
      </c>
      <c r="K1181" t="s">
        <v>16</v>
      </c>
      <c r="L1181">
        <v>4</v>
      </c>
      <c r="M1181" s="7">
        <v>49.65</v>
      </c>
      <c r="N1181" s="7">
        <v>998.35</v>
      </c>
      <c r="O1181" t="s">
        <v>20</v>
      </c>
    </row>
    <row r="1182" spans="1:15" x14ac:dyDescent="0.3">
      <c r="A1182" t="s">
        <v>1207</v>
      </c>
      <c r="B1182" t="s">
        <v>22</v>
      </c>
      <c r="C1182">
        <v>33</v>
      </c>
      <c r="D1182" t="s">
        <v>20</v>
      </c>
      <c r="E1182">
        <v>36</v>
      </c>
      <c r="F1182" t="str">
        <f t="shared" si="18"/>
        <v>25-48 Months</v>
      </c>
      <c r="G1182" t="s">
        <v>17</v>
      </c>
      <c r="H1182" t="s">
        <v>18</v>
      </c>
      <c r="I1182" t="s">
        <v>30</v>
      </c>
      <c r="J1182" t="s">
        <v>20</v>
      </c>
      <c r="K1182" t="s">
        <v>20</v>
      </c>
      <c r="L1182">
        <v>5</v>
      </c>
      <c r="M1182" s="7">
        <v>74.87</v>
      </c>
      <c r="N1182" s="7">
        <v>2516.21</v>
      </c>
      <c r="O1182" t="s">
        <v>20</v>
      </c>
    </row>
    <row r="1183" spans="1:15" x14ac:dyDescent="0.3">
      <c r="A1183" t="s">
        <v>1208</v>
      </c>
      <c r="B1183" t="s">
        <v>22</v>
      </c>
      <c r="C1183">
        <v>29</v>
      </c>
      <c r="D1183" t="s">
        <v>20</v>
      </c>
      <c r="E1183">
        <v>59</v>
      </c>
      <c r="F1183" t="str">
        <f t="shared" si="18"/>
        <v>49+ Months</v>
      </c>
      <c r="G1183" t="s">
        <v>17</v>
      </c>
      <c r="H1183" t="s">
        <v>36</v>
      </c>
      <c r="I1183" t="s">
        <v>19</v>
      </c>
      <c r="J1183" t="s">
        <v>20</v>
      </c>
      <c r="K1183" t="s">
        <v>16</v>
      </c>
      <c r="L1183">
        <v>4</v>
      </c>
      <c r="M1183" s="7">
        <v>71.45</v>
      </c>
      <c r="N1183" s="7">
        <v>4153.88</v>
      </c>
      <c r="O1183" t="s">
        <v>20</v>
      </c>
    </row>
    <row r="1184" spans="1:15" x14ac:dyDescent="0.3">
      <c r="A1184" t="s">
        <v>1209</v>
      </c>
      <c r="B1184" t="s">
        <v>22</v>
      </c>
      <c r="C1184">
        <v>55</v>
      </c>
      <c r="D1184" t="s">
        <v>20</v>
      </c>
      <c r="E1184">
        <v>63</v>
      </c>
      <c r="F1184" t="str">
        <f t="shared" si="18"/>
        <v>49+ Months</v>
      </c>
      <c r="G1184" t="s">
        <v>17</v>
      </c>
      <c r="H1184" t="s">
        <v>36</v>
      </c>
      <c r="I1184" t="s">
        <v>19</v>
      </c>
      <c r="J1184" t="s">
        <v>20</v>
      </c>
      <c r="K1184" t="s">
        <v>20</v>
      </c>
      <c r="L1184">
        <v>2</v>
      </c>
      <c r="M1184" s="7">
        <v>51.96</v>
      </c>
      <c r="N1184" s="7">
        <v>3441.43</v>
      </c>
      <c r="O1184" t="s">
        <v>16</v>
      </c>
    </row>
    <row r="1185" spans="1:15" x14ac:dyDescent="0.3">
      <c r="A1185" t="s">
        <v>1210</v>
      </c>
      <c r="B1185" t="s">
        <v>22</v>
      </c>
      <c r="C1185">
        <v>69</v>
      </c>
      <c r="D1185" t="s">
        <v>16</v>
      </c>
      <c r="E1185">
        <v>46</v>
      </c>
      <c r="F1185" t="str">
        <f t="shared" si="18"/>
        <v>25-48 Months</v>
      </c>
      <c r="G1185" t="s">
        <v>17</v>
      </c>
      <c r="H1185" t="s">
        <v>36</v>
      </c>
      <c r="I1185" t="s">
        <v>19</v>
      </c>
      <c r="J1185" t="s">
        <v>20</v>
      </c>
      <c r="K1185" t="s">
        <v>16</v>
      </c>
      <c r="L1185">
        <v>4</v>
      </c>
      <c r="M1185" s="7">
        <v>55.58</v>
      </c>
      <c r="N1185" s="7">
        <v>2684.82</v>
      </c>
      <c r="O1185" t="s">
        <v>20</v>
      </c>
    </row>
    <row r="1186" spans="1:15" x14ac:dyDescent="0.3">
      <c r="A1186" t="s">
        <v>1211</v>
      </c>
      <c r="B1186" t="s">
        <v>22</v>
      </c>
      <c r="C1186">
        <v>51</v>
      </c>
      <c r="D1186" t="s">
        <v>20</v>
      </c>
      <c r="E1186">
        <v>3</v>
      </c>
      <c r="F1186" t="str">
        <f t="shared" si="18"/>
        <v>0-6 Months</v>
      </c>
      <c r="G1186" t="s">
        <v>17</v>
      </c>
      <c r="H1186" t="s">
        <v>18</v>
      </c>
      <c r="I1186" t="s">
        <v>27</v>
      </c>
      <c r="J1186" t="s">
        <v>16</v>
      </c>
      <c r="K1186" t="s">
        <v>20</v>
      </c>
      <c r="L1186">
        <v>4</v>
      </c>
      <c r="M1186" s="7">
        <v>77.03</v>
      </c>
      <c r="N1186" s="7">
        <v>217.73</v>
      </c>
      <c r="O1186" t="s">
        <v>16</v>
      </c>
    </row>
    <row r="1187" spans="1:15" x14ac:dyDescent="0.3">
      <c r="A1187" t="s">
        <v>1212</v>
      </c>
      <c r="B1187" t="s">
        <v>22</v>
      </c>
      <c r="C1187">
        <v>31</v>
      </c>
      <c r="D1187" t="s">
        <v>20</v>
      </c>
      <c r="E1187">
        <v>65</v>
      </c>
      <c r="F1187" t="str">
        <f t="shared" si="18"/>
        <v>49+ Months</v>
      </c>
      <c r="G1187" t="s">
        <v>23</v>
      </c>
      <c r="H1187" t="s">
        <v>18</v>
      </c>
      <c r="I1187" t="s">
        <v>27</v>
      </c>
      <c r="J1187" t="s">
        <v>20</v>
      </c>
      <c r="K1187" t="s">
        <v>16</v>
      </c>
      <c r="L1187">
        <v>6</v>
      </c>
      <c r="M1187" s="7">
        <v>87.4</v>
      </c>
      <c r="N1187" s="7">
        <v>5669.83</v>
      </c>
      <c r="O1187" t="s">
        <v>20</v>
      </c>
    </row>
    <row r="1188" spans="1:15" x14ac:dyDescent="0.3">
      <c r="A1188" t="s">
        <v>1213</v>
      </c>
      <c r="B1188" t="s">
        <v>22</v>
      </c>
      <c r="C1188">
        <v>53</v>
      </c>
      <c r="D1188" t="s">
        <v>20</v>
      </c>
      <c r="E1188">
        <v>8</v>
      </c>
      <c r="F1188" t="str">
        <f t="shared" si="18"/>
        <v>7-12 Months</v>
      </c>
      <c r="G1188" t="s">
        <v>35</v>
      </c>
      <c r="H1188" t="s">
        <v>20</v>
      </c>
      <c r="I1188" t="s">
        <v>24</v>
      </c>
      <c r="J1188" t="s">
        <v>20</v>
      </c>
      <c r="K1188" t="s">
        <v>20</v>
      </c>
      <c r="L1188">
        <v>2</v>
      </c>
      <c r="M1188" s="7">
        <v>40.590000000000003</v>
      </c>
      <c r="N1188" s="7">
        <v>323.67</v>
      </c>
      <c r="O1188" t="s">
        <v>20</v>
      </c>
    </row>
    <row r="1189" spans="1:15" x14ac:dyDescent="0.3">
      <c r="A1189" t="s">
        <v>1214</v>
      </c>
      <c r="B1189" t="s">
        <v>15</v>
      </c>
      <c r="C1189">
        <v>50</v>
      </c>
      <c r="D1189" t="s">
        <v>20</v>
      </c>
      <c r="E1189">
        <v>51</v>
      </c>
      <c r="F1189" t="str">
        <f t="shared" si="18"/>
        <v>49+ Months</v>
      </c>
      <c r="G1189" t="s">
        <v>17</v>
      </c>
      <c r="H1189" t="s">
        <v>18</v>
      </c>
      <c r="I1189" t="s">
        <v>24</v>
      </c>
      <c r="J1189" t="s">
        <v>20</v>
      </c>
      <c r="K1189" t="s">
        <v>20</v>
      </c>
      <c r="L1189">
        <v>7</v>
      </c>
      <c r="M1189" s="7">
        <v>92.33</v>
      </c>
      <c r="N1189" s="7">
        <v>4576.0200000000004</v>
      </c>
      <c r="O1189" t="s">
        <v>20</v>
      </c>
    </row>
    <row r="1190" spans="1:15" x14ac:dyDescent="0.3">
      <c r="A1190" t="s">
        <v>1215</v>
      </c>
      <c r="B1190" t="s">
        <v>15</v>
      </c>
      <c r="C1190">
        <v>40</v>
      </c>
      <c r="D1190" t="s">
        <v>20</v>
      </c>
      <c r="E1190">
        <v>6</v>
      </c>
      <c r="F1190" t="str">
        <f t="shared" si="18"/>
        <v>0-6 Months</v>
      </c>
      <c r="G1190" t="s">
        <v>23</v>
      </c>
      <c r="H1190" t="s">
        <v>36</v>
      </c>
      <c r="I1190" t="s">
        <v>27</v>
      </c>
      <c r="J1190" t="s">
        <v>20</v>
      </c>
      <c r="K1190" t="s">
        <v>16</v>
      </c>
      <c r="L1190">
        <v>7</v>
      </c>
      <c r="M1190" s="7">
        <v>73.33</v>
      </c>
      <c r="N1190" s="7">
        <v>469.35</v>
      </c>
      <c r="O1190" t="s">
        <v>20</v>
      </c>
    </row>
    <row r="1191" spans="1:15" x14ac:dyDescent="0.3">
      <c r="A1191" t="s">
        <v>1216</v>
      </c>
      <c r="B1191" t="s">
        <v>22</v>
      </c>
      <c r="C1191">
        <v>67</v>
      </c>
      <c r="D1191" t="s">
        <v>16</v>
      </c>
      <c r="E1191">
        <v>39</v>
      </c>
      <c r="F1191" t="str">
        <f t="shared" si="18"/>
        <v>25-48 Months</v>
      </c>
      <c r="G1191" t="s">
        <v>17</v>
      </c>
      <c r="H1191" t="s">
        <v>18</v>
      </c>
      <c r="I1191" t="s">
        <v>27</v>
      </c>
      <c r="J1191" t="s">
        <v>16</v>
      </c>
      <c r="K1191" t="s">
        <v>16</v>
      </c>
      <c r="L1191">
        <v>6</v>
      </c>
      <c r="M1191" s="7">
        <v>95.48</v>
      </c>
      <c r="N1191" s="7">
        <v>3814.95</v>
      </c>
      <c r="O1191" t="s">
        <v>16</v>
      </c>
    </row>
    <row r="1192" spans="1:15" x14ac:dyDescent="0.3">
      <c r="A1192" t="s">
        <v>1217</v>
      </c>
      <c r="B1192" t="s">
        <v>15</v>
      </c>
      <c r="C1192">
        <v>62</v>
      </c>
      <c r="D1192" t="s">
        <v>16</v>
      </c>
      <c r="E1192">
        <v>60</v>
      </c>
      <c r="F1192" t="str">
        <f t="shared" si="18"/>
        <v>49+ Months</v>
      </c>
      <c r="G1192" t="s">
        <v>17</v>
      </c>
      <c r="H1192" t="s">
        <v>36</v>
      </c>
      <c r="I1192" t="s">
        <v>24</v>
      </c>
      <c r="J1192" t="s">
        <v>20</v>
      </c>
      <c r="K1192" t="s">
        <v>20</v>
      </c>
      <c r="L1192">
        <v>3</v>
      </c>
      <c r="M1192" s="7">
        <v>52.21</v>
      </c>
      <c r="N1192" s="7">
        <v>3373.28</v>
      </c>
      <c r="O1192" t="s">
        <v>20</v>
      </c>
    </row>
    <row r="1193" spans="1:15" x14ac:dyDescent="0.3">
      <c r="A1193" t="s">
        <v>1218</v>
      </c>
      <c r="B1193" t="s">
        <v>15</v>
      </c>
      <c r="C1193">
        <v>19</v>
      </c>
      <c r="D1193" t="s">
        <v>20</v>
      </c>
      <c r="E1193">
        <v>28</v>
      </c>
      <c r="F1193" t="str">
        <f t="shared" si="18"/>
        <v>25-48 Months</v>
      </c>
      <c r="G1193" t="s">
        <v>35</v>
      </c>
      <c r="H1193" t="s">
        <v>20</v>
      </c>
      <c r="I1193" t="s">
        <v>19</v>
      </c>
      <c r="J1193" t="s">
        <v>20</v>
      </c>
      <c r="K1193" t="s">
        <v>20</v>
      </c>
      <c r="L1193">
        <v>3</v>
      </c>
      <c r="M1193" s="7">
        <v>39.119999999999997</v>
      </c>
      <c r="N1193" s="7">
        <v>1019.43</v>
      </c>
      <c r="O1193" t="s">
        <v>20</v>
      </c>
    </row>
    <row r="1194" spans="1:15" x14ac:dyDescent="0.3">
      <c r="A1194" t="s">
        <v>1219</v>
      </c>
      <c r="B1194" t="s">
        <v>15</v>
      </c>
      <c r="C1194">
        <v>58</v>
      </c>
      <c r="D1194" t="s">
        <v>20</v>
      </c>
      <c r="E1194">
        <v>54</v>
      </c>
      <c r="F1194" t="str">
        <f t="shared" si="18"/>
        <v>49+ Months</v>
      </c>
      <c r="G1194" t="s">
        <v>23</v>
      </c>
      <c r="H1194" t="s">
        <v>36</v>
      </c>
      <c r="I1194" t="s">
        <v>27</v>
      </c>
      <c r="J1194" t="s">
        <v>20</v>
      </c>
      <c r="K1194" t="s">
        <v>20</v>
      </c>
      <c r="L1194">
        <v>5</v>
      </c>
      <c r="M1194" s="7">
        <v>66.069999999999993</v>
      </c>
      <c r="N1194" s="7">
        <v>3507.47</v>
      </c>
      <c r="O1194" t="s">
        <v>20</v>
      </c>
    </row>
    <row r="1195" spans="1:15" x14ac:dyDescent="0.3">
      <c r="A1195" t="s">
        <v>1220</v>
      </c>
      <c r="B1195" t="s">
        <v>22</v>
      </c>
      <c r="C1195">
        <v>38</v>
      </c>
      <c r="D1195" t="s">
        <v>20</v>
      </c>
      <c r="E1195">
        <v>37</v>
      </c>
      <c r="F1195" t="str">
        <f t="shared" si="18"/>
        <v>25-48 Months</v>
      </c>
      <c r="G1195" t="s">
        <v>35</v>
      </c>
      <c r="H1195" t="s">
        <v>36</v>
      </c>
      <c r="I1195" t="s">
        <v>30</v>
      </c>
      <c r="J1195" t="s">
        <v>16</v>
      </c>
      <c r="K1195" t="s">
        <v>16</v>
      </c>
      <c r="L1195">
        <v>4</v>
      </c>
      <c r="M1195" s="7">
        <v>59.94</v>
      </c>
      <c r="N1195" s="7">
        <v>2336.6999999999998</v>
      </c>
      <c r="O1195" t="s">
        <v>20</v>
      </c>
    </row>
    <row r="1196" spans="1:15" x14ac:dyDescent="0.3">
      <c r="A1196" t="s">
        <v>1221</v>
      </c>
      <c r="B1196" t="s">
        <v>22</v>
      </c>
      <c r="C1196">
        <v>19</v>
      </c>
      <c r="D1196" t="s">
        <v>20</v>
      </c>
      <c r="E1196">
        <v>9</v>
      </c>
      <c r="F1196" t="str">
        <f t="shared" si="18"/>
        <v>7-12 Months</v>
      </c>
      <c r="G1196" t="s">
        <v>17</v>
      </c>
      <c r="H1196" t="s">
        <v>18</v>
      </c>
      <c r="I1196" t="s">
        <v>24</v>
      </c>
      <c r="J1196" t="s">
        <v>20</v>
      </c>
      <c r="K1196" t="s">
        <v>20</v>
      </c>
      <c r="L1196">
        <v>2</v>
      </c>
      <c r="M1196" s="7">
        <v>74.489999999999995</v>
      </c>
      <c r="N1196" s="7">
        <v>662.12</v>
      </c>
      <c r="O1196" t="s">
        <v>16</v>
      </c>
    </row>
    <row r="1197" spans="1:15" x14ac:dyDescent="0.3">
      <c r="A1197" t="s">
        <v>1222</v>
      </c>
      <c r="B1197" t="s">
        <v>15</v>
      </c>
      <c r="C1197">
        <v>44</v>
      </c>
      <c r="D1197" t="s">
        <v>20</v>
      </c>
      <c r="E1197">
        <v>56</v>
      </c>
      <c r="F1197" t="str">
        <f t="shared" si="18"/>
        <v>49+ Months</v>
      </c>
      <c r="G1197" t="s">
        <v>17</v>
      </c>
      <c r="H1197" t="s">
        <v>36</v>
      </c>
      <c r="I1197" t="s">
        <v>30</v>
      </c>
      <c r="J1197" t="s">
        <v>16</v>
      </c>
      <c r="K1197" t="s">
        <v>20</v>
      </c>
      <c r="L1197">
        <v>5</v>
      </c>
      <c r="M1197" s="7">
        <v>58.16</v>
      </c>
      <c r="N1197" s="7">
        <v>3132.87</v>
      </c>
      <c r="O1197" t="s">
        <v>20</v>
      </c>
    </row>
    <row r="1198" spans="1:15" x14ac:dyDescent="0.3">
      <c r="A1198" t="s">
        <v>1223</v>
      </c>
      <c r="B1198" t="s">
        <v>22</v>
      </c>
      <c r="C1198">
        <v>74</v>
      </c>
      <c r="D1198" t="s">
        <v>16</v>
      </c>
      <c r="E1198">
        <v>59</v>
      </c>
      <c r="F1198" t="str">
        <f t="shared" si="18"/>
        <v>49+ Months</v>
      </c>
      <c r="G1198" t="s">
        <v>35</v>
      </c>
      <c r="H1198" t="s">
        <v>18</v>
      </c>
      <c r="I1198" t="s">
        <v>27</v>
      </c>
      <c r="J1198" t="s">
        <v>16</v>
      </c>
      <c r="K1198" t="s">
        <v>16</v>
      </c>
      <c r="L1198">
        <v>4</v>
      </c>
      <c r="M1198" s="7">
        <v>85.86</v>
      </c>
      <c r="N1198" s="7">
        <v>5469.22</v>
      </c>
      <c r="O1198" t="s">
        <v>20</v>
      </c>
    </row>
    <row r="1199" spans="1:15" x14ac:dyDescent="0.3">
      <c r="A1199" t="s">
        <v>1224</v>
      </c>
      <c r="B1199" t="s">
        <v>15</v>
      </c>
      <c r="C1199">
        <v>26</v>
      </c>
      <c r="D1199" t="s">
        <v>20</v>
      </c>
      <c r="E1199">
        <v>2</v>
      </c>
      <c r="F1199" t="str">
        <f t="shared" si="18"/>
        <v>0-6 Months</v>
      </c>
      <c r="G1199" t="s">
        <v>17</v>
      </c>
      <c r="H1199" t="s">
        <v>18</v>
      </c>
      <c r="I1199" t="s">
        <v>27</v>
      </c>
      <c r="J1199" t="s">
        <v>16</v>
      </c>
      <c r="K1199" t="s">
        <v>16</v>
      </c>
      <c r="L1199">
        <v>4</v>
      </c>
      <c r="M1199" s="7">
        <v>75.12</v>
      </c>
      <c r="N1199" s="7">
        <v>159.21</v>
      </c>
      <c r="O1199" t="s">
        <v>16</v>
      </c>
    </row>
    <row r="1200" spans="1:15" x14ac:dyDescent="0.3">
      <c r="A1200" t="s">
        <v>1225</v>
      </c>
      <c r="B1200" t="s">
        <v>15</v>
      </c>
      <c r="C1200">
        <v>18</v>
      </c>
      <c r="D1200" t="s">
        <v>20</v>
      </c>
      <c r="E1200">
        <v>61</v>
      </c>
      <c r="F1200" t="str">
        <f t="shared" si="18"/>
        <v>49+ Months</v>
      </c>
      <c r="G1200" t="s">
        <v>17</v>
      </c>
      <c r="H1200" t="s">
        <v>18</v>
      </c>
      <c r="I1200" t="s">
        <v>30</v>
      </c>
      <c r="J1200" t="s">
        <v>20</v>
      </c>
      <c r="K1200" t="s">
        <v>20</v>
      </c>
      <c r="L1200">
        <v>2</v>
      </c>
      <c r="M1200" s="7">
        <v>74.180000000000007</v>
      </c>
      <c r="N1200" s="7">
        <v>4558.63</v>
      </c>
      <c r="O1200" t="s">
        <v>20</v>
      </c>
    </row>
    <row r="1201" spans="1:15" x14ac:dyDescent="0.3">
      <c r="A1201" t="s">
        <v>1226</v>
      </c>
      <c r="B1201" t="s">
        <v>15</v>
      </c>
      <c r="C1201">
        <v>28</v>
      </c>
      <c r="D1201" t="s">
        <v>20</v>
      </c>
      <c r="E1201">
        <v>58</v>
      </c>
      <c r="F1201" t="str">
        <f t="shared" si="18"/>
        <v>49+ Months</v>
      </c>
      <c r="G1201" t="s">
        <v>23</v>
      </c>
      <c r="H1201" t="s">
        <v>36</v>
      </c>
      <c r="I1201" t="s">
        <v>30</v>
      </c>
      <c r="J1201" t="s">
        <v>16</v>
      </c>
      <c r="K1201" t="s">
        <v>20</v>
      </c>
      <c r="L1201">
        <v>4</v>
      </c>
      <c r="M1201" s="7">
        <v>60.47</v>
      </c>
      <c r="N1201" s="7">
        <v>3541.89</v>
      </c>
      <c r="O1201" t="s">
        <v>20</v>
      </c>
    </row>
    <row r="1202" spans="1:15" x14ac:dyDescent="0.3">
      <c r="A1202" t="s">
        <v>1227</v>
      </c>
      <c r="B1202" t="s">
        <v>15</v>
      </c>
      <c r="C1202">
        <v>20</v>
      </c>
      <c r="D1202" t="s">
        <v>20</v>
      </c>
      <c r="E1202">
        <v>60</v>
      </c>
      <c r="F1202" t="str">
        <f t="shared" si="18"/>
        <v>49+ Months</v>
      </c>
      <c r="G1202" t="s">
        <v>35</v>
      </c>
      <c r="H1202" t="s">
        <v>36</v>
      </c>
      <c r="I1202" t="s">
        <v>24</v>
      </c>
      <c r="J1202" t="s">
        <v>20</v>
      </c>
      <c r="K1202" t="s">
        <v>16</v>
      </c>
      <c r="L1202">
        <v>2</v>
      </c>
      <c r="M1202" s="7">
        <v>46.19</v>
      </c>
      <c r="N1202" s="7">
        <v>2552.73</v>
      </c>
      <c r="O1202" t="s">
        <v>20</v>
      </c>
    </row>
    <row r="1203" spans="1:15" x14ac:dyDescent="0.3">
      <c r="A1203" t="s">
        <v>1228</v>
      </c>
      <c r="B1203" t="s">
        <v>22</v>
      </c>
      <c r="C1203">
        <v>69</v>
      </c>
      <c r="D1203" t="s">
        <v>16</v>
      </c>
      <c r="E1203">
        <v>40</v>
      </c>
      <c r="F1203" t="str">
        <f t="shared" si="18"/>
        <v>25-48 Months</v>
      </c>
      <c r="G1203" t="s">
        <v>35</v>
      </c>
      <c r="H1203" t="s">
        <v>18</v>
      </c>
      <c r="I1203" t="s">
        <v>27</v>
      </c>
      <c r="J1203" t="s">
        <v>16</v>
      </c>
      <c r="K1203" t="s">
        <v>20</v>
      </c>
      <c r="L1203">
        <v>3</v>
      </c>
      <c r="M1203" s="7">
        <v>86.36</v>
      </c>
      <c r="N1203" s="7">
        <v>3720.25</v>
      </c>
      <c r="O1203" t="s">
        <v>20</v>
      </c>
    </row>
    <row r="1204" spans="1:15" x14ac:dyDescent="0.3">
      <c r="A1204" t="s">
        <v>1229</v>
      </c>
      <c r="B1204" t="s">
        <v>22</v>
      </c>
      <c r="C1204">
        <v>40</v>
      </c>
      <c r="D1204" t="s">
        <v>20</v>
      </c>
      <c r="E1204">
        <v>36</v>
      </c>
      <c r="F1204" t="str">
        <f t="shared" si="18"/>
        <v>25-48 Months</v>
      </c>
      <c r="G1204" t="s">
        <v>17</v>
      </c>
      <c r="H1204" t="s">
        <v>18</v>
      </c>
      <c r="I1204" t="s">
        <v>24</v>
      </c>
      <c r="J1204" t="s">
        <v>16</v>
      </c>
      <c r="K1204" t="s">
        <v>16</v>
      </c>
      <c r="L1204">
        <v>3</v>
      </c>
      <c r="M1204" s="7">
        <v>87.02</v>
      </c>
      <c r="N1204" s="7">
        <v>3286.25</v>
      </c>
      <c r="O1204" t="s">
        <v>16</v>
      </c>
    </row>
    <row r="1205" spans="1:15" x14ac:dyDescent="0.3">
      <c r="A1205" t="s">
        <v>1230</v>
      </c>
      <c r="B1205" t="s">
        <v>22</v>
      </c>
      <c r="C1205">
        <v>43</v>
      </c>
      <c r="D1205" t="s">
        <v>20</v>
      </c>
      <c r="E1205">
        <v>37</v>
      </c>
      <c r="F1205" t="str">
        <f t="shared" si="18"/>
        <v>25-48 Months</v>
      </c>
      <c r="G1205" t="s">
        <v>35</v>
      </c>
      <c r="H1205" t="s">
        <v>18</v>
      </c>
      <c r="I1205" t="s">
        <v>27</v>
      </c>
      <c r="J1205" t="s">
        <v>20</v>
      </c>
      <c r="K1205" t="s">
        <v>20</v>
      </c>
      <c r="L1205">
        <v>2</v>
      </c>
      <c r="M1205" s="7">
        <v>64.55</v>
      </c>
      <c r="N1205" s="7">
        <v>2211.3200000000002</v>
      </c>
      <c r="O1205" t="s">
        <v>16</v>
      </c>
    </row>
    <row r="1206" spans="1:15" x14ac:dyDescent="0.3">
      <c r="A1206" t="s">
        <v>1231</v>
      </c>
      <c r="B1206" t="s">
        <v>15</v>
      </c>
      <c r="C1206">
        <v>21</v>
      </c>
      <c r="D1206" t="s">
        <v>20</v>
      </c>
      <c r="E1206">
        <v>18</v>
      </c>
      <c r="F1206" t="str">
        <f t="shared" si="18"/>
        <v>13-24 Months</v>
      </c>
      <c r="G1206" t="s">
        <v>17</v>
      </c>
      <c r="H1206" t="s">
        <v>20</v>
      </c>
      <c r="I1206" t="s">
        <v>19</v>
      </c>
      <c r="J1206" t="s">
        <v>16</v>
      </c>
      <c r="K1206" t="s">
        <v>20</v>
      </c>
      <c r="L1206">
        <v>2</v>
      </c>
      <c r="M1206" s="7">
        <v>38.6</v>
      </c>
      <c r="N1206" s="7">
        <v>658.82</v>
      </c>
      <c r="O1206" t="s">
        <v>20</v>
      </c>
    </row>
    <row r="1207" spans="1:15" x14ac:dyDescent="0.3">
      <c r="A1207" t="s">
        <v>1232</v>
      </c>
      <c r="B1207" t="s">
        <v>22</v>
      </c>
      <c r="C1207">
        <v>35</v>
      </c>
      <c r="D1207" t="s">
        <v>20</v>
      </c>
      <c r="E1207">
        <v>63</v>
      </c>
      <c r="F1207" t="str">
        <f t="shared" si="18"/>
        <v>49+ Months</v>
      </c>
      <c r="G1207" t="s">
        <v>17</v>
      </c>
      <c r="H1207" t="s">
        <v>36</v>
      </c>
      <c r="I1207" t="s">
        <v>27</v>
      </c>
      <c r="J1207" t="s">
        <v>20</v>
      </c>
      <c r="K1207" t="s">
        <v>16</v>
      </c>
      <c r="L1207">
        <v>2</v>
      </c>
      <c r="M1207" s="7">
        <v>50.14</v>
      </c>
      <c r="N1207" s="7">
        <v>3321.07</v>
      </c>
      <c r="O1207" t="s">
        <v>20</v>
      </c>
    </row>
    <row r="1208" spans="1:15" x14ac:dyDescent="0.3">
      <c r="A1208" t="s">
        <v>1233</v>
      </c>
      <c r="B1208" t="s">
        <v>15</v>
      </c>
      <c r="C1208">
        <v>72</v>
      </c>
      <c r="D1208" t="s">
        <v>16</v>
      </c>
      <c r="E1208">
        <v>22</v>
      </c>
      <c r="F1208" t="str">
        <f t="shared" si="18"/>
        <v>13-24 Months</v>
      </c>
      <c r="G1208" t="s">
        <v>23</v>
      </c>
      <c r="H1208" t="s">
        <v>18</v>
      </c>
      <c r="I1208" t="s">
        <v>24</v>
      </c>
      <c r="J1208" t="s">
        <v>20</v>
      </c>
      <c r="K1208" t="s">
        <v>20</v>
      </c>
      <c r="L1208">
        <v>2</v>
      </c>
      <c r="M1208" s="7">
        <v>66.28</v>
      </c>
      <c r="N1208" s="7">
        <v>1361.77</v>
      </c>
      <c r="O1208" t="s">
        <v>20</v>
      </c>
    </row>
    <row r="1209" spans="1:15" x14ac:dyDescent="0.3">
      <c r="A1209" t="s">
        <v>1234</v>
      </c>
      <c r="B1209" t="s">
        <v>22</v>
      </c>
      <c r="C1209">
        <v>23</v>
      </c>
      <c r="D1209" t="s">
        <v>20</v>
      </c>
      <c r="E1209">
        <v>11</v>
      </c>
      <c r="F1209" t="str">
        <f t="shared" si="18"/>
        <v>7-12 Months</v>
      </c>
      <c r="G1209" t="s">
        <v>17</v>
      </c>
      <c r="H1209" t="s">
        <v>18</v>
      </c>
      <c r="I1209" t="s">
        <v>19</v>
      </c>
      <c r="J1209" t="s">
        <v>20</v>
      </c>
      <c r="K1209" t="s">
        <v>20</v>
      </c>
      <c r="L1209">
        <v>5</v>
      </c>
      <c r="M1209" s="7">
        <v>85.58</v>
      </c>
      <c r="N1209" s="7">
        <v>1007.92</v>
      </c>
      <c r="O1209" t="s">
        <v>20</v>
      </c>
    </row>
    <row r="1210" spans="1:15" x14ac:dyDescent="0.3">
      <c r="A1210" t="s">
        <v>1235</v>
      </c>
      <c r="B1210" t="s">
        <v>15</v>
      </c>
      <c r="C1210">
        <v>52</v>
      </c>
      <c r="D1210" t="s">
        <v>20</v>
      </c>
      <c r="E1210">
        <v>58</v>
      </c>
      <c r="F1210" t="str">
        <f t="shared" si="18"/>
        <v>49+ Months</v>
      </c>
      <c r="G1210" t="s">
        <v>17</v>
      </c>
      <c r="H1210" t="s">
        <v>20</v>
      </c>
      <c r="I1210" t="s">
        <v>24</v>
      </c>
      <c r="J1210" t="s">
        <v>20</v>
      </c>
      <c r="K1210" t="s">
        <v>20</v>
      </c>
      <c r="L1210">
        <v>1</v>
      </c>
      <c r="M1210" s="7">
        <v>34.840000000000003</v>
      </c>
      <c r="N1210" s="7">
        <v>2182.34</v>
      </c>
      <c r="O1210" t="s">
        <v>20</v>
      </c>
    </row>
    <row r="1211" spans="1:15" x14ac:dyDescent="0.3">
      <c r="A1211" t="s">
        <v>1236</v>
      </c>
      <c r="B1211" t="s">
        <v>15</v>
      </c>
      <c r="C1211">
        <v>39</v>
      </c>
      <c r="D1211" t="s">
        <v>20</v>
      </c>
      <c r="E1211">
        <v>57</v>
      </c>
      <c r="F1211" t="str">
        <f t="shared" si="18"/>
        <v>49+ Months</v>
      </c>
      <c r="G1211" t="s">
        <v>23</v>
      </c>
      <c r="H1211" t="s">
        <v>18</v>
      </c>
      <c r="I1211" t="s">
        <v>30</v>
      </c>
      <c r="J1211" t="s">
        <v>20</v>
      </c>
      <c r="K1211" t="s">
        <v>16</v>
      </c>
      <c r="L1211">
        <v>6</v>
      </c>
      <c r="M1211" s="7">
        <v>88.13</v>
      </c>
      <c r="N1211" s="7">
        <v>5334</v>
      </c>
      <c r="O1211" t="s">
        <v>20</v>
      </c>
    </row>
    <row r="1212" spans="1:15" x14ac:dyDescent="0.3">
      <c r="A1212" t="s">
        <v>1237</v>
      </c>
      <c r="B1212" t="s">
        <v>15</v>
      </c>
      <c r="C1212">
        <v>60</v>
      </c>
      <c r="D1212" t="s">
        <v>16</v>
      </c>
      <c r="E1212">
        <v>4</v>
      </c>
      <c r="F1212" t="str">
        <f t="shared" si="18"/>
        <v>0-6 Months</v>
      </c>
      <c r="G1212" t="s">
        <v>17</v>
      </c>
      <c r="H1212" t="s">
        <v>20</v>
      </c>
      <c r="I1212" t="s">
        <v>27</v>
      </c>
      <c r="J1212" t="s">
        <v>20</v>
      </c>
      <c r="K1212" t="s">
        <v>16</v>
      </c>
      <c r="L1212">
        <v>2</v>
      </c>
      <c r="M1212" s="7">
        <v>30.46</v>
      </c>
      <c r="N1212" s="7">
        <v>126.5</v>
      </c>
      <c r="O1212" t="s">
        <v>20</v>
      </c>
    </row>
    <row r="1213" spans="1:15" x14ac:dyDescent="0.3">
      <c r="A1213" t="s">
        <v>1238</v>
      </c>
      <c r="B1213" t="s">
        <v>22</v>
      </c>
      <c r="C1213">
        <v>32</v>
      </c>
      <c r="D1213" t="s">
        <v>20</v>
      </c>
      <c r="E1213">
        <v>7</v>
      </c>
      <c r="F1213" t="str">
        <f t="shared" si="18"/>
        <v>7-12 Months</v>
      </c>
      <c r="G1213" t="s">
        <v>17</v>
      </c>
      <c r="H1213" t="s">
        <v>18</v>
      </c>
      <c r="I1213" t="s">
        <v>30</v>
      </c>
      <c r="J1213" t="s">
        <v>16</v>
      </c>
      <c r="K1213" t="s">
        <v>20</v>
      </c>
      <c r="L1213">
        <v>4</v>
      </c>
      <c r="M1213" s="7">
        <v>88.31</v>
      </c>
      <c r="N1213" s="7">
        <v>616.91</v>
      </c>
      <c r="O1213" t="s">
        <v>16</v>
      </c>
    </row>
    <row r="1214" spans="1:15" x14ac:dyDescent="0.3">
      <c r="A1214" t="s">
        <v>1239</v>
      </c>
      <c r="B1214" t="s">
        <v>22</v>
      </c>
      <c r="C1214">
        <v>39</v>
      </c>
      <c r="D1214" t="s">
        <v>20</v>
      </c>
      <c r="E1214">
        <v>61</v>
      </c>
      <c r="F1214" t="str">
        <f t="shared" si="18"/>
        <v>49+ Months</v>
      </c>
      <c r="G1214" t="s">
        <v>17</v>
      </c>
      <c r="H1214" t="s">
        <v>20</v>
      </c>
      <c r="I1214" t="s">
        <v>30</v>
      </c>
      <c r="J1214" t="s">
        <v>20</v>
      </c>
      <c r="K1214" t="s">
        <v>16</v>
      </c>
      <c r="L1214">
        <v>3</v>
      </c>
      <c r="M1214" s="7">
        <v>46.56</v>
      </c>
      <c r="N1214" s="7">
        <v>2650.41</v>
      </c>
      <c r="O1214" t="s">
        <v>20</v>
      </c>
    </row>
    <row r="1215" spans="1:15" x14ac:dyDescent="0.3">
      <c r="A1215" t="s">
        <v>1240</v>
      </c>
      <c r="B1215" t="s">
        <v>22</v>
      </c>
      <c r="C1215">
        <v>54</v>
      </c>
      <c r="D1215" t="s">
        <v>20</v>
      </c>
      <c r="E1215">
        <v>54</v>
      </c>
      <c r="F1215" t="str">
        <f t="shared" si="18"/>
        <v>49+ Months</v>
      </c>
      <c r="G1215" t="s">
        <v>17</v>
      </c>
      <c r="H1215" t="s">
        <v>20</v>
      </c>
      <c r="I1215" t="s">
        <v>24</v>
      </c>
      <c r="J1215" t="s">
        <v>20</v>
      </c>
      <c r="K1215" t="s">
        <v>20</v>
      </c>
      <c r="L1215">
        <v>1</v>
      </c>
      <c r="M1215" s="7">
        <v>24.22</v>
      </c>
      <c r="N1215" s="7">
        <v>1356.1</v>
      </c>
      <c r="O1215" t="s">
        <v>20</v>
      </c>
    </row>
    <row r="1216" spans="1:15" x14ac:dyDescent="0.3">
      <c r="A1216" t="s">
        <v>1241</v>
      </c>
      <c r="B1216" t="s">
        <v>22</v>
      </c>
      <c r="C1216">
        <v>69</v>
      </c>
      <c r="D1216" t="s">
        <v>16</v>
      </c>
      <c r="E1216">
        <v>68</v>
      </c>
      <c r="F1216" t="str">
        <f t="shared" si="18"/>
        <v>49+ Months</v>
      </c>
      <c r="G1216" t="s">
        <v>17</v>
      </c>
      <c r="H1216" t="s">
        <v>36</v>
      </c>
      <c r="I1216" t="s">
        <v>27</v>
      </c>
      <c r="J1216" t="s">
        <v>16</v>
      </c>
      <c r="K1216" t="s">
        <v>16</v>
      </c>
      <c r="L1216">
        <v>5</v>
      </c>
      <c r="M1216" s="7">
        <v>63.64</v>
      </c>
      <c r="N1216" s="7">
        <v>4256.1099999999997</v>
      </c>
      <c r="O1216" t="s">
        <v>20</v>
      </c>
    </row>
    <row r="1217" spans="1:15" x14ac:dyDescent="0.3">
      <c r="A1217" t="s">
        <v>1242</v>
      </c>
      <c r="B1217" t="s">
        <v>15</v>
      </c>
      <c r="C1217">
        <v>59</v>
      </c>
      <c r="D1217" t="s">
        <v>20</v>
      </c>
      <c r="E1217">
        <v>1</v>
      </c>
      <c r="F1217" t="str">
        <f t="shared" si="18"/>
        <v>0-6 Months</v>
      </c>
      <c r="G1217" t="s">
        <v>23</v>
      </c>
      <c r="H1217" t="s">
        <v>18</v>
      </c>
      <c r="I1217" t="s">
        <v>30</v>
      </c>
      <c r="J1217" t="s">
        <v>16</v>
      </c>
      <c r="K1217" t="s">
        <v>20</v>
      </c>
      <c r="L1217">
        <v>4</v>
      </c>
      <c r="M1217" s="7">
        <v>67.95</v>
      </c>
      <c r="N1217" s="7">
        <v>68.709999999999994</v>
      </c>
      <c r="O1217" t="s">
        <v>16</v>
      </c>
    </row>
    <row r="1218" spans="1:15" x14ac:dyDescent="0.3">
      <c r="A1218" t="s">
        <v>1243</v>
      </c>
      <c r="B1218" t="s">
        <v>22</v>
      </c>
      <c r="C1218">
        <v>29</v>
      </c>
      <c r="D1218" t="s">
        <v>20</v>
      </c>
      <c r="E1218">
        <v>55</v>
      </c>
      <c r="F1218" t="str">
        <f t="shared" ref="F1218:F1281" si="19">IF(E1218&lt;=6,"0-6 Months",
 IF(E1218&lt;=12,"7-12 Months",
 IF(E1218&lt;=24,"13-24 Months",
 IF(E1218&lt;=48,"25-48 Months","49+ Months"))))</f>
        <v>49+ Months</v>
      </c>
      <c r="G1218" t="s">
        <v>23</v>
      </c>
      <c r="H1218" t="s">
        <v>18</v>
      </c>
      <c r="I1218" t="s">
        <v>30</v>
      </c>
      <c r="J1218" t="s">
        <v>16</v>
      </c>
      <c r="K1218" t="s">
        <v>16</v>
      </c>
      <c r="L1218">
        <v>2</v>
      </c>
      <c r="M1218" s="7">
        <v>76.849999999999994</v>
      </c>
      <c r="N1218" s="7">
        <v>4087.02</v>
      </c>
      <c r="O1218" t="s">
        <v>20</v>
      </c>
    </row>
    <row r="1219" spans="1:15" x14ac:dyDescent="0.3">
      <c r="A1219" t="s">
        <v>1244</v>
      </c>
      <c r="B1219" t="s">
        <v>22</v>
      </c>
      <c r="C1219">
        <v>64</v>
      </c>
      <c r="D1219" t="s">
        <v>16</v>
      </c>
      <c r="E1219">
        <v>3</v>
      </c>
      <c r="F1219" t="str">
        <f t="shared" si="19"/>
        <v>0-6 Months</v>
      </c>
      <c r="G1219" t="s">
        <v>17</v>
      </c>
      <c r="H1219" t="s">
        <v>18</v>
      </c>
      <c r="I1219" t="s">
        <v>27</v>
      </c>
      <c r="J1219" t="s">
        <v>20</v>
      </c>
      <c r="K1219" t="s">
        <v>20</v>
      </c>
      <c r="L1219">
        <v>3</v>
      </c>
      <c r="M1219" s="7">
        <v>84.29</v>
      </c>
      <c r="N1219" s="7">
        <v>242.44</v>
      </c>
      <c r="O1219" t="s">
        <v>16</v>
      </c>
    </row>
    <row r="1220" spans="1:15" x14ac:dyDescent="0.3">
      <c r="A1220" t="s">
        <v>1245</v>
      </c>
      <c r="B1220" t="s">
        <v>15</v>
      </c>
      <c r="C1220">
        <v>66</v>
      </c>
      <c r="D1220" t="s">
        <v>16</v>
      </c>
      <c r="E1220">
        <v>38</v>
      </c>
      <c r="F1220" t="str">
        <f t="shared" si="19"/>
        <v>25-48 Months</v>
      </c>
      <c r="G1220" t="s">
        <v>35</v>
      </c>
      <c r="H1220" t="s">
        <v>36</v>
      </c>
      <c r="I1220" t="s">
        <v>30</v>
      </c>
      <c r="J1220" t="s">
        <v>20</v>
      </c>
      <c r="K1220" t="s">
        <v>20</v>
      </c>
      <c r="L1220">
        <v>2</v>
      </c>
      <c r="M1220" s="7">
        <v>53.73</v>
      </c>
      <c r="N1220" s="7">
        <v>1984.34</v>
      </c>
      <c r="O1220" t="s">
        <v>20</v>
      </c>
    </row>
    <row r="1221" spans="1:15" x14ac:dyDescent="0.3">
      <c r="A1221" t="s">
        <v>1246</v>
      </c>
      <c r="B1221" t="s">
        <v>15</v>
      </c>
      <c r="C1221">
        <v>59</v>
      </c>
      <c r="D1221" t="s">
        <v>20</v>
      </c>
      <c r="E1221">
        <v>1</v>
      </c>
      <c r="F1221" t="str">
        <f t="shared" si="19"/>
        <v>0-6 Months</v>
      </c>
      <c r="G1221" t="s">
        <v>17</v>
      </c>
      <c r="H1221" t="s">
        <v>18</v>
      </c>
      <c r="I1221" t="s">
        <v>19</v>
      </c>
      <c r="J1221" t="s">
        <v>20</v>
      </c>
      <c r="K1221" t="s">
        <v>16</v>
      </c>
      <c r="L1221">
        <v>4</v>
      </c>
      <c r="M1221" s="7">
        <v>71.75</v>
      </c>
      <c r="N1221" s="7">
        <v>75.349999999999994</v>
      </c>
      <c r="O1221" t="s">
        <v>20</v>
      </c>
    </row>
    <row r="1222" spans="1:15" x14ac:dyDescent="0.3">
      <c r="A1222" t="s">
        <v>1247</v>
      </c>
      <c r="B1222" t="s">
        <v>15</v>
      </c>
      <c r="C1222">
        <v>55</v>
      </c>
      <c r="D1222" t="s">
        <v>20</v>
      </c>
      <c r="E1222">
        <v>38</v>
      </c>
      <c r="F1222" t="str">
        <f t="shared" si="19"/>
        <v>25-48 Months</v>
      </c>
      <c r="G1222" t="s">
        <v>17</v>
      </c>
      <c r="H1222" t="s">
        <v>18</v>
      </c>
      <c r="I1222" t="s">
        <v>30</v>
      </c>
      <c r="J1222" t="s">
        <v>20</v>
      </c>
      <c r="K1222" t="s">
        <v>20</v>
      </c>
      <c r="L1222">
        <v>4</v>
      </c>
      <c r="M1222" s="7">
        <v>90.31</v>
      </c>
      <c r="N1222" s="7">
        <v>3391.42</v>
      </c>
      <c r="O1222" t="s">
        <v>20</v>
      </c>
    </row>
    <row r="1223" spans="1:15" x14ac:dyDescent="0.3">
      <c r="A1223" t="s">
        <v>1248</v>
      </c>
      <c r="B1223" t="s">
        <v>22</v>
      </c>
      <c r="C1223">
        <v>35</v>
      </c>
      <c r="D1223" t="s">
        <v>20</v>
      </c>
      <c r="E1223">
        <v>29</v>
      </c>
      <c r="F1223" t="str">
        <f t="shared" si="19"/>
        <v>25-48 Months</v>
      </c>
      <c r="G1223" t="s">
        <v>35</v>
      </c>
      <c r="H1223" t="s">
        <v>36</v>
      </c>
      <c r="I1223" t="s">
        <v>30</v>
      </c>
      <c r="J1223" t="s">
        <v>20</v>
      </c>
      <c r="K1223" t="s">
        <v>20</v>
      </c>
      <c r="L1223">
        <v>3</v>
      </c>
      <c r="M1223" s="7">
        <v>69.209999999999994</v>
      </c>
      <c r="N1223" s="7">
        <v>1946.62</v>
      </c>
      <c r="O1223" t="s">
        <v>20</v>
      </c>
    </row>
    <row r="1224" spans="1:15" x14ac:dyDescent="0.3">
      <c r="A1224" t="s">
        <v>1249</v>
      </c>
      <c r="B1224" t="s">
        <v>15</v>
      </c>
      <c r="C1224">
        <v>62</v>
      </c>
      <c r="D1224" t="s">
        <v>16</v>
      </c>
      <c r="E1224">
        <v>5</v>
      </c>
      <c r="F1224" t="str">
        <f t="shared" si="19"/>
        <v>0-6 Months</v>
      </c>
      <c r="G1224" t="s">
        <v>17</v>
      </c>
      <c r="H1224" t="s">
        <v>36</v>
      </c>
      <c r="I1224" t="s">
        <v>27</v>
      </c>
      <c r="J1224" t="s">
        <v>20</v>
      </c>
      <c r="K1224" t="s">
        <v>16</v>
      </c>
      <c r="L1224">
        <v>5</v>
      </c>
      <c r="M1224" s="7">
        <v>59.98</v>
      </c>
      <c r="N1224" s="7">
        <v>296.68</v>
      </c>
      <c r="O1224" t="s">
        <v>16</v>
      </c>
    </row>
    <row r="1225" spans="1:15" x14ac:dyDescent="0.3">
      <c r="A1225" t="s">
        <v>1250</v>
      </c>
      <c r="B1225" t="s">
        <v>15</v>
      </c>
      <c r="C1225">
        <v>52</v>
      </c>
      <c r="D1225" t="s">
        <v>20</v>
      </c>
      <c r="E1225">
        <v>21</v>
      </c>
      <c r="F1225" t="str">
        <f t="shared" si="19"/>
        <v>13-24 Months</v>
      </c>
      <c r="G1225" t="s">
        <v>35</v>
      </c>
      <c r="H1225" t="s">
        <v>18</v>
      </c>
      <c r="I1225" t="s">
        <v>27</v>
      </c>
      <c r="J1225" t="s">
        <v>16</v>
      </c>
      <c r="K1225" t="s">
        <v>20</v>
      </c>
      <c r="L1225">
        <v>6</v>
      </c>
      <c r="M1225" s="7">
        <v>90.12</v>
      </c>
      <c r="N1225" s="7">
        <v>1750.9</v>
      </c>
      <c r="O1225" t="s">
        <v>20</v>
      </c>
    </row>
    <row r="1226" spans="1:15" x14ac:dyDescent="0.3">
      <c r="A1226" t="s">
        <v>1251</v>
      </c>
      <c r="B1226" t="s">
        <v>15</v>
      </c>
      <c r="C1226">
        <v>47</v>
      </c>
      <c r="D1226" t="s">
        <v>20</v>
      </c>
      <c r="E1226">
        <v>71</v>
      </c>
      <c r="F1226" t="str">
        <f t="shared" si="19"/>
        <v>49+ Months</v>
      </c>
      <c r="G1226" t="s">
        <v>17</v>
      </c>
      <c r="H1226" t="s">
        <v>18</v>
      </c>
      <c r="I1226" t="s">
        <v>24</v>
      </c>
      <c r="J1226" t="s">
        <v>20</v>
      </c>
      <c r="K1226" t="s">
        <v>20</v>
      </c>
      <c r="L1226">
        <v>1</v>
      </c>
      <c r="M1226" s="7">
        <v>72.72</v>
      </c>
      <c r="N1226" s="7">
        <v>5485.8</v>
      </c>
      <c r="O1226" t="s">
        <v>20</v>
      </c>
    </row>
    <row r="1227" spans="1:15" x14ac:dyDescent="0.3">
      <c r="A1227" t="s">
        <v>1252</v>
      </c>
      <c r="B1227" t="s">
        <v>22</v>
      </c>
      <c r="C1227">
        <v>41</v>
      </c>
      <c r="D1227" t="s">
        <v>20</v>
      </c>
      <c r="E1227">
        <v>67</v>
      </c>
      <c r="F1227" t="str">
        <f t="shared" si="19"/>
        <v>49+ Months</v>
      </c>
      <c r="G1227" t="s">
        <v>23</v>
      </c>
      <c r="H1227" t="s">
        <v>20</v>
      </c>
      <c r="I1227" t="s">
        <v>19</v>
      </c>
      <c r="J1227" t="s">
        <v>20</v>
      </c>
      <c r="K1227" t="s">
        <v>16</v>
      </c>
      <c r="L1227">
        <v>2</v>
      </c>
      <c r="M1227" s="7">
        <v>38.51</v>
      </c>
      <c r="N1227" s="7">
        <v>2601.54</v>
      </c>
      <c r="O1227" t="s">
        <v>20</v>
      </c>
    </row>
    <row r="1228" spans="1:15" x14ac:dyDescent="0.3">
      <c r="A1228" t="s">
        <v>1253</v>
      </c>
      <c r="B1228" t="s">
        <v>15</v>
      </c>
      <c r="C1228">
        <v>59</v>
      </c>
      <c r="D1228" t="s">
        <v>20</v>
      </c>
      <c r="E1228">
        <v>47</v>
      </c>
      <c r="F1228" t="str">
        <f t="shared" si="19"/>
        <v>25-48 Months</v>
      </c>
      <c r="G1228" t="s">
        <v>17</v>
      </c>
      <c r="H1228" t="s">
        <v>36</v>
      </c>
      <c r="I1228" t="s">
        <v>24</v>
      </c>
      <c r="J1228" t="s">
        <v>20</v>
      </c>
      <c r="K1228" t="s">
        <v>16</v>
      </c>
      <c r="L1228">
        <v>4</v>
      </c>
      <c r="M1228" s="7">
        <v>59.34</v>
      </c>
      <c r="N1228" s="7">
        <v>2612.64</v>
      </c>
      <c r="O1228" t="s">
        <v>20</v>
      </c>
    </row>
    <row r="1229" spans="1:15" x14ac:dyDescent="0.3">
      <c r="A1229" t="s">
        <v>1254</v>
      </c>
      <c r="B1229" t="s">
        <v>22</v>
      </c>
      <c r="C1229">
        <v>47</v>
      </c>
      <c r="D1229" t="s">
        <v>20</v>
      </c>
      <c r="E1229">
        <v>35</v>
      </c>
      <c r="F1229" t="str">
        <f t="shared" si="19"/>
        <v>25-48 Months</v>
      </c>
      <c r="G1229" t="s">
        <v>17</v>
      </c>
      <c r="H1229" t="s">
        <v>36</v>
      </c>
      <c r="I1229" t="s">
        <v>24</v>
      </c>
      <c r="J1229" t="s">
        <v>20</v>
      </c>
      <c r="K1229" t="s">
        <v>20</v>
      </c>
      <c r="L1229">
        <v>5</v>
      </c>
      <c r="M1229" s="7">
        <v>75.59</v>
      </c>
      <c r="N1229" s="7">
        <v>2556.08</v>
      </c>
      <c r="O1229" t="s">
        <v>20</v>
      </c>
    </row>
    <row r="1230" spans="1:15" x14ac:dyDescent="0.3">
      <c r="A1230" t="s">
        <v>1255</v>
      </c>
      <c r="B1230" t="s">
        <v>22</v>
      </c>
      <c r="C1230">
        <v>31</v>
      </c>
      <c r="D1230" t="s">
        <v>20</v>
      </c>
      <c r="E1230">
        <v>68</v>
      </c>
      <c r="F1230" t="str">
        <f t="shared" si="19"/>
        <v>49+ Months</v>
      </c>
      <c r="G1230" t="s">
        <v>17</v>
      </c>
      <c r="H1230" t="s">
        <v>36</v>
      </c>
      <c r="I1230" t="s">
        <v>30</v>
      </c>
      <c r="J1230" t="s">
        <v>20</v>
      </c>
      <c r="K1230" t="s">
        <v>20</v>
      </c>
      <c r="L1230">
        <v>4</v>
      </c>
      <c r="M1230" s="7">
        <v>48.04</v>
      </c>
      <c r="N1230" s="7">
        <v>3519.46</v>
      </c>
      <c r="O1230" t="s">
        <v>20</v>
      </c>
    </row>
    <row r="1231" spans="1:15" x14ac:dyDescent="0.3">
      <c r="A1231" t="s">
        <v>1256</v>
      </c>
      <c r="B1231" t="s">
        <v>15</v>
      </c>
      <c r="C1231">
        <v>23</v>
      </c>
      <c r="D1231" t="s">
        <v>20</v>
      </c>
      <c r="E1231">
        <v>69</v>
      </c>
      <c r="F1231" t="str">
        <f t="shared" si="19"/>
        <v>49+ Months</v>
      </c>
      <c r="G1231" t="s">
        <v>23</v>
      </c>
      <c r="H1231" t="s">
        <v>18</v>
      </c>
      <c r="I1231" t="s">
        <v>27</v>
      </c>
      <c r="J1231" t="s">
        <v>16</v>
      </c>
      <c r="K1231" t="s">
        <v>20</v>
      </c>
      <c r="L1231">
        <v>3</v>
      </c>
      <c r="M1231" s="7">
        <v>64.13</v>
      </c>
      <c r="N1231" s="7">
        <v>4490.8500000000004</v>
      </c>
      <c r="O1231" t="s">
        <v>20</v>
      </c>
    </row>
    <row r="1232" spans="1:15" x14ac:dyDescent="0.3">
      <c r="A1232" t="s">
        <v>1257</v>
      </c>
      <c r="B1232" t="s">
        <v>15</v>
      </c>
      <c r="C1232">
        <v>20</v>
      </c>
      <c r="D1232" t="s">
        <v>20</v>
      </c>
      <c r="E1232">
        <v>1</v>
      </c>
      <c r="F1232" t="str">
        <f t="shared" si="19"/>
        <v>0-6 Months</v>
      </c>
      <c r="G1232" t="s">
        <v>17</v>
      </c>
      <c r="H1232" t="s">
        <v>18</v>
      </c>
      <c r="I1232" t="s">
        <v>24</v>
      </c>
      <c r="J1232" t="s">
        <v>20</v>
      </c>
      <c r="K1232" t="s">
        <v>16</v>
      </c>
      <c r="L1232">
        <v>2</v>
      </c>
      <c r="M1232" s="7">
        <v>70.89</v>
      </c>
      <c r="N1232" s="7">
        <v>68.52</v>
      </c>
      <c r="O1232" t="s">
        <v>16</v>
      </c>
    </row>
    <row r="1233" spans="1:15" x14ac:dyDescent="0.3">
      <c r="A1233" t="s">
        <v>1258</v>
      </c>
      <c r="B1233" t="s">
        <v>22</v>
      </c>
      <c r="C1233">
        <v>33</v>
      </c>
      <c r="D1233" t="s">
        <v>20</v>
      </c>
      <c r="E1233">
        <v>68</v>
      </c>
      <c r="F1233" t="str">
        <f t="shared" si="19"/>
        <v>49+ Months</v>
      </c>
      <c r="G1233" t="s">
        <v>35</v>
      </c>
      <c r="H1233" t="s">
        <v>18</v>
      </c>
      <c r="I1233" t="s">
        <v>19</v>
      </c>
      <c r="J1233" t="s">
        <v>20</v>
      </c>
      <c r="K1233" t="s">
        <v>20</v>
      </c>
      <c r="L1233">
        <v>2</v>
      </c>
      <c r="M1233" s="7">
        <v>83.2</v>
      </c>
      <c r="N1233" s="7">
        <v>5590.93</v>
      </c>
      <c r="O1233" t="s">
        <v>20</v>
      </c>
    </row>
    <row r="1234" spans="1:15" x14ac:dyDescent="0.3">
      <c r="A1234" t="s">
        <v>1259</v>
      </c>
      <c r="B1234" t="s">
        <v>15</v>
      </c>
      <c r="C1234">
        <v>24</v>
      </c>
      <c r="D1234" t="s">
        <v>20</v>
      </c>
      <c r="E1234">
        <v>12</v>
      </c>
      <c r="F1234" t="str">
        <f t="shared" si="19"/>
        <v>7-12 Months</v>
      </c>
      <c r="G1234" t="s">
        <v>17</v>
      </c>
      <c r="H1234" t="s">
        <v>20</v>
      </c>
      <c r="I1234" t="s">
        <v>27</v>
      </c>
      <c r="J1234" t="s">
        <v>20</v>
      </c>
      <c r="K1234" t="s">
        <v>16</v>
      </c>
      <c r="L1234">
        <v>5</v>
      </c>
      <c r="M1234" s="7">
        <v>53.12</v>
      </c>
      <c r="N1234" s="7">
        <v>612.80999999999995</v>
      </c>
      <c r="O1234" t="s">
        <v>20</v>
      </c>
    </row>
    <row r="1235" spans="1:15" x14ac:dyDescent="0.3">
      <c r="A1235" t="s">
        <v>1260</v>
      </c>
      <c r="B1235" t="s">
        <v>15</v>
      </c>
      <c r="C1235">
        <v>69</v>
      </c>
      <c r="D1235" t="s">
        <v>16</v>
      </c>
      <c r="E1235">
        <v>60</v>
      </c>
      <c r="F1235" t="str">
        <f t="shared" si="19"/>
        <v>49+ Months</v>
      </c>
      <c r="G1235" t="s">
        <v>17</v>
      </c>
      <c r="H1235" t="s">
        <v>36</v>
      </c>
      <c r="I1235" t="s">
        <v>27</v>
      </c>
      <c r="J1235" t="s">
        <v>16</v>
      </c>
      <c r="K1235" t="s">
        <v>20</v>
      </c>
      <c r="L1235">
        <v>7</v>
      </c>
      <c r="M1235" s="7">
        <v>60.55</v>
      </c>
      <c r="N1235" s="7">
        <v>3360.85</v>
      </c>
      <c r="O1235" t="s">
        <v>16</v>
      </c>
    </row>
    <row r="1236" spans="1:15" x14ac:dyDescent="0.3">
      <c r="A1236" t="s">
        <v>1261</v>
      </c>
      <c r="B1236" t="s">
        <v>22</v>
      </c>
      <c r="C1236">
        <v>31</v>
      </c>
      <c r="D1236" t="s">
        <v>20</v>
      </c>
      <c r="E1236">
        <v>27</v>
      </c>
      <c r="F1236" t="str">
        <f t="shared" si="19"/>
        <v>25-48 Months</v>
      </c>
      <c r="G1236" t="s">
        <v>17</v>
      </c>
      <c r="H1236" t="s">
        <v>18</v>
      </c>
      <c r="I1236" t="s">
        <v>19</v>
      </c>
      <c r="J1236" t="s">
        <v>16</v>
      </c>
      <c r="K1236" t="s">
        <v>16</v>
      </c>
      <c r="L1236">
        <v>3</v>
      </c>
      <c r="M1236" s="7">
        <v>94.9</v>
      </c>
      <c r="N1236" s="7">
        <v>2702.52</v>
      </c>
      <c r="O1236" t="s">
        <v>16</v>
      </c>
    </row>
    <row r="1237" spans="1:15" x14ac:dyDescent="0.3">
      <c r="A1237" t="s">
        <v>1262</v>
      </c>
      <c r="B1237" t="s">
        <v>22</v>
      </c>
      <c r="C1237">
        <v>26</v>
      </c>
      <c r="D1237" t="s">
        <v>20</v>
      </c>
      <c r="E1237">
        <v>56</v>
      </c>
      <c r="F1237" t="str">
        <f t="shared" si="19"/>
        <v>49+ Months</v>
      </c>
      <c r="G1237" t="s">
        <v>23</v>
      </c>
      <c r="H1237" t="s">
        <v>20</v>
      </c>
      <c r="I1237" t="s">
        <v>27</v>
      </c>
      <c r="J1237" t="s">
        <v>20</v>
      </c>
      <c r="K1237" t="s">
        <v>20</v>
      </c>
      <c r="L1237">
        <v>4</v>
      </c>
      <c r="M1237" s="7">
        <v>44.88</v>
      </c>
      <c r="N1237" s="7">
        <v>2429.83</v>
      </c>
      <c r="O1237" t="s">
        <v>20</v>
      </c>
    </row>
    <row r="1238" spans="1:15" x14ac:dyDescent="0.3">
      <c r="A1238" t="s">
        <v>1263</v>
      </c>
      <c r="B1238" t="s">
        <v>15</v>
      </c>
      <c r="C1238">
        <v>32</v>
      </c>
      <c r="D1238" t="s">
        <v>20</v>
      </c>
      <c r="E1238">
        <v>23</v>
      </c>
      <c r="F1238" t="str">
        <f t="shared" si="19"/>
        <v>13-24 Months</v>
      </c>
      <c r="G1238" t="s">
        <v>35</v>
      </c>
      <c r="H1238" t="s">
        <v>18</v>
      </c>
      <c r="I1238" t="s">
        <v>30</v>
      </c>
      <c r="J1238" t="s">
        <v>16</v>
      </c>
      <c r="K1238" t="s">
        <v>20</v>
      </c>
      <c r="L1238">
        <v>5</v>
      </c>
      <c r="M1238" s="7">
        <v>74.930000000000007</v>
      </c>
      <c r="N1238" s="7">
        <v>1816.7</v>
      </c>
      <c r="O1238" t="s">
        <v>16</v>
      </c>
    </row>
    <row r="1239" spans="1:15" x14ac:dyDescent="0.3">
      <c r="A1239" t="s">
        <v>1264</v>
      </c>
      <c r="B1239" t="s">
        <v>22</v>
      </c>
      <c r="C1239">
        <v>38</v>
      </c>
      <c r="D1239" t="s">
        <v>20</v>
      </c>
      <c r="E1239">
        <v>25</v>
      </c>
      <c r="F1239" t="str">
        <f t="shared" si="19"/>
        <v>25-48 Months</v>
      </c>
      <c r="G1239" t="s">
        <v>17</v>
      </c>
      <c r="H1239" t="s">
        <v>20</v>
      </c>
      <c r="I1239" t="s">
        <v>24</v>
      </c>
      <c r="J1239" t="s">
        <v>16</v>
      </c>
      <c r="K1239" t="s">
        <v>20</v>
      </c>
      <c r="L1239">
        <v>1</v>
      </c>
      <c r="M1239" s="7">
        <v>28.36</v>
      </c>
      <c r="N1239" s="7">
        <v>706.57</v>
      </c>
      <c r="O1239" t="s">
        <v>16</v>
      </c>
    </row>
    <row r="1240" spans="1:15" x14ac:dyDescent="0.3">
      <c r="A1240" t="s">
        <v>1265</v>
      </c>
      <c r="B1240" t="s">
        <v>15</v>
      </c>
      <c r="C1240">
        <v>52</v>
      </c>
      <c r="D1240" t="s">
        <v>20</v>
      </c>
      <c r="E1240">
        <v>21</v>
      </c>
      <c r="F1240" t="str">
        <f t="shared" si="19"/>
        <v>13-24 Months</v>
      </c>
      <c r="G1240" t="s">
        <v>23</v>
      </c>
      <c r="H1240" t="s">
        <v>20</v>
      </c>
      <c r="I1240" t="s">
        <v>24</v>
      </c>
      <c r="J1240" t="s">
        <v>20</v>
      </c>
      <c r="K1240" t="s">
        <v>20</v>
      </c>
      <c r="L1240">
        <v>5</v>
      </c>
      <c r="M1240" s="7">
        <v>51.77</v>
      </c>
      <c r="N1240" s="7">
        <v>1032.01</v>
      </c>
      <c r="O1240" t="s">
        <v>20</v>
      </c>
    </row>
    <row r="1241" spans="1:15" x14ac:dyDescent="0.3">
      <c r="A1241" t="s">
        <v>1266</v>
      </c>
      <c r="B1241" t="s">
        <v>15</v>
      </c>
      <c r="C1241">
        <v>19</v>
      </c>
      <c r="D1241" t="s">
        <v>20</v>
      </c>
      <c r="E1241">
        <v>61</v>
      </c>
      <c r="F1241" t="str">
        <f t="shared" si="19"/>
        <v>49+ Months</v>
      </c>
      <c r="G1241" t="s">
        <v>17</v>
      </c>
      <c r="H1241" t="s">
        <v>18</v>
      </c>
      <c r="I1241" t="s">
        <v>24</v>
      </c>
      <c r="J1241" t="s">
        <v>20</v>
      </c>
      <c r="K1241" t="s">
        <v>20</v>
      </c>
      <c r="L1241">
        <v>5</v>
      </c>
      <c r="M1241" s="7">
        <v>91.77</v>
      </c>
      <c r="N1241" s="7">
        <v>5868.35</v>
      </c>
      <c r="O1241" t="s">
        <v>16</v>
      </c>
    </row>
    <row r="1242" spans="1:15" x14ac:dyDescent="0.3">
      <c r="A1242" t="s">
        <v>1267</v>
      </c>
      <c r="B1242" t="s">
        <v>15</v>
      </c>
      <c r="C1242">
        <v>44</v>
      </c>
      <c r="D1242" t="s">
        <v>20</v>
      </c>
      <c r="E1242">
        <v>63</v>
      </c>
      <c r="F1242" t="str">
        <f t="shared" si="19"/>
        <v>49+ Months</v>
      </c>
      <c r="G1242" t="s">
        <v>23</v>
      </c>
      <c r="H1242" t="s">
        <v>18</v>
      </c>
      <c r="I1242" t="s">
        <v>19</v>
      </c>
      <c r="J1242" t="s">
        <v>20</v>
      </c>
      <c r="K1242" t="s">
        <v>20</v>
      </c>
      <c r="L1242">
        <v>1</v>
      </c>
      <c r="M1242" s="7">
        <v>66.540000000000006</v>
      </c>
      <c r="N1242" s="7">
        <v>4109.6000000000004</v>
      </c>
      <c r="O1242" t="s">
        <v>20</v>
      </c>
    </row>
    <row r="1243" spans="1:15" x14ac:dyDescent="0.3">
      <c r="A1243" t="s">
        <v>1268</v>
      </c>
      <c r="B1243" t="s">
        <v>22</v>
      </c>
      <c r="C1243">
        <v>19</v>
      </c>
      <c r="D1243" t="s">
        <v>20</v>
      </c>
      <c r="E1243">
        <v>52</v>
      </c>
      <c r="F1243" t="str">
        <f t="shared" si="19"/>
        <v>49+ Months</v>
      </c>
      <c r="G1243" t="s">
        <v>35</v>
      </c>
      <c r="H1243" t="s">
        <v>36</v>
      </c>
      <c r="I1243" t="s">
        <v>27</v>
      </c>
      <c r="J1243" t="s">
        <v>20</v>
      </c>
      <c r="K1243" t="s">
        <v>20</v>
      </c>
      <c r="L1243">
        <v>6</v>
      </c>
      <c r="M1243" s="7">
        <v>70.66</v>
      </c>
      <c r="N1243" s="7">
        <v>3796.44</v>
      </c>
      <c r="O1243" t="s">
        <v>20</v>
      </c>
    </row>
    <row r="1244" spans="1:15" x14ac:dyDescent="0.3">
      <c r="A1244" t="s">
        <v>1269</v>
      </c>
      <c r="B1244" t="s">
        <v>15</v>
      </c>
      <c r="C1244">
        <v>52</v>
      </c>
      <c r="D1244" t="s">
        <v>20</v>
      </c>
      <c r="E1244">
        <v>25</v>
      </c>
      <c r="F1244" t="str">
        <f t="shared" si="19"/>
        <v>25-48 Months</v>
      </c>
      <c r="G1244" t="s">
        <v>17</v>
      </c>
      <c r="H1244" t="s">
        <v>36</v>
      </c>
      <c r="I1244" t="s">
        <v>27</v>
      </c>
      <c r="J1244" t="s">
        <v>20</v>
      </c>
      <c r="K1244" t="s">
        <v>16</v>
      </c>
      <c r="L1244">
        <v>5</v>
      </c>
      <c r="M1244" s="7">
        <v>62.13</v>
      </c>
      <c r="N1244" s="7">
        <v>1637.06</v>
      </c>
      <c r="O1244" t="s">
        <v>20</v>
      </c>
    </row>
    <row r="1245" spans="1:15" x14ac:dyDescent="0.3">
      <c r="A1245" t="s">
        <v>1270</v>
      </c>
      <c r="B1245" t="s">
        <v>15</v>
      </c>
      <c r="C1245">
        <v>35</v>
      </c>
      <c r="D1245" t="s">
        <v>20</v>
      </c>
      <c r="E1245">
        <v>55</v>
      </c>
      <c r="F1245" t="str">
        <f t="shared" si="19"/>
        <v>49+ Months</v>
      </c>
      <c r="G1245" t="s">
        <v>17</v>
      </c>
      <c r="H1245" t="s">
        <v>36</v>
      </c>
      <c r="I1245" t="s">
        <v>19</v>
      </c>
      <c r="J1245" t="s">
        <v>16</v>
      </c>
      <c r="K1245" t="s">
        <v>20</v>
      </c>
      <c r="L1245">
        <v>1</v>
      </c>
      <c r="M1245" s="7">
        <v>46.54</v>
      </c>
      <c r="N1245" s="7">
        <v>2749.32</v>
      </c>
      <c r="O1245" t="s">
        <v>20</v>
      </c>
    </row>
    <row r="1246" spans="1:15" x14ac:dyDescent="0.3">
      <c r="A1246" t="s">
        <v>1271</v>
      </c>
      <c r="B1246" t="s">
        <v>15</v>
      </c>
      <c r="C1246">
        <v>31</v>
      </c>
      <c r="D1246" t="s">
        <v>20</v>
      </c>
      <c r="E1246">
        <v>46</v>
      </c>
      <c r="F1246" t="str">
        <f t="shared" si="19"/>
        <v>25-48 Months</v>
      </c>
      <c r="G1246" t="s">
        <v>35</v>
      </c>
      <c r="H1246" t="s">
        <v>20</v>
      </c>
      <c r="I1246" t="s">
        <v>19</v>
      </c>
      <c r="J1246" t="s">
        <v>20</v>
      </c>
      <c r="K1246" t="s">
        <v>20</v>
      </c>
      <c r="L1246">
        <v>4</v>
      </c>
      <c r="M1246" s="7">
        <v>46.07</v>
      </c>
      <c r="N1246" s="7">
        <v>1978.78</v>
      </c>
      <c r="O1246" t="s">
        <v>20</v>
      </c>
    </row>
    <row r="1247" spans="1:15" x14ac:dyDescent="0.3">
      <c r="A1247" t="s">
        <v>1272</v>
      </c>
      <c r="B1247" t="s">
        <v>22</v>
      </c>
      <c r="C1247">
        <v>37</v>
      </c>
      <c r="D1247" t="s">
        <v>20</v>
      </c>
      <c r="E1247">
        <v>32</v>
      </c>
      <c r="F1247" t="str">
        <f t="shared" si="19"/>
        <v>25-48 Months</v>
      </c>
      <c r="G1247" t="s">
        <v>35</v>
      </c>
      <c r="H1247" t="s">
        <v>36</v>
      </c>
      <c r="I1247" t="s">
        <v>24</v>
      </c>
      <c r="J1247" t="s">
        <v>20</v>
      </c>
      <c r="K1247" t="s">
        <v>16</v>
      </c>
      <c r="L1247">
        <v>2</v>
      </c>
      <c r="M1247" s="7">
        <v>61.09</v>
      </c>
      <c r="N1247" s="7">
        <v>1801.11</v>
      </c>
      <c r="O1247" t="s">
        <v>20</v>
      </c>
    </row>
    <row r="1248" spans="1:15" x14ac:dyDescent="0.3">
      <c r="A1248" t="s">
        <v>1273</v>
      </c>
      <c r="B1248" t="s">
        <v>22</v>
      </c>
      <c r="C1248">
        <v>35</v>
      </c>
      <c r="D1248" t="s">
        <v>20</v>
      </c>
      <c r="E1248">
        <v>55</v>
      </c>
      <c r="F1248" t="str">
        <f t="shared" si="19"/>
        <v>49+ Months</v>
      </c>
      <c r="G1248" t="s">
        <v>23</v>
      </c>
      <c r="H1248" t="s">
        <v>18</v>
      </c>
      <c r="I1248" t="s">
        <v>30</v>
      </c>
      <c r="J1248" t="s">
        <v>20</v>
      </c>
      <c r="K1248" t="s">
        <v>16</v>
      </c>
      <c r="L1248">
        <v>4</v>
      </c>
      <c r="M1248" s="7">
        <v>71.040000000000006</v>
      </c>
      <c r="N1248" s="7">
        <v>3937.47</v>
      </c>
      <c r="O1248" t="s">
        <v>20</v>
      </c>
    </row>
    <row r="1249" spans="1:15" x14ac:dyDescent="0.3">
      <c r="A1249" t="s">
        <v>1274</v>
      </c>
      <c r="B1249" t="s">
        <v>22</v>
      </c>
      <c r="C1249">
        <v>27</v>
      </c>
      <c r="D1249" t="s">
        <v>20</v>
      </c>
      <c r="E1249">
        <v>5</v>
      </c>
      <c r="F1249" t="str">
        <f t="shared" si="19"/>
        <v>0-6 Months</v>
      </c>
      <c r="G1249" t="s">
        <v>17</v>
      </c>
      <c r="H1249" t="s">
        <v>18</v>
      </c>
      <c r="I1249" t="s">
        <v>27</v>
      </c>
      <c r="J1249" t="s">
        <v>20</v>
      </c>
      <c r="K1249" t="s">
        <v>16</v>
      </c>
      <c r="L1249">
        <v>3</v>
      </c>
      <c r="M1249" s="7">
        <v>73.37</v>
      </c>
      <c r="N1249" s="7">
        <v>353.01</v>
      </c>
      <c r="O1249" t="s">
        <v>16</v>
      </c>
    </row>
    <row r="1250" spans="1:15" x14ac:dyDescent="0.3">
      <c r="A1250" t="s">
        <v>1275</v>
      </c>
      <c r="B1250" t="s">
        <v>22</v>
      </c>
      <c r="C1250">
        <v>42</v>
      </c>
      <c r="D1250" t="s">
        <v>20</v>
      </c>
      <c r="E1250">
        <v>36</v>
      </c>
      <c r="F1250" t="str">
        <f t="shared" si="19"/>
        <v>25-48 Months</v>
      </c>
      <c r="G1250" t="s">
        <v>17</v>
      </c>
      <c r="H1250" t="s">
        <v>36</v>
      </c>
      <c r="I1250" t="s">
        <v>24</v>
      </c>
      <c r="J1250" t="s">
        <v>20</v>
      </c>
      <c r="K1250" t="s">
        <v>16</v>
      </c>
      <c r="L1250">
        <v>3</v>
      </c>
      <c r="M1250" s="7">
        <v>50.79</v>
      </c>
      <c r="N1250" s="7">
        <v>1819.4</v>
      </c>
      <c r="O1250" t="s">
        <v>16</v>
      </c>
    </row>
    <row r="1251" spans="1:15" x14ac:dyDescent="0.3">
      <c r="A1251" t="s">
        <v>1276</v>
      </c>
      <c r="B1251" t="s">
        <v>22</v>
      </c>
      <c r="C1251">
        <v>19</v>
      </c>
      <c r="D1251" t="s">
        <v>20</v>
      </c>
      <c r="E1251">
        <v>49</v>
      </c>
      <c r="F1251" t="str">
        <f t="shared" si="19"/>
        <v>49+ Months</v>
      </c>
      <c r="G1251" t="s">
        <v>17</v>
      </c>
      <c r="H1251" t="s">
        <v>18</v>
      </c>
      <c r="I1251" t="s">
        <v>24</v>
      </c>
      <c r="J1251" t="s">
        <v>20</v>
      </c>
      <c r="K1251" t="s">
        <v>20</v>
      </c>
      <c r="L1251">
        <v>5</v>
      </c>
      <c r="M1251" s="7">
        <v>75.94</v>
      </c>
      <c r="N1251" s="7">
        <v>3466.63</v>
      </c>
      <c r="O1251" t="s">
        <v>20</v>
      </c>
    </row>
    <row r="1252" spans="1:15" x14ac:dyDescent="0.3">
      <c r="A1252" t="s">
        <v>1277</v>
      </c>
      <c r="B1252" t="s">
        <v>15</v>
      </c>
      <c r="C1252">
        <v>42</v>
      </c>
      <c r="D1252" t="s">
        <v>20</v>
      </c>
      <c r="E1252">
        <v>58</v>
      </c>
      <c r="F1252" t="str">
        <f t="shared" si="19"/>
        <v>49+ Months</v>
      </c>
      <c r="G1252" t="s">
        <v>35</v>
      </c>
      <c r="H1252" t="s">
        <v>36</v>
      </c>
      <c r="I1252" t="s">
        <v>30</v>
      </c>
      <c r="J1252" t="s">
        <v>16</v>
      </c>
      <c r="K1252" t="s">
        <v>20</v>
      </c>
      <c r="L1252">
        <v>2</v>
      </c>
      <c r="M1252" s="7">
        <v>43.59</v>
      </c>
      <c r="N1252" s="7">
        <v>2528.86</v>
      </c>
      <c r="O1252" t="s">
        <v>20</v>
      </c>
    </row>
    <row r="1253" spans="1:15" x14ac:dyDescent="0.3">
      <c r="A1253" t="s">
        <v>1278</v>
      </c>
      <c r="B1253" t="s">
        <v>22</v>
      </c>
      <c r="C1253">
        <v>71</v>
      </c>
      <c r="D1253" t="s">
        <v>16</v>
      </c>
      <c r="E1253">
        <v>39</v>
      </c>
      <c r="F1253" t="str">
        <f t="shared" si="19"/>
        <v>25-48 Months</v>
      </c>
      <c r="G1253" t="s">
        <v>23</v>
      </c>
      <c r="H1253" t="s">
        <v>18</v>
      </c>
      <c r="I1253" t="s">
        <v>30</v>
      </c>
      <c r="J1253" t="s">
        <v>20</v>
      </c>
      <c r="K1253" t="s">
        <v>20</v>
      </c>
      <c r="L1253">
        <v>5</v>
      </c>
      <c r="M1253" s="7">
        <v>83.17</v>
      </c>
      <c r="N1253" s="7">
        <v>3048.94</v>
      </c>
      <c r="O1253" t="s">
        <v>20</v>
      </c>
    </row>
    <row r="1254" spans="1:15" x14ac:dyDescent="0.3">
      <c r="A1254" t="s">
        <v>1279</v>
      </c>
      <c r="B1254" t="s">
        <v>22</v>
      </c>
      <c r="C1254">
        <v>50</v>
      </c>
      <c r="D1254" t="s">
        <v>20</v>
      </c>
      <c r="E1254">
        <v>61</v>
      </c>
      <c r="F1254" t="str">
        <f t="shared" si="19"/>
        <v>49+ Months</v>
      </c>
      <c r="G1254" t="s">
        <v>17</v>
      </c>
      <c r="H1254" t="s">
        <v>18</v>
      </c>
      <c r="I1254" t="s">
        <v>19</v>
      </c>
      <c r="J1254" t="s">
        <v>20</v>
      </c>
      <c r="K1254" t="s">
        <v>16</v>
      </c>
      <c r="L1254">
        <v>4</v>
      </c>
      <c r="M1254" s="7">
        <v>71.489999999999995</v>
      </c>
      <c r="N1254" s="7">
        <v>4597.1400000000003</v>
      </c>
      <c r="O1254" t="s">
        <v>20</v>
      </c>
    </row>
    <row r="1255" spans="1:15" x14ac:dyDescent="0.3">
      <c r="A1255" t="s">
        <v>1280</v>
      </c>
      <c r="B1255" t="s">
        <v>22</v>
      </c>
      <c r="C1255">
        <v>53</v>
      </c>
      <c r="D1255" t="s">
        <v>20</v>
      </c>
      <c r="E1255">
        <v>9</v>
      </c>
      <c r="F1255" t="str">
        <f t="shared" si="19"/>
        <v>7-12 Months</v>
      </c>
      <c r="G1255" t="s">
        <v>17</v>
      </c>
      <c r="H1255" t="s">
        <v>18</v>
      </c>
      <c r="I1255" t="s">
        <v>30</v>
      </c>
      <c r="J1255" t="s">
        <v>20</v>
      </c>
      <c r="K1255" t="s">
        <v>20</v>
      </c>
      <c r="L1255">
        <v>6</v>
      </c>
      <c r="M1255" s="7">
        <v>79.25</v>
      </c>
      <c r="N1255" s="7">
        <v>742.86</v>
      </c>
      <c r="O1255" t="s">
        <v>20</v>
      </c>
    </row>
    <row r="1256" spans="1:15" x14ac:dyDescent="0.3">
      <c r="A1256" t="s">
        <v>1281</v>
      </c>
      <c r="B1256" t="s">
        <v>15</v>
      </c>
      <c r="C1256">
        <v>48</v>
      </c>
      <c r="D1256" t="s">
        <v>20</v>
      </c>
      <c r="E1256">
        <v>6</v>
      </c>
      <c r="F1256" t="str">
        <f t="shared" si="19"/>
        <v>0-6 Months</v>
      </c>
      <c r="G1256" t="s">
        <v>17</v>
      </c>
      <c r="H1256" t="s">
        <v>36</v>
      </c>
      <c r="I1256" t="s">
        <v>30</v>
      </c>
      <c r="J1256" t="s">
        <v>20</v>
      </c>
      <c r="K1256" t="s">
        <v>20</v>
      </c>
      <c r="L1256">
        <v>3</v>
      </c>
      <c r="M1256" s="7">
        <v>53.74</v>
      </c>
      <c r="N1256" s="7">
        <v>300.47000000000003</v>
      </c>
      <c r="O1256" t="s">
        <v>16</v>
      </c>
    </row>
    <row r="1257" spans="1:15" x14ac:dyDescent="0.3">
      <c r="A1257" t="s">
        <v>1282</v>
      </c>
      <c r="B1257" t="s">
        <v>22</v>
      </c>
      <c r="C1257">
        <v>31</v>
      </c>
      <c r="D1257" t="s">
        <v>20</v>
      </c>
      <c r="E1257">
        <v>35</v>
      </c>
      <c r="F1257" t="str">
        <f t="shared" si="19"/>
        <v>25-48 Months</v>
      </c>
      <c r="G1257" t="s">
        <v>17</v>
      </c>
      <c r="H1257" t="s">
        <v>18</v>
      </c>
      <c r="I1257" t="s">
        <v>24</v>
      </c>
      <c r="J1257" t="s">
        <v>16</v>
      </c>
      <c r="K1257" t="s">
        <v>20</v>
      </c>
      <c r="L1257">
        <v>4</v>
      </c>
      <c r="M1257" s="7">
        <v>72.14</v>
      </c>
      <c r="N1257" s="7">
        <v>2660.78</v>
      </c>
      <c r="O1257" t="s">
        <v>20</v>
      </c>
    </row>
    <row r="1258" spans="1:15" x14ac:dyDescent="0.3">
      <c r="A1258" t="s">
        <v>1283</v>
      </c>
      <c r="B1258" t="s">
        <v>22</v>
      </c>
      <c r="C1258">
        <v>18</v>
      </c>
      <c r="D1258" t="s">
        <v>20</v>
      </c>
      <c r="E1258">
        <v>39</v>
      </c>
      <c r="F1258" t="str">
        <f t="shared" si="19"/>
        <v>25-48 Months</v>
      </c>
      <c r="G1258" t="s">
        <v>17</v>
      </c>
      <c r="H1258" t="s">
        <v>36</v>
      </c>
      <c r="I1258" t="s">
        <v>19</v>
      </c>
      <c r="J1258" t="s">
        <v>20</v>
      </c>
      <c r="K1258" t="s">
        <v>16</v>
      </c>
      <c r="L1258">
        <v>3</v>
      </c>
      <c r="M1258" s="7">
        <v>58.56</v>
      </c>
      <c r="N1258" s="7">
        <v>2219.88</v>
      </c>
      <c r="O1258" t="s">
        <v>20</v>
      </c>
    </row>
    <row r="1259" spans="1:15" x14ac:dyDescent="0.3">
      <c r="A1259" t="s">
        <v>1284</v>
      </c>
      <c r="B1259" t="s">
        <v>15</v>
      </c>
      <c r="C1259">
        <v>63</v>
      </c>
      <c r="D1259" t="s">
        <v>16</v>
      </c>
      <c r="E1259">
        <v>22</v>
      </c>
      <c r="F1259" t="str">
        <f t="shared" si="19"/>
        <v>13-24 Months</v>
      </c>
      <c r="G1259" t="s">
        <v>17</v>
      </c>
      <c r="H1259" t="s">
        <v>36</v>
      </c>
      <c r="I1259" t="s">
        <v>19</v>
      </c>
      <c r="J1259" t="s">
        <v>20</v>
      </c>
      <c r="K1259" t="s">
        <v>20</v>
      </c>
      <c r="L1259">
        <v>8</v>
      </c>
      <c r="M1259" s="7">
        <v>71.650000000000006</v>
      </c>
      <c r="N1259" s="7">
        <v>1539.19</v>
      </c>
      <c r="O1259" t="s">
        <v>20</v>
      </c>
    </row>
    <row r="1260" spans="1:15" x14ac:dyDescent="0.3">
      <c r="A1260" t="s">
        <v>1285</v>
      </c>
      <c r="B1260" t="s">
        <v>22</v>
      </c>
      <c r="C1260">
        <v>33</v>
      </c>
      <c r="D1260" t="s">
        <v>20</v>
      </c>
      <c r="E1260">
        <v>41</v>
      </c>
      <c r="F1260" t="str">
        <f t="shared" si="19"/>
        <v>25-48 Months</v>
      </c>
      <c r="G1260" t="s">
        <v>17</v>
      </c>
      <c r="H1260" t="s">
        <v>36</v>
      </c>
      <c r="I1260" t="s">
        <v>27</v>
      </c>
      <c r="J1260" t="s">
        <v>20</v>
      </c>
      <c r="K1260" t="s">
        <v>20</v>
      </c>
      <c r="L1260">
        <v>3</v>
      </c>
      <c r="M1260" s="7">
        <v>46.64</v>
      </c>
      <c r="N1260" s="7">
        <v>1814.27</v>
      </c>
      <c r="O1260" t="s">
        <v>20</v>
      </c>
    </row>
    <row r="1261" spans="1:15" x14ac:dyDescent="0.3">
      <c r="A1261" t="s">
        <v>1286</v>
      </c>
      <c r="B1261" t="s">
        <v>15</v>
      </c>
      <c r="C1261">
        <v>71</v>
      </c>
      <c r="D1261" t="s">
        <v>16</v>
      </c>
      <c r="E1261">
        <v>5</v>
      </c>
      <c r="F1261" t="str">
        <f t="shared" si="19"/>
        <v>0-6 Months</v>
      </c>
      <c r="G1261" t="s">
        <v>17</v>
      </c>
      <c r="H1261" t="s">
        <v>36</v>
      </c>
      <c r="I1261" t="s">
        <v>27</v>
      </c>
      <c r="J1261" t="s">
        <v>16</v>
      </c>
      <c r="K1261" t="s">
        <v>20</v>
      </c>
      <c r="L1261">
        <v>4</v>
      </c>
      <c r="M1261" s="7">
        <v>75.28</v>
      </c>
      <c r="N1261" s="7">
        <v>396.59</v>
      </c>
      <c r="O1261" t="s">
        <v>20</v>
      </c>
    </row>
    <row r="1262" spans="1:15" x14ac:dyDescent="0.3">
      <c r="A1262" t="s">
        <v>1287</v>
      </c>
      <c r="B1262" t="s">
        <v>15</v>
      </c>
      <c r="C1262">
        <v>63</v>
      </c>
      <c r="D1262" t="s">
        <v>16</v>
      </c>
      <c r="E1262">
        <v>42</v>
      </c>
      <c r="F1262" t="str">
        <f t="shared" si="19"/>
        <v>25-48 Months</v>
      </c>
      <c r="G1262" t="s">
        <v>17</v>
      </c>
      <c r="H1262" t="s">
        <v>18</v>
      </c>
      <c r="I1262" t="s">
        <v>27</v>
      </c>
      <c r="J1262" t="s">
        <v>20</v>
      </c>
      <c r="K1262" t="s">
        <v>20</v>
      </c>
      <c r="L1262">
        <v>5</v>
      </c>
      <c r="M1262" s="7">
        <v>68.069999999999993</v>
      </c>
      <c r="N1262" s="7">
        <v>2815.35</v>
      </c>
      <c r="O1262" t="s">
        <v>20</v>
      </c>
    </row>
    <row r="1263" spans="1:15" x14ac:dyDescent="0.3">
      <c r="A1263" t="s">
        <v>1288</v>
      </c>
      <c r="B1263" t="s">
        <v>15</v>
      </c>
      <c r="C1263">
        <v>69</v>
      </c>
      <c r="D1263" t="s">
        <v>16</v>
      </c>
      <c r="E1263">
        <v>67</v>
      </c>
      <c r="F1263" t="str">
        <f t="shared" si="19"/>
        <v>49+ Months</v>
      </c>
      <c r="G1263" t="s">
        <v>17</v>
      </c>
      <c r="H1263" t="s">
        <v>36</v>
      </c>
      <c r="I1263" t="s">
        <v>30</v>
      </c>
      <c r="J1263" t="s">
        <v>20</v>
      </c>
      <c r="K1263" t="s">
        <v>16</v>
      </c>
      <c r="L1263">
        <v>3</v>
      </c>
      <c r="M1263" s="7">
        <v>60.99</v>
      </c>
      <c r="N1263" s="7">
        <v>3791.35</v>
      </c>
      <c r="O1263" t="s">
        <v>20</v>
      </c>
    </row>
    <row r="1264" spans="1:15" x14ac:dyDescent="0.3">
      <c r="A1264" t="s">
        <v>1289</v>
      </c>
      <c r="B1264" t="s">
        <v>15</v>
      </c>
      <c r="C1264">
        <v>20</v>
      </c>
      <c r="D1264" t="s">
        <v>20</v>
      </c>
      <c r="E1264">
        <v>30</v>
      </c>
      <c r="F1264" t="str">
        <f t="shared" si="19"/>
        <v>25-48 Months</v>
      </c>
      <c r="G1264" t="s">
        <v>17</v>
      </c>
      <c r="H1264" t="s">
        <v>18</v>
      </c>
      <c r="I1264" t="s">
        <v>30</v>
      </c>
      <c r="J1264" t="s">
        <v>20</v>
      </c>
      <c r="K1264" t="s">
        <v>20</v>
      </c>
      <c r="L1264">
        <v>3</v>
      </c>
      <c r="M1264" s="7">
        <v>77.42</v>
      </c>
      <c r="N1264" s="7">
        <v>2495.87</v>
      </c>
      <c r="O1264" t="s">
        <v>20</v>
      </c>
    </row>
    <row r="1265" spans="1:15" x14ac:dyDescent="0.3">
      <c r="A1265" t="s">
        <v>1290</v>
      </c>
      <c r="B1265" t="s">
        <v>15</v>
      </c>
      <c r="C1265">
        <v>52</v>
      </c>
      <c r="D1265" t="s">
        <v>20</v>
      </c>
      <c r="E1265">
        <v>57</v>
      </c>
      <c r="F1265" t="str">
        <f t="shared" si="19"/>
        <v>49+ Months</v>
      </c>
      <c r="G1265" t="s">
        <v>17</v>
      </c>
      <c r="H1265" t="s">
        <v>36</v>
      </c>
      <c r="I1265" t="s">
        <v>30</v>
      </c>
      <c r="J1265" t="s">
        <v>20</v>
      </c>
      <c r="K1265" t="s">
        <v>20</v>
      </c>
      <c r="L1265">
        <v>4</v>
      </c>
      <c r="M1265" s="7">
        <v>55.61</v>
      </c>
      <c r="N1265" s="7">
        <v>3045.96</v>
      </c>
      <c r="O1265" t="s">
        <v>20</v>
      </c>
    </row>
    <row r="1266" spans="1:15" x14ac:dyDescent="0.3">
      <c r="A1266" t="s">
        <v>1291</v>
      </c>
      <c r="B1266" t="s">
        <v>22</v>
      </c>
      <c r="C1266">
        <v>58</v>
      </c>
      <c r="D1266" t="s">
        <v>20</v>
      </c>
      <c r="E1266">
        <v>29</v>
      </c>
      <c r="F1266" t="str">
        <f t="shared" si="19"/>
        <v>25-48 Months</v>
      </c>
      <c r="G1266" t="s">
        <v>17</v>
      </c>
      <c r="H1266" t="s">
        <v>18</v>
      </c>
      <c r="I1266" t="s">
        <v>27</v>
      </c>
      <c r="J1266" t="s">
        <v>20</v>
      </c>
      <c r="K1266" t="s">
        <v>20</v>
      </c>
      <c r="L1266">
        <v>2</v>
      </c>
      <c r="M1266" s="7">
        <v>64.650000000000006</v>
      </c>
      <c r="N1266" s="7">
        <v>2005.69</v>
      </c>
      <c r="O1266" t="s">
        <v>20</v>
      </c>
    </row>
    <row r="1267" spans="1:15" x14ac:dyDescent="0.3">
      <c r="A1267" t="s">
        <v>1292</v>
      </c>
      <c r="B1267" t="s">
        <v>15</v>
      </c>
      <c r="C1267">
        <v>23</v>
      </c>
      <c r="D1267" t="s">
        <v>20</v>
      </c>
      <c r="E1267">
        <v>37</v>
      </c>
      <c r="F1267" t="str">
        <f t="shared" si="19"/>
        <v>25-48 Months</v>
      </c>
      <c r="G1267" t="s">
        <v>17</v>
      </c>
      <c r="H1267" t="s">
        <v>36</v>
      </c>
      <c r="I1267" t="s">
        <v>24</v>
      </c>
      <c r="J1267" t="s">
        <v>20</v>
      </c>
      <c r="K1267" t="s">
        <v>20</v>
      </c>
      <c r="L1267">
        <v>6</v>
      </c>
      <c r="M1267" s="7">
        <v>79.099999999999994</v>
      </c>
      <c r="N1267" s="7">
        <v>2833.63</v>
      </c>
      <c r="O1267" t="s">
        <v>16</v>
      </c>
    </row>
    <row r="1268" spans="1:15" x14ac:dyDescent="0.3">
      <c r="A1268" t="s">
        <v>1293</v>
      </c>
      <c r="B1268" t="s">
        <v>15</v>
      </c>
      <c r="C1268">
        <v>42</v>
      </c>
      <c r="D1268" t="s">
        <v>20</v>
      </c>
      <c r="E1268">
        <v>13</v>
      </c>
      <c r="F1268" t="str">
        <f t="shared" si="19"/>
        <v>13-24 Months</v>
      </c>
      <c r="G1268" t="s">
        <v>17</v>
      </c>
      <c r="H1268" t="s">
        <v>20</v>
      </c>
      <c r="I1268" t="s">
        <v>30</v>
      </c>
      <c r="J1268" t="s">
        <v>20</v>
      </c>
      <c r="K1268" t="s">
        <v>20</v>
      </c>
      <c r="L1268">
        <v>3</v>
      </c>
      <c r="M1268" s="7">
        <v>51.87</v>
      </c>
      <c r="N1268" s="7">
        <v>710.07</v>
      </c>
      <c r="O1268" t="s">
        <v>16</v>
      </c>
    </row>
    <row r="1269" spans="1:15" x14ac:dyDescent="0.3">
      <c r="A1269" t="s">
        <v>1294</v>
      </c>
      <c r="B1269" t="s">
        <v>22</v>
      </c>
      <c r="C1269">
        <v>30</v>
      </c>
      <c r="D1269" t="s">
        <v>20</v>
      </c>
      <c r="E1269">
        <v>32</v>
      </c>
      <c r="F1269" t="str">
        <f t="shared" si="19"/>
        <v>25-48 Months</v>
      </c>
      <c r="G1269" t="s">
        <v>23</v>
      </c>
      <c r="H1269" t="s">
        <v>36</v>
      </c>
      <c r="I1269" t="s">
        <v>30</v>
      </c>
      <c r="J1269" t="s">
        <v>20</v>
      </c>
      <c r="K1269" t="s">
        <v>20</v>
      </c>
      <c r="L1269">
        <v>7</v>
      </c>
      <c r="M1269" s="7">
        <v>68.95</v>
      </c>
      <c r="N1269" s="7">
        <v>2264.37</v>
      </c>
      <c r="O1269" t="s">
        <v>20</v>
      </c>
    </row>
    <row r="1270" spans="1:15" x14ac:dyDescent="0.3">
      <c r="A1270" t="s">
        <v>1295</v>
      </c>
      <c r="B1270" t="s">
        <v>15</v>
      </c>
      <c r="C1270">
        <v>70</v>
      </c>
      <c r="D1270" t="s">
        <v>16</v>
      </c>
      <c r="E1270">
        <v>46</v>
      </c>
      <c r="F1270" t="str">
        <f t="shared" si="19"/>
        <v>25-48 Months</v>
      </c>
      <c r="G1270" t="s">
        <v>35</v>
      </c>
      <c r="H1270" t="s">
        <v>36</v>
      </c>
      <c r="I1270" t="s">
        <v>30</v>
      </c>
      <c r="J1270" t="s">
        <v>20</v>
      </c>
      <c r="K1270" t="s">
        <v>16</v>
      </c>
      <c r="L1270">
        <v>7</v>
      </c>
      <c r="M1270" s="7">
        <v>67.930000000000007</v>
      </c>
      <c r="N1270" s="7">
        <v>3305.41</v>
      </c>
      <c r="O1270" t="s">
        <v>20</v>
      </c>
    </row>
    <row r="1271" spans="1:15" x14ac:dyDescent="0.3">
      <c r="A1271" t="s">
        <v>1296</v>
      </c>
      <c r="B1271" t="s">
        <v>22</v>
      </c>
      <c r="C1271">
        <v>51</v>
      </c>
      <c r="D1271" t="s">
        <v>20</v>
      </c>
      <c r="E1271">
        <v>23</v>
      </c>
      <c r="F1271" t="str">
        <f t="shared" si="19"/>
        <v>13-24 Months</v>
      </c>
      <c r="G1271" t="s">
        <v>23</v>
      </c>
      <c r="H1271" t="s">
        <v>36</v>
      </c>
      <c r="I1271" t="s">
        <v>24</v>
      </c>
      <c r="J1271" t="s">
        <v>20</v>
      </c>
      <c r="K1271" t="s">
        <v>16</v>
      </c>
      <c r="L1271">
        <v>5</v>
      </c>
      <c r="M1271" s="7">
        <v>70.900000000000006</v>
      </c>
      <c r="N1271" s="7">
        <v>1754.92</v>
      </c>
      <c r="O1271" t="s">
        <v>20</v>
      </c>
    </row>
    <row r="1272" spans="1:15" x14ac:dyDescent="0.3">
      <c r="A1272" t="s">
        <v>1297</v>
      </c>
      <c r="B1272" t="s">
        <v>22</v>
      </c>
      <c r="C1272">
        <v>25</v>
      </c>
      <c r="D1272" t="s">
        <v>20</v>
      </c>
      <c r="E1272">
        <v>45</v>
      </c>
      <c r="F1272" t="str">
        <f t="shared" si="19"/>
        <v>25-48 Months</v>
      </c>
      <c r="G1272" t="s">
        <v>17</v>
      </c>
      <c r="H1272" t="s">
        <v>18</v>
      </c>
      <c r="I1272" t="s">
        <v>30</v>
      </c>
      <c r="J1272" t="s">
        <v>20</v>
      </c>
      <c r="K1272" t="s">
        <v>20</v>
      </c>
      <c r="L1272">
        <v>4</v>
      </c>
      <c r="M1272" s="7">
        <v>77.28</v>
      </c>
      <c r="N1272" s="7">
        <v>3684.3</v>
      </c>
      <c r="O1272" t="s">
        <v>20</v>
      </c>
    </row>
    <row r="1273" spans="1:15" x14ac:dyDescent="0.3">
      <c r="A1273" t="s">
        <v>1298</v>
      </c>
      <c r="B1273" t="s">
        <v>22</v>
      </c>
      <c r="C1273">
        <v>38</v>
      </c>
      <c r="D1273" t="s">
        <v>20</v>
      </c>
      <c r="E1273">
        <v>17</v>
      </c>
      <c r="F1273" t="str">
        <f t="shared" si="19"/>
        <v>13-24 Months</v>
      </c>
      <c r="G1273" t="s">
        <v>35</v>
      </c>
      <c r="H1273" t="s">
        <v>20</v>
      </c>
      <c r="I1273" t="s">
        <v>27</v>
      </c>
      <c r="J1273" t="s">
        <v>20</v>
      </c>
      <c r="K1273" t="s">
        <v>20</v>
      </c>
      <c r="L1273">
        <v>1</v>
      </c>
      <c r="M1273" s="7">
        <v>33.08</v>
      </c>
      <c r="N1273" s="7">
        <v>553.69000000000005</v>
      </c>
      <c r="O1273" t="s">
        <v>16</v>
      </c>
    </row>
    <row r="1274" spans="1:15" x14ac:dyDescent="0.3">
      <c r="A1274" t="s">
        <v>1299</v>
      </c>
      <c r="B1274" t="s">
        <v>15</v>
      </c>
      <c r="C1274">
        <v>51</v>
      </c>
      <c r="D1274" t="s">
        <v>20</v>
      </c>
      <c r="E1274">
        <v>66</v>
      </c>
      <c r="F1274" t="str">
        <f t="shared" si="19"/>
        <v>49+ Months</v>
      </c>
      <c r="G1274" t="s">
        <v>23</v>
      </c>
      <c r="H1274" t="s">
        <v>18</v>
      </c>
      <c r="I1274" t="s">
        <v>19</v>
      </c>
      <c r="J1274" t="s">
        <v>16</v>
      </c>
      <c r="K1274" t="s">
        <v>20</v>
      </c>
      <c r="L1274">
        <v>3</v>
      </c>
      <c r="M1274" s="7">
        <v>78.91</v>
      </c>
      <c r="N1274" s="7">
        <v>5470.13</v>
      </c>
      <c r="O1274" t="s">
        <v>20</v>
      </c>
    </row>
    <row r="1275" spans="1:15" x14ac:dyDescent="0.3">
      <c r="A1275" t="s">
        <v>1300</v>
      </c>
      <c r="B1275" t="s">
        <v>15</v>
      </c>
      <c r="C1275">
        <v>21</v>
      </c>
      <c r="D1275" t="s">
        <v>20</v>
      </c>
      <c r="E1275">
        <v>6</v>
      </c>
      <c r="F1275" t="str">
        <f t="shared" si="19"/>
        <v>0-6 Months</v>
      </c>
      <c r="G1275" t="s">
        <v>17</v>
      </c>
      <c r="H1275" t="s">
        <v>20</v>
      </c>
      <c r="I1275" t="s">
        <v>27</v>
      </c>
      <c r="J1275" t="s">
        <v>20</v>
      </c>
      <c r="K1275" t="s">
        <v>20</v>
      </c>
      <c r="L1275">
        <v>5</v>
      </c>
      <c r="M1275" s="7">
        <v>45.26</v>
      </c>
      <c r="N1275" s="7">
        <v>280.76</v>
      </c>
      <c r="O1275" t="s">
        <v>20</v>
      </c>
    </row>
    <row r="1276" spans="1:15" x14ac:dyDescent="0.3">
      <c r="A1276" t="s">
        <v>1301</v>
      </c>
      <c r="B1276" t="s">
        <v>15</v>
      </c>
      <c r="C1276">
        <v>42</v>
      </c>
      <c r="D1276" t="s">
        <v>20</v>
      </c>
      <c r="E1276">
        <v>18</v>
      </c>
      <c r="F1276" t="str">
        <f t="shared" si="19"/>
        <v>13-24 Months</v>
      </c>
      <c r="G1276" t="s">
        <v>17</v>
      </c>
      <c r="H1276" t="s">
        <v>36</v>
      </c>
      <c r="I1276" t="s">
        <v>19</v>
      </c>
      <c r="J1276" t="s">
        <v>20</v>
      </c>
      <c r="K1276" t="s">
        <v>16</v>
      </c>
      <c r="L1276">
        <v>4</v>
      </c>
      <c r="M1276" s="7">
        <v>60.16</v>
      </c>
      <c r="N1276" s="7">
        <v>1006.92</v>
      </c>
      <c r="O1276" t="s">
        <v>20</v>
      </c>
    </row>
    <row r="1277" spans="1:15" x14ac:dyDescent="0.3">
      <c r="A1277" t="s">
        <v>1302</v>
      </c>
      <c r="B1277" t="s">
        <v>22</v>
      </c>
      <c r="C1277">
        <v>32</v>
      </c>
      <c r="D1277" t="s">
        <v>20</v>
      </c>
      <c r="E1277">
        <v>22</v>
      </c>
      <c r="F1277" t="str">
        <f t="shared" si="19"/>
        <v>13-24 Months</v>
      </c>
      <c r="G1277" t="s">
        <v>35</v>
      </c>
      <c r="H1277" t="s">
        <v>36</v>
      </c>
      <c r="I1277" t="s">
        <v>27</v>
      </c>
      <c r="J1277" t="s">
        <v>20</v>
      </c>
      <c r="K1277" t="s">
        <v>20</v>
      </c>
      <c r="L1277">
        <v>6</v>
      </c>
      <c r="M1277" s="7">
        <v>69.59</v>
      </c>
      <c r="N1277" s="7">
        <v>1636.25</v>
      </c>
      <c r="O1277" t="s">
        <v>20</v>
      </c>
    </row>
    <row r="1278" spans="1:15" x14ac:dyDescent="0.3">
      <c r="A1278" t="s">
        <v>1303</v>
      </c>
      <c r="B1278" t="s">
        <v>15</v>
      </c>
      <c r="C1278">
        <v>21</v>
      </c>
      <c r="D1278" t="s">
        <v>20</v>
      </c>
      <c r="E1278">
        <v>33</v>
      </c>
      <c r="F1278" t="str">
        <f t="shared" si="19"/>
        <v>25-48 Months</v>
      </c>
      <c r="G1278" t="s">
        <v>17</v>
      </c>
      <c r="H1278" t="s">
        <v>36</v>
      </c>
      <c r="I1278" t="s">
        <v>30</v>
      </c>
      <c r="J1278" t="s">
        <v>16</v>
      </c>
      <c r="K1278" t="s">
        <v>20</v>
      </c>
      <c r="L1278">
        <v>4</v>
      </c>
      <c r="M1278" s="7">
        <v>51.38</v>
      </c>
      <c r="N1278" s="7">
        <v>1686.31</v>
      </c>
      <c r="O1278" t="s">
        <v>20</v>
      </c>
    </row>
    <row r="1279" spans="1:15" x14ac:dyDescent="0.3">
      <c r="A1279" t="s">
        <v>1304</v>
      </c>
      <c r="B1279" t="s">
        <v>15</v>
      </c>
      <c r="C1279">
        <v>62</v>
      </c>
      <c r="D1279" t="s">
        <v>16</v>
      </c>
      <c r="E1279">
        <v>30</v>
      </c>
      <c r="F1279" t="str">
        <f t="shared" si="19"/>
        <v>25-48 Months</v>
      </c>
      <c r="G1279" t="s">
        <v>17</v>
      </c>
      <c r="H1279" t="s">
        <v>36</v>
      </c>
      <c r="I1279" t="s">
        <v>30</v>
      </c>
      <c r="J1279" t="s">
        <v>16</v>
      </c>
      <c r="K1279" t="s">
        <v>16</v>
      </c>
      <c r="L1279">
        <v>6</v>
      </c>
      <c r="M1279" s="7">
        <v>62.24</v>
      </c>
      <c r="N1279" s="7">
        <v>1757.99</v>
      </c>
      <c r="O1279" t="s">
        <v>20</v>
      </c>
    </row>
    <row r="1280" spans="1:15" x14ac:dyDescent="0.3">
      <c r="A1280" t="s">
        <v>1305</v>
      </c>
      <c r="B1280" t="s">
        <v>15</v>
      </c>
      <c r="C1280">
        <v>29</v>
      </c>
      <c r="D1280" t="s">
        <v>20</v>
      </c>
      <c r="E1280">
        <v>32</v>
      </c>
      <c r="F1280" t="str">
        <f t="shared" si="19"/>
        <v>25-48 Months</v>
      </c>
      <c r="G1280" t="s">
        <v>23</v>
      </c>
      <c r="H1280" t="s">
        <v>36</v>
      </c>
      <c r="I1280" t="s">
        <v>24</v>
      </c>
      <c r="J1280" t="s">
        <v>16</v>
      </c>
      <c r="K1280" t="s">
        <v>20</v>
      </c>
      <c r="L1280">
        <v>3</v>
      </c>
      <c r="M1280" s="7">
        <v>56.58</v>
      </c>
      <c r="N1280" s="7">
        <v>1788.94</v>
      </c>
      <c r="O1280" t="s">
        <v>20</v>
      </c>
    </row>
    <row r="1281" spans="1:15" x14ac:dyDescent="0.3">
      <c r="A1281" t="s">
        <v>1306</v>
      </c>
      <c r="B1281" t="s">
        <v>22</v>
      </c>
      <c r="C1281">
        <v>49</v>
      </c>
      <c r="D1281" t="s">
        <v>20</v>
      </c>
      <c r="E1281">
        <v>42</v>
      </c>
      <c r="F1281" t="str">
        <f t="shared" si="19"/>
        <v>25-48 Months</v>
      </c>
      <c r="G1281" t="s">
        <v>35</v>
      </c>
      <c r="H1281" t="s">
        <v>18</v>
      </c>
      <c r="I1281" t="s">
        <v>24</v>
      </c>
      <c r="J1281" t="s">
        <v>16</v>
      </c>
      <c r="K1281" t="s">
        <v>20</v>
      </c>
      <c r="L1281">
        <v>3</v>
      </c>
      <c r="M1281" s="7">
        <v>71.819999999999993</v>
      </c>
      <c r="N1281" s="7">
        <v>3066.22</v>
      </c>
      <c r="O1281" t="s">
        <v>20</v>
      </c>
    </row>
    <row r="1282" spans="1:15" x14ac:dyDescent="0.3">
      <c r="A1282" t="s">
        <v>1307</v>
      </c>
      <c r="B1282" t="s">
        <v>22</v>
      </c>
      <c r="C1282">
        <v>49</v>
      </c>
      <c r="D1282" t="s">
        <v>20</v>
      </c>
      <c r="E1282">
        <v>10</v>
      </c>
      <c r="F1282" t="str">
        <f t="shared" ref="F1282:F1345" si="20">IF(E1282&lt;=6,"0-6 Months",
 IF(E1282&lt;=12,"7-12 Months",
 IF(E1282&lt;=24,"13-24 Months",
 IF(E1282&lt;=48,"25-48 Months","49+ Months"))))</f>
        <v>7-12 Months</v>
      </c>
      <c r="G1282" t="s">
        <v>17</v>
      </c>
      <c r="H1282" t="s">
        <v>36</v>
      </c>
      <c r="I1282" t="s">
        <v>30</v>
      </c>
      <c r="J1282" t="s">
        <v>20</v>
      </c>
      <c r="K1282" t="s">
        <v>20</v>
      </c>
      <c r="L1282">
        <v>6</v>
      </c>
      <c r="M1282" s="7">
        <v>86.44</v>
      </c>
      <c r="N1282" s="7">
        <v>874.49</v>
      </c>
      <c r="O1282" t="s">
        <v>16</v>
      </c>
    </row>
    <row r="1283" spans="1:15" x14ac:dyDescent="0.3">
      <c r="A1283" t="s">
        <v>1308</v>
      </c>
      <c r="B1283" t="s">
        <v>15</v>
      </c>
      <c r="C1283">
        <v>45</v>
      </c>
      <c r="D1283" t="s">
        <v>20</v>
      </c>
      <c r="E1283">
        <v>36</v>
      </c>
      <c r="F1283" t="str">
        <f t="shared" si="20"/>
        <v>25-48 Months</v>
      </c>
      <c r="G1283" t="s">
        <v>17</v>
      </c>
      <c r="H1283" t="s">
        <v>36</v>
      </c>
      <c r="I1283" t="s">
        <v>19</v>
      </c>
      <c r="J1283" t="s">
        <v>16</v>
      </c>
      <c r="K1283" t="s">
        <v>20</v>
      </c>
      <c r="L1283">
        <v>6</v>
      </c>
      <c r="M1283" s="7">
        <v>67.930000000000007</v>
      </c>
      <c r="N1283" s="7">
        <v>2474.75</v>
      </c>
      <c r="O1283" t="s">
        <v>20</v>
      </c>
    </row>
    <row r="1284" spans="1:15" x14ac:dyDescent="0.3">
      <c r="A1284" t="s">
        <v>1309</v>
      </c>
      <c r="B1284" t="s">
        <v>15</v>
      </c>
      <c r="C1284">
        <v>30</v>
      </c>
      <c r="D1284" t="s">
        <v>20</v>
      </c>
      <c r="E1284">
        <v>34</v>
      </c>
      <c r="F1284" t="str">
        <f t="shared" si="20"/>
        <v>25-48 Months</v>
      </c>
      <c r="G1284" t="s">
        <v>17</v>
      </c>
      <c r="H1284" t="s">
        <v>20</v>
      </c>
      <c r="I1284" t="s">
        <v>19</v>
      </c>
      <c r="J1284" t="s">
        <v>16</v>
      </c>
      <c r="K1284" t="s">
        <v>16</v>
      </c>
      <c r="L1284">
        <v>5</v>
      </c>
      <c r="M1284" s="7">
        <v>32.83</v>
      </c>
      <c r="N1284" s="7">
        <v>1072.6099999999999</v>
      </c>
      <c r="O1284" t="s">
        <v>20</v>
      </c>
    </row>
    <row r="1285" spans="1:15" x14ac:dyDescent="0.3">
      <c r="A1285" t="s">
        <v>1310</v>
      </c>
      <c r="B1285" t="s">
        <v>15</v>
      </c>
      <c r="C1285">
        <v>48</v>
      </c>
      <c r="D1285" t="s">
        <v>20</v>
      </c>
      <c r="E1285">
        <v>28</v>
      </c>
      <c r="F1285" t="str">
        <f t="shared" si="20"/>
        <v>25-48 Months</v>
      </c>
      <c r="G1285" t="s">
        <v>23</v>
      </c>
      <c r="H1285" t="s">
        <v>36</v>
      </c>
      <c r="I1285" t="s">
        <v>24</v>
      </c>
      <c r="J1285" t="s">
        <v>16</v>
      </c>
      <c r="K1285" t="s">
        <v>20</v>
      </c>
      <c r="L1285">
        <v>5</v>
      </c>
      <c r="M1285" s="7">
        <v>43.3</v>
      </c>
      <c r="N1285" s="7">
        <v>1238.1400000000001</v>
      </c>
      <c r="O1285" t="s">
        <v>20</v>
      </c>
    </row>
    <row r="1286" spans="1:15" x14ac:dyDescent="0.3">
      <c r="A1286" t="s">
        <v>1311</v>
      </c>
      <c r="B1286" t="s">
        <v>15</v>
      </c>
      <c r="C1286">
        <v>31</v>
      </c>
      <c r="D1286" t="s">
        <v>20</v>
      </c>
      <c r="E1286">
        <v>11</v>
      </c>
      <c r="F1286" t="str">
        <f t="shared" si="20"/>
        <v>7-12 Months</v>
      </c>
      <c r="G1286" t="s">
        <v>17</v>
      </c>
      <c r="H1286" t="s">
        <v>18</v>
      </c>
      <c r="I1286" t="s">
        <v>27</v>
      </c>
      <c r="J1286" t="s">
        <v>20</v>
      </c>
      <c r="K1286" t="s">
        <v>20</v>
      </c>
      <c r="L1286">
        <v>4</v>
      </c>
      <c r="M1286" s="7">
        <v>84.75</v>
      </c>
      <c r="N1286" s="7">
        <v>993.02</v>
      </c>
      <c r="O1286" t="s">
        <v>20</v>
      </c>
    </row>
    <row r="1287" spans="1:15" x14ac:dyDescent="0.3">
      <c r="A1287" t="s">
        <v>1312</v>
      </c>
      <c r="B1287" t="s">
        <v>22</v>
      </c>
      <c r="C1287">
        <v>37</v>
      </c>
      <c r="D1287" t="s">
        <v>20</v>
      </c>
      <c r="E1287">
        <v>39</v>
      </c>
      <c r="F1287" t="str">
        <f t="shared" si="20"/>
        <v>25-48 Months</v>
      </c>
      <c r="G1287" t="s">
        <v>17</v>
      </c>
      <c r="H1287" t="s">
        <v>18</v>
      </c>
      <c r="I1287" t="s">
        <v>27</v>
      </c>
      <c r="J1287" t="s">
        <v>20</v>
      </c>
      <c r="K1287" t="s">
        <v>20</v>
      </c>
      <c r="L1287">
        <v>5</v>
      </c>
      <c r="M1287" s="7">
        <v>83.99</v>
      </c>
      <c r="N1287" s="7">
        <v>3217.26</v>
      </c>
      <c r="O1287" t="s">
        <v>20</v>
      </c>
    </row>
    <row r="1288" spans="1:15" x14ac:dyDescent="0.3">
      <c r="A1288" t="s">
        <v>1313</v>
      </c>
      <c r="B1288" t="s">
        <v>22</v>
      </c>
      <c r="C1288">
        <v>35</v>
      </c>
      <c r="D1288" t="s">
        <v>20</v>
      </c>
      <c r="E1288">
        <v>47</v>
      </c>
      <c r="F1288" t="str">
        <f t="shared" si="20"/>
        <v>25-48 Months</v>
      </c>
      <c r="G1288" t="s">
        <v>35</v>
      </c>
      <c r="H1288" t="s">
        <v>36</v>
      </c>
      <c r="I1288" t="s">
        <v>24</v>
      </c>
      <c r="J1288" t="s">
        <v>16</v>
      </c>
      <c r="K1288" t="s">
        <v>20</v>
      </c>
      <c r="L1288">
        <v>5</v>
      </c>
      <c r="M1288" s="7">
        <v>73.08</v>
      </c>
      <c r="N1288" s="7">
        <v>3506.52</v>
      </c>
      <c r="O1288" t="s">
        <v>20</v>
      </c>
    </row>
    <row r="1289" spans="1:15" x14ac:dyDescent="0.3">
      <c r="A1289" t="s">
        <v>1314</v>
      </c>
      <c r="B1289" t="s">
        <v>22</v>
      </c>
      <c r="C1289">
        <v>46</v>
      </c>
      <c r="D1289" t="s">
        <v>20</v>
      </c>
      <c r="E1289">
        <v>19</v>
      </c>
      <c r="F1289" t="str">
        <f t="shared" si="20"/>
        <v>13-24 Months</v>
      </c>
      <c r="G1289" t="s">
        <v>17</v>
      </c>
      <c r="H1289" t="s">
        <v>18</v>
      </c>
      <c r="I1289" t="s">
        <v>30</v>
      </c>
      <c r="J1289" t="s">
        <v>20</v>
      </c>
      <c r="K1289" t="s">
        <v>16</v>
      </c>
      <c r="L1289">
        <v>6</v>
      </c>
      <c r="M1289" s="7">
        <v>82.49</v>
      </c>
      <c r="N1289" s="7">
        <v>1503.11</v>
      </c>
      <c r="O1289" t="s">
        <v>20</v>
      </c>
    </row>
    <row r="1290" spans="1:15" x14ac:dyDescent="0.3">
      <c r="A1290" t="s">
        <v>1315</v>
      </c>
      <c r="B1290" t="s">
        <v>22</v>
      </c>
      <c r="C1290">
        <v>23</v>
      </c>
      <c r="D1290" t="s">
        <v>20</v>
      </c>
      <c r="E1290">
        <v>15</v>
      </c>
      <c r="F1290" t="str">
        <f t="shared" si="20"/>
        <v>13-24 Months</v>
      </c>
      <c r="G1290" t="s">
        <v>23</v>
      </c>
      <c r="H1290" t="s">
        <v>18</v>
      </c>
      <c r="I1290" t="s">
        <v>27</v>
      </c>
      <c r="J1290" t="s">
        <v>20</v>
      </c>
      <c r="K1290" t="s">
        <v>20</v>
      </c>
      <c r="L1290">
        <v>5</v>
      </c>
      <c r="M1290" s="7">
        <v>82.16</v>
      </c>
      <c r="N1290" s="7">
        <v>1143.33</v>
      </c>
      <c r="O1290" t="s">
        <v>20</v>
      </c>
    </row>
    <row r="1291" spans="1:15" x14ac:dyDescent="0.3">
      <c r="A1291" t="s">
        <v>1316</v>
      </c>
      <c r="B1291" t="s">
        <v>15</v>
      </c>
      <c r="C1291">
        <v>49</v>
      </c>
      <c r="D1291" t="s">
        <v>20</v>
      </c>
      <c r="E1291">
        <v>28</v>
      </c>
      <c r="F1291" t="str">
        <f t="shared" si="20"/>
        <v>25-48 Months</v>
      </c>
      <c r="G1291" t="s">
        <v>17</v>
      </c>
      <c r="H1291" t="s">
        <v>20</v>
      </c>
      <c r="I1291" t="s">
        <v>30</v>
      </c>
      <c r="J1291" t="s">
        <v>16</v>
      </c>
      <c r="K1291" t="s">
        <v>16</v>
      </c>
      <c r="L1291">
        <v>6</v>
      </c>
      <c r="M1291" s="7">
        <v>50.95</v>
      </c>
      <c r="N1291" s="7">
        <v>1446.17</v>
      </c>
      <c r="O1291" t="s">
        <v>20</v>
      </c>
    </row>
    <row r="1292" spans="1:15" x14ac:dyDescent="0.3">
      <c r="A1292" t="s">
        <v>1317</v>
      </c>
      <c r="B1292" t="s">
        <v>15</v>
      </c>
      <c r="C1292">
        <v>46</v>
      </c>
      <c r="D1292" t="s">
        <v>20</v>
      </c>
      <c r="E1292">
        <v>24</v>
      </c>
      <c r="F1292" t="str">
        <f t="shared" si="20"/>
        <v>13-24 Months</v>
      </c>
      <c r="G1292" t="s">
        <v>17</v>
      </c>
      <c r="H1292" t="s">
        <v>36</v>
      </c>
      <c r="I1292" t="s">
        <v>24</v>
      </c>
      <c r="J1292" t="s">
        <v>20</v>
      </c>
      <c r="K1292" t="s">
        <v>16</v>
      </c>
      <c r="L1292">
        <v>5</v>
      </c>
      <c r="M1292" s="7">
        <v>61.91</v>
      </c>
      <c r="N1292" s="7">
        <v>1378.28</v>
      </c>
      <c r="O1292" t="s">
        <v>20</v>
      </c>
    </row>
    <row r="1293" spans="1:15" x14ac:dyDescent="0.3">
      <c r="A1293" t="s">
        <v>1318</v>
      </c>
      <c r="B1293" t="s">
        <v>15</v>
      </c>
      <c r="C1293">
        <v>60</v>
      </c>
      <c r="D1293" t="s">
        <v>16</v>
      </c>
      <c r="E1293">
        <v>72</v>
      </c>
      <c r="F1293" t="str">
        <f t="shared" si="20"/>
        <v>49+ Months</v>
      </c>
      <c r="G1293" t="s">
        <v>23</v>
      </c>
      <c r="H1293" t="s">
        <v>36</v>
      </c>
      <c r="I1293" t="s">
        <v>30</v>
      </c>
      <c r="J1293" t="s">
        <v>16</v>
      </c>
      <c r="K1293" t="s">
        <v>20</v>
      </c>
      <c r="L1293">
        <v>2</v>
      </c>
      <c r="M1293" s="7">
        <v>49.34</v>
      </c>
      <c r="N1293" s="7">
        <v>3679.56</v>
      </c>
      <c r="O1293" t="s">
        <v>20</v>
      </c>
    </row>
    <row r="1294" spans="1:15" x14ac:dyDescent="0.3">
      <c r="A1294" t="s">
        <v>1319</v>
      </c>
      <c r="B1294" t="s">
        <v>22</v>
      </c>
      <c r="C1294">
        <v>19</v>
      </c>
      <c r="D1294" t="s">
        <v>20</v>
      </c>
      <c r="E1294">
        <v>9</v>
      </c>
      <c r="F1294" t="str">
        <f t="shared" si="20"/>
        <v>7-12 Months</v>
      </c>
      <c r="G1294" t="s">
        <v>17</v>
      </c>
      <c r="H1294" t="s">
        <v>18</v>
      </c>
      <c r="I1294" t="s">
        <v>24</v>
      </c>
      <c r="J1294" t="s">
        <v>20</v>
      </c>
      <c r="K1294" t="s">
        <v>20</v>
      </c>
      <c r="L1294">
        <v>3</v>
      </c>
      <c r="M1294" s="7">
        <v>80.08</v>
      </c>
      <c r="N1294" s="7">
        <v>740.36</v>
      </c>
      <c r="O1294" t="s">
        <v>16</v>
      </c>
    </row>
    <row r="1295" spans="1:15" x14ac:dyDescent="0.3">
      <c r="A1295" t="s">
        <v>1320</v>
      </c>
      <c r="B1295" t="s">
        <v>15</v>
      </c>
      <c r="C1295">
        <v>40</v>
      </c>
      <c r="D1295" t="s">
        <v>20</v>
      </c>
      <c r="E1295">
        <v>47</v>
      </c>
      <c r="F1295" t="str">
        <f t="shared" si="20"/>
        <v>25-48 Months</v>
      </c>
      <c r="G1295" t="s">
        <v>17</v>
      </c>
      <c r="H1295" t="s">
        <v>36</v>
      </c>
      <c r="I1295" t="s">
        <v>24</v>
      </c>
      <c r="J1295" t="s">
        <v>16</v>
      </c>
      <c r="K1295" t="s">
        <v>16</v>
      </c>
      <c r="L1295">
        <v>3</v>
      </c>
      <c r="M1295" s="7">
        <v>49.16</v>
      </c>
      <c r="N1295" s="7">
        <v>2262.21</v>
      </c>
      <c r="O1295" t="s">
        <v>20</v>
      </c>
    </row>
    <row r="1296" spans="1:15" x14ac:dyDescent="0.3">
      <c r="A1296" t="s">
        <v>1321</v>
      </c>
      <c r="B1296" t="s">
        <v>22</v>
      </c>
      <c r="C1296">
        <v>36</v>
      </c>
      <c r="D1296" t="s">
        <v>20</v>
      </c>
      <c r="E1296">
        <v>33</v>
      </c>
      <c r="F1296" t="str">
        <f t="shared" si="20"/>
        <v>25-48 Months</v>
      </c>
      <c r="G1296" t="s">
        <v>17</v>
      </c>
      <c r="H1296" t="s">
        <v>18</v>
      </c>
      <c r="I1296" t="s">
        <v>24</v>
      </c>
      <c r="J1296" t="s">
        <v>20</v>
      </c>
      <c r="K1296" t="s">
        <v>20</v>
      </c>
      <c r="L1296">
        <v>2</v>
      </c>
      <c r="M1296" s="7">
        <v>74.75</v>
      </c>
      <c r="N1296" s="7">
        <v>2431.7399999999998</v>
      </c>
      <c r="O1296" t="s">
        <v>20</v>
      </c>
    </row>
    <row r="1297" spans="1:15" x14ac:dyDescent="0.3">
      <c r="A1297" t="s">
        <v>1322</v>
      </c>
      <c r="B1297" t="s">
        <v>22</v>
      </c>
      <c r="C1297">
        <v>48</v>
      </c>
      <c r="D1297" t="s">
        <v>20</v>
      </c>
      <c r="E1297">
        <v>62</v>
      </c>
      <c r="F1297" t="str">
        <f t="shared" si="20"/>
        <v>49+ Months</v>
      </c>
      <c r="G1297" t="s">
        <v>23</v>
      </c>
      <c r="H1297" t="s">
        <v>36</v>
      </c>
      <c r="I1297" t="s">
        <v>30</v>
      </c>
      <c r="J1297" t="s">
        <v>16</v>
      </c>
      <c r="K1297" t="s">
        <v>20</v>
      </c>
      <c r="L1297">
        <v>4</v>
      </c>
      <c r="M1297" s="7">
        <v>71.8</v>
      </c>
      <c r="N1297" s="7">
        <v>4749.1499999999996</v>
      </c>
      <c r="O1297" t="s">
        <v>20</v>
      </c>
    </row>
    <row r="1298" spans="1:15" x14ac:dyDescent="0.3">
      <c r="A1298" t="s">
        <v>1323</v>
      </c>
      <c r="B1298" t="s">
        <v>15</v>
      </c>
      <c r="C1298">
        <v>68</v>
      </c>
      <c r="D1298" t="s">
        <v>16</v>
      </c>
      <c r="E1298">
        <v>19</v>
      </c>
      <c r="F1298" t="str">
        <f t="shared" si="20"/>
        <v>13-24 Months</v>
      </c>
      <c r="G1298" t="s">
        <v>35</v>
      </c>
      <c r="H1298" t="s">
        <v>18</v>
      </c>
      <c r="I1298" t="s">
        <v>24</v>
      </c>
      <c r="J1298" t="s">
        <v>20</v>
      </c>
      <c r="K1298" t="s">
        <v>16</v>
      </c>
      <c r="L1298">
        <v>6</v>
      </c>
      <c r="M1298" s="7">
        <v>98.59</v>
      </c>
      <c r="N1298" s="7">
        <v>1727.29</v>
      </c>
      <c r="O1298" t="s">
        <v>20</v>
      </c>
    </row>
    <row r="1299" spans="1:15" x14ac:dyDescent="0.3">
      <c r="A1299" t="s">
        <v>1324</v>
      </c>
      <c r="B1299" t="s">
        <v>15</v>
      </c>
      <c r="C1299">
        <v>22</v>
      </c>
      <c r="D1299" t="s">
        <v>20</v>
      </c>
      <c r="E1299">
        <v>67</v>
      </c>
      <c r="F1299" t="str">
        <f t="shared" si="20"/>
        <v>49+ Months</v>
      </c>
      <c r="G1299" t="s">
        <v>35</v>
      </c>
      <c r="H1299" t="s">
        <v>20</v>
      </c>
      <c r="I1299" t="s">
        <v>27</v>
      </c>
      <c r="J1299" t="s">
        <v>20</v>
      </c>
      <c r="K1299" t="s">
        <v>20</v>
      </c>
      <c r="L1299">
        <v>5</v>
      </c>
      <c r="M1299" s="7">
        <v>32.36</v>
      </c>
      <c r="N1299" s="7">
        <v>2190.08</v>
      </c>
      <c r="O1299" t="s">
        <v>20</v>
      </c>
    </row>
    <row r="1300" spans="1:15" x14ac:dyDescent="0.3">
      <c r="A1300" t="s">
        <v>1325</v>
      </c>
      <c r="B1300" t="s">
        <v>15</v>
      </c>
      <c r="C1300">
        <v>36</v>
      </c>
      <c r="D1300" t="s">
        <v>20</v>
      </c>
      <c r="E1300">
        <v>40</v>
      </c>
      <c r="F1300" t="str">
        <f t="shared" si="20"/>
        <v>25-48 Months</v>
      </c>
      <c r="G1300" t="s">
        <v>17</v>
      </c>
      <c r="H1300" t="s">
        <v>36</v>
      </c>
      <c r="I1300" t="s">
        <v>24</v>
      </c>
      <c r="J1300" t="s">
        <v>16</v>
      </c>
      <c r="K1300" t="s">
        <v>16</v>
      </c>
      <c r="L1300">
        <v>5</v>
      </c>
      <c r="M1300" s="7">
        <v>59.57</v>
      </c>
      <c r="N1300" s="7">
        <v>2544.21</v>
      </c>
      <c r="O1300" t="s">
        <v>20</v>
      </c>
    </row>
    <row r="1301" spans="1:15" x14ac:dyDescent="0.3">
      <c r="A1301" t="s">
        <v>1326</v>
      </c>
      <c r="B1301" t="s">
        <v>22</v>
      </c>
      <c r="C1301">
        <v>51</v>
      </c>
      <c r="D1301" t="s">
        <v>20</v>
      </c>
      <c r="E1301">
        <v>47</v>
      </c>
      <c r="F1301" t="str">
        <f t="shared" si="20"/>
        <v>25-48 Months</v>
      </c>
      <c r="G1301" t="s">
        <v>17</v>
      </c>
      <c r="H1301" t="s">
        <v>18</v>
      </c>
      <c r="I1301" t="s">
        <v>24</v>
      </c>
      <c r="J1301" t="s">
        <v>20</v>
      </c>
      <c r="K1301" t="s">
        <v>20</v>
      </c>
      <c r="L1301">
        <v>7</v>
      </c>
      <c r="M1301" s="7">
        <v>93.03</v>
      </c>
      <c r="N1301" s="7">
        <v>4662.03</v>
      </c>
      <c r="O1301" t="s">
        <v>20</v>
      </c>
    </row>
    <row r="1302" spans="1:15" x14ac:dyDescent="0.3">
      <c r="A1302" t="s">
        <v>1327</v>
      </c>
      <c r="B1302" t="s">
        <v>15</v>
      </c>
      <c r="C1302">
        <v>27</v>
      </c>
      <c r="D1302" t="s">
        <v>20</v>
      </c>
      <c r="E1302">
        <v>65</v>
      </c>
      <c r="F1302" t="str">
        <f t="shared" si="20"/>
        <v>49+ Months</v>
      </c>
      <c r="G1302" t="s">
        <v>17</v>
      </c>
      <c r="H1302" t="s">
        <v>36</v>
      </c>
      <c r="I1302" t="s">
        <v>19</v>
      </c>
      <c r="J1302" t="s">
        <v>20</v>
      </c>
      <c r="K1302" t="s">
        <v>20</v>
      </c>
      <c r="L1302">
        <v>3</v>
      </c>
      <c r="M1302" s="7">
        <v>63.95</v>
      </c>
      <c r="N1302" s="7">
        <v>4213.05</v>
      </c>
      <c r="O1302" t="s">
        <v>20</v>
      </c>
    </row>
    <row r="1303" spans="1:15" x14ac:dyDescent="0.3">
      <c r="A1303" t="s">
        <v>1328</v>
      </c>
      <c r="B1303" t="s">
        <v>22</v>
      </c>
      <c r="C1303">
        <v>42</v>
      </c>
      <c r="D1303" t="s">
        <v>20</v>
      </c>
      <c r="E1303">
        <v>29</v>
      </c>
      <c r="F1303" t="str">
        <f t="shared" si="20"/>
        <v>25-48 Months</v>
      </c>
      <c r="G1303" t="s">
        <v>35</v>
      </c>
      <c r="H1303" t="s">
        <v>36</v>
      </c>
      <c r="I1303" t="s">
        <v>24</v>
      </c>
      <c r="J1303" t="s">
        <v>20</v>
      </c>
      <c r="K1303" t="s">
        <v>20</v>
      </c>
      <c r="L1303">
        <v>5</v>
      </c>
      <c r="M1303" s="7">
        <v>64.47</v>
      </c>
      <c r="N1303" s="7">
        <v>1834.1</v>
      </c>
      <c r="O1303" t="s">
        <v>20</v>
      </c>
    </row>
    <row r="1304" spans="1:15" x14ac:dyDescent="0.3">
      <c r="A1304" t="s">
        <v>1329</v>
      </c>
      <c r="B1304" t="s">
        <v>15</v>
      </c>
      <c r="C1304">
        <v>19</v>
      </c>
      <c r="D1304" t="s">
        <v>20</v>
      </c>
      <c r="E1304">
        <v>50</v>
      </c>
      <c r="F1304" t="str">
        <f t="shared" si="20"/>
        <v>49+ Months</v>
      </c>
      <c r="G1304" t="s">
        <v>17</v>
      </c>
      <c r="H1304" t="s">
        <v>18</v>
      </c>
      <c r="I1304" t="s">
        <v>30</v>
      </c>
      <c r="J1304" t="s">
        <v>16</v>
      </c>
      <c r="K1304" t="s">
        <v>20</v>
      </c>
      <c r="L1304">
        <v>4</v>
      </c>
      <c r="M1304" s="7">
        <v>87.96</v>
      </c>
      <c r="N1304" s="7">
        <v>4115.76</v>
      </c>
      <c r="O1304" t="s">
        <v>20</v>
      </c>
    </row>
    <row r="1305" spans="1:15" x14ac:dyDescent="0.3">
      <c r="A1305" t="s">
        <v>1330</v>
      </c>
      <c r="B1305" t="s">
        <v>22</v>
      </c>
      <c r="C1305">
        <v>28</v>
      </c>
      <c r="D1305" t="s">
        <v>20</v>
      </c>
      <c r="E1305">
        <v>13</v>
      </c>
      <c r="F1305" t="str">
        <f t="shared" si="20"/>
        <v>13-24 Months</v>
      </c>
      <c r="G1305" t="s">
        <v>35</v>
      </c>
      <c r="H1305" t="s">
        <v>36</v>
      </c>
      <c r="I1305" t="s">
        <v>19</v>
      </c>
      <c r="J1305" t="s">
        <v>16</v>
      </c>
      <c r="K1305" t="s">
        <v>16</v>
      </c>
      <c r="L1305">
        <v>2</v>
      </c>
      <c r="M1305" s="7">
        <v>46.31</v>
      </c>
      <c r="N1305" s="7">
        <v>570.61</v>
      </c>
      <c r="O1305" t="s">
        <v>20</v>
      </c>
    </row>
    <row r="1306" spans="1:15" x14ac:dyDescent="0.3">
      <c r="A1306" t="s">
        <v>1331</v>
      </c>
      <c r="B1306" t="s">
        <v>22</v>
      </c>
      <c r="C1306">
        <v>67</v>
      </c>
      <c r="D1306" t="s">
        <v>16</v>
      </c>
      <c r="E1306">
        <v>1</v>
      </c>
      <c r="F1306" t="str">
        <f t="shared" si="20"/>
        <v>0-6 Months</v>
      </c>
      <c r="G1306" t="s">
        <v>17</v>
      </c>
      <c r="H1306" t="s">
        <v>18</v>
      </c>
      <c r="I1306" t="s">
        <v>24</v>
      </c>
      <c r="J1306" t="s">
        <v>20</v>
      </c>
      <c r="K1306" t="s">
        <v>20</v>
      </c>
      <c r="L1306">
        <v>4</v>
      </c>
      <c r="M1306" s="7">
        <v>81.31</v>
      </c>
      <c r="N1306" s="7">
        <v>83.65</v>
      </c>
      <c r="O1306" t="s">
        <v>16</v>
      </c>
    </row>
    <row r="1307" spans="1:15" x14ac:dyDescent="0.3">
      <c r="A1307" t="s">
        <v>1332</v>
      </c>
      <c r="B1307" t="s">
        <v>15</v>
      </c>
      <c r="C1307">
        <v>48</v>
      </c>
      <c r="D1307" t="s">
        <v>20</v>
      </c>
      <c r="E1307">
        <v>34</v>
      </c>
      <c r="F1307" t="str">
        <f t="shared" si="20"/>
        <v>25-48 Months</v>
      </c>
      <c r="G1307" t="s">
        <v>35</v>
      </c>
      <c r="H1307" t="s">
        <v>20</v>
      </c>
      <c r="I1307" t="s">
        <v>24</v>
      </c>
      <c r="J1307" t="s">
        <v>20</v>
      </c>
      <c r="K1307" t="s">
        <v>20</v>
      </c>
      <c r="L1307">
        <v>4</v>
      </c>
      <c r="M1307" s="7">
        <v>43.48</v>
      </c>
      <c r="N1307" s="7">
        <v>1363.99</v>
      </c>
      <c r="O1307" t="s">
        <v>20</v>
      </c>
    </row>
    <row r="1308" spans="1:15" x14ac:dyDescent="0.3">
      <c r="A1308" t="s">
        <v>1333</v>
      </c>
      <c r="B1308" t="s">
        <v>22</v>
      </c>
      <c r="C1308">
        <v>73</v>
      </c>
      <c r="D1308" t="s">
        <v>16</v>
      </c>
      <c r="E1308">
        <v>48</v>
      </c>
      <c r="F1308" t="str">
        <f t="shared" si="20"/>
        <v>25-48 Months</v>
      </c>
      <c r="G1308" t="s">
        <v>35</v>
      </c>
      <c r="H1308" t="s">
        <v>20</v>
      </c>
      <c r="I1308" t="s">
        <v>19</v>
      </c>
      <c r="J1308" t="s">
        <v>20</v>
      </c>
      <c r="K1308" t="s">
        <v>20</v>
      </c>
      <c r="L1308">
        <v>3</v>
      </c>
      <c r="M1308" s="7">
        <v>46.19</v>
      </c>
      <c r="N1308" s="7">
        <v>2353.16</v>
      </c>
      <c r="O1308" t="s">
        <v>20</v>
      </c>
    </row>
    <row r="1309" spans="1:15" x14ac:dyDescent="0.3">
      <c r="A1309" t="s">
        <v>1334</v>
      </c>
      <c r="B1309" t="s">
        <v>22</v>
      </c>
      <c r="C1309">
        <v>32</v>
      </c>
      <c r="D1309" t="s">
        <v>20</v>
      </c>
      <c r="E1309">
        <v>48</v>
      </c>
      <c r="F1309" t="str">
        <f t="shared" si="20"/>
        <v>25-48 Months</v>
      </c>
      <c r="G1309" t="s">
        <v>35</v>
      </c>
      <c r="H1309" t="s">
        <v>18</v>
      </c>
      <c r="I1309" t="s">
        <v>24</v>
      </c>
      <c r="J1309" t="s">
        <v>16</v>
      </c>
      <c r="K1309" t="s">
        <v>20</v>
      </c>
      <c r="L1309">
        <v>5</v>
      </c>
      <c r="M1309" s="7">
        <v>89.36</v>
      </c>
      <c r="N1309" s="7">
        <v>4349.63</v>
      </c>
      <c r="O1309" t="s">
        <v>20</v>
      </c>
    </row>
    <row r="1310" spans="1:15" x14ac:dyDescent="0.3">
      <c r="A1310" t="s">
        <v>1335</v>
      </c>
      <c r="B1310" t="s">
        <v>15</v>
      </c>
      <c r="C1310">
        <v>26</v>
      </c>
      <c r="D1310" t="s">
        <v>20</v>
      </c>
      <c r="E1310">
        <v>49</v>
      </c>
      <c r="F1310" t="str">
        <f t="shared" si="20"/>
        <v>49+ Months</v>
      </c>
      <c r="G1310" t="s">
        <v>17</v>
      </c>
      <c r="H1310" t="s">
        <v>20</v>
      </c>
      <c r="I1310" t="s">
        <v>27</v>
      </c>
      <c r="J1310" t="s">
        <v>20</v>
      </c>
      <c r="K1310" t="s">
        <v>20</v>
      </c>
      <c r="L1310">
        <v>7</v>
      </c>
      <c r="M1310" s="7">
        <v>57.83</v>
      </c>
      <c r="N1310" s="7">
        <v>2627.45</v>
      </c>
      <c r="O1310" t="s">
        <v>20</v>
      </c>
    </row>
    <row r="1311" spans="1:15" x14ac:dyDescent="0.3">
      <c r="A1311" t="s">
        <v>1336</v>
      </c>
      <c r="B1311" t="s">
        <v>22</v>
      </c>
      <c r="C1311">
        <v>40</v>
      </c>
      <c r="D1311" t="s">
        <v>20</v>
      </c>
      <c r="E1311">
        <v>64</v>
      </c>
      <c r="F1311" t="str">
        <f t="shared" si="20"/>
        <v>49+ Months</v>
      </c>
      <c r="G1311" t="s">
        <v>17</v>
      </c>
      <c r="H1311" t="s">
        <v>18</v>
      </c>
      <c r="I1311" t="s">
        <v>30</v>
      </c>
      <c r="J1311" t="s">
        <v>20</v>
      </c>
      <c r="K1311" t="s">
        <v>20</v>
      </c>
      <c r="L1311">
        <v>7</v>
      </c>
      <c r="M1311" s="7">
        <v>96.95</v>
      </c>
      <c r="N1311" s="7">
        <v>5946.45</v>
      </c>
      <c r="O1311" t="s">
        <v>20</v>
      </c>
    </row>
    <row r="1312" spans="1:15" x14ac:dyDescent="0.3">
      <c r="A1312" t="s">
        <v>1337</v>
      </c>
      <c r="B1312" t="s">
        <v>15</v>
      </c>
      <c r="C1312">
        <v>36</v>
      </c>
      <c r="D1312" t="s">
        <v>20</v>
      </c>
      <c r="E1312">
        <v>61</v>
      </c>
      <c r="F1312" t="str">
        <f t="shared" si="20"/>
        <v>49+ Months</v>
      </c>
      <c r="G1312" t="s">
        <v>17</v>
      </c>
      <c r="H1312" t="s">
        <v>18</v>
      </c>
      <c r="I1312" t="s">
        <v>30</v>
      </c>
      <c r="J1312" t="s">
        <v>20</v>
      </c>
      <c r="K1312" t="s">
        <v>16</v>
      </c>
      <c r="L1312">
        <v>2</v>
      </c>
      <c r="M1312" s="7">
        <v>62.53</v>
      </c>
      <c r="N1312" s="7">
        <v>3871.82</v>
      </c>
      <c r="O1312" t="s">
        <v>20</v>
      </c>
    </row>
    <row r="1313" spans="1:15" x14ac:dyDescent="0.3">
      <c r="A1313" t="s">
        <v>1338</v>
      </c>
      <c r="B1313" t="s">
        <v>22</v>
      </c>
      <c r="C1313">
        <v>26</v>
      </c>
      <c r="D1313" t="s">
        <v>20</v>
      </c>
      <c r="E1313">
        <v>29</v>
      </c>
      <c r="F1313" t="str">
        <f t="shared" si="20"/>
        <v>25-48 Months</v>
      </c>
      <c r="G1313" t="s">
        <v>17</v>
      </c>
      <c r="H1313" t="s">
        <v>20</v>
      </c>
      <c r="I1313" t="s">
        <v>30</v>
      </c>
      <c r="J1313" t="s">
        <v>20</v>
      </c>
      <c r="K1313" t="s">
        <v>20</v>
      </c>
      <c r="L1313">
        <v>6</v>
      </c>
      <c r="M1313" s="7">
        <v>47.8</v>
      </c>
      <c r="N1313" s="7">
        <v>1283.2</v>
      </c>
      <c r="O1313" t="s">
        <v>20</v>
      </c>
    </row>
    <row r="1314" spans="1:15" x14ac:dyDescent="0.3">
      <c r="A1314" t="s">
        <v>1339</v>
      </c>
      <c r="B1314" t="s">
        <v>15</v>
      </c>
      <c r="C1314">
        <v>52</v>
      </c>
      <c r="D1314" t="s">
        <v>20</v>
      </c>
      <c r="E1314">
        <v>39</v>
      </c>
      <c r="F1314" t="str">
        <f t="shared" si="20"/>
        <v>25-48 Months</v>
      </c>
      <c r="G1314" t="s">
        <v>17</v>
      </c>
      <c r="H1314" t="s">
        <v>36</v>
      </c>
      <c r="I1314" t="s">
        <v>30</v>
      </c>
      <c r="J1314" t="s">
        <v>16</v>
      </c>
      <c r="K1314" t="s">
        <v>20</v>
      </c>
      <c r="L1314">
        <v>3</v>
      </c>
      <c r="M1314" s="7">
        <v>47.97</v>
      </c>
      <c r="N1314" s="7">
        <v>1954.64</v>
      </c>
      <c r="O1314" t="s">
        <v>20</v>
      </c>
    </row>
    <row r="1315" spans="1:15" x14ac:dyDescent="0.3">
      <c r="A1315" t="s">
        <v>1340</v>
      </c>
      <c r="B1315" t="s">
        <v>15</v>
      </c>
      <c r="C1315">
        <v>38</v>
      </c>
      <c r="D1315" t="s">
        <v>20</v>
      </c>
      <c r="E1315">
        <v>26</v>
      </c>
      <c r="F1315" t="str">
        <f t="shared" si="20"/>
        <v>25-48 Months</v>
      </c>
      <c r="G1315" t="s">
        <v>17</v>
      </c>
      <c r="H1315" t="s">
        <v>36</v>
      </c>
      <c r="I1315" t="s">
        <v>27</v>
      </c>
      <c r="J1315" t="s">
        <v>16</v>
      </c>
      <c r="K1315" t="s">
        <v>20</v>
      </c>
      <c r="L1315">
        <v>5</v>
      </c>
      <c r="M1315" s="7">
        <v>58.43</v>
      </c>
      <c r="N1315" s="7">
        <v>1621.25</v>
      </c>
      <c r="O1315" t="s">
        <v>20</v>
      </c>
    </row>
    <row r="1316" spans="1:15" x14ac:dyDescent="0.3">
      <c r="A1316" t="s">
        <v>1341</v>
      </c>
      <c r="B1316" t="s">
        <v>22</v>
      </c>
      <c r="C1316">
        <v>26</v>
      </c>
      <c r="D1316" t="s">
        <v>20</v>
      </c>
      <c r="E1316">
        <v>17</v>
      </c>
      <c r="F1316" t="str">
        <f t="shared" si="20"/>
        <v>13-24 Months</v>
      </c>
      <c r="G1316" t="s">
        <v>17</v>
      </c>
      <c r="H1316" t="s">
        <v>18</v>
      </c>
      <c r="I1316" t="s">
        <v>24</v>
      </c>
      <c r="J1316" t="s">
        <v>16</v>
      </c>
      <c r="K1316" t="s">
        <v>20</v>
      </c>
      <c r="L1316">
        <v>7</v>
      </c>
      <c r="M1316" s="7">
        <v>89.78</v>
      </c>
      <c r="N1316" s="7">
        <v>1638.89</v>
      </c>
      <c r="O1316" t="s">
        <v>20</v>
      </c>
    </row>
    <row r="1317" spans="1:15" x14ac:dyDescent="0.3">
      <c r="A1317" t="s">
        <v>1342</v>
      </c>
      <c r="B1317" t="s">
        <v>22</v>
      </c>
      <c r="C1317">
        <v>45</v>
      </c>
      <c r="D1317" t="s">
        <v>20</v>
      </c>
      <c r="E1317">
        <v>71</v>
      </c>
      <c r="F1317" t="str">
        <f t="shared" si="20"/>
        <v>49+ Months</v>
      </c>
      <c r="G1317" t="s">
        <v>23</v>
      </c>
      <c r="H1317" t="s">
        <v>18</v>
      </c>
      <c r="I1317" t="s">
        <v>24</v>
      </c>
      <c r="J1317" t="s">
        <v>20</v>
      </c>
      <c r="K1317" t="s">
        <v>16</v>
      </c>
      <c r="L1317">
        <v>3</v>
      </c>
      <c r="M1317" s="7">
        <v>59.21</v>
      </c>
      <c r="N1317" s="7">
        <v>4361.08</v>
      </c>
      <c r="O1317" t="s">
        <v>20</v>
      </c>
    </row>
    <row r="1318" spans="1:15" x14ac:dyDescent="0.3">
      <c r="A1318" t="s">
        <v>1343</v>
      </c>
      <c r="B1318" t="s">
        <v>22</v>
      </c>
      <c r="C1318">
        <v>63</v>
      </c>
      <c r="D1318" t="s">
        <v>16</v>
      </c>
      <c r="E1318">
        <v>13</v>
      </c>
      <c r="F1318" t="str">
        <f t="shared" si="20"/>
        <v>13-24 Months</v>
      </c>
      <c r="G1318" t="s">
        <v>23</v>
      </c>
      <c r="H1318" t="s">
        <v>20</v>
      </c>
      <c r="I1318" t="s">
        <v>24</v>
      </c>
      <c r="J1318" t="s">
        <v>16</v>
      </c>
      <c r="K1318" t="s">
        <v>20</v>
      </c>
      <c r="L1318">
        <v>3</v>
      </c>
      <c r="M1318" s="7">
        <v>36.04</v>
      </c>
      <c r="N1318" s="7">
        <v>495.27</v>
      </c>
      <c r="O1318" t="s">
        <v>20</v>
      </c>
    </row>
    <row r="1319" spans="1:15" x14ac:dyDescent="0.3">
      <c r="A1319" t="s">
        <v>1344</v>
      </c>
      <c r="B1319" t="s">
        <v>22</v>
      </c>
      <c r="C1319">
        <v>68</v>
      </c>
      <c r="D1319" t="s">
        <v>16</v>
      </c>
      <c r="E1319">
        <v>69</v>
      </c>
      <c r="F1319" t="str">
        <f t="shared" si="20"/>
        <v>49+ Months</v>
      </c>
      <c r="G1319" t="s">
        <v>17</v>
      </c>
      <c r="H1319" t="s">
        <v>18</v>
      </c>
      <c r="I1319" t="s">
        <v>24</v>
      </c>
      <c r="J1319" t="s">
        <v>20</v>
      </c>
      <c r="K1319" t="s">
        <v>20</v>
      </c>
      <c r="L1319">
        <v>4</v>
      </c>
      <c r="M1319" s="7">
        <v>73.52</v>
      </c>
      <c r="N1319" s="7">
        <v>5162.74</v>
      </c>
      <c r="O1319" t="s">
        <v>20</v>
      </c>
    </row>
    <row r="1320" spans="1:15" x14ac:dyDescent="0.3">
      <c r="A1320" t="s">
        <v>1345</v>
      </c>
      <c r="B1320" t="s">
        <v>22</v>
      </c>
      <c r="C1320">
        <v>24</v>
      </c>
      <c r="D1320" t="s">
        <v>20</v>
      </c>
      <c r="E1320">
        <v>26</v>
      </c>
      <c r="F1320" t="str">
        <f t="shared" si="20"/>
        <v>25-48 Months</v>
      </c>
      <c r="G1320" t="s">
        <v>35</v>
      </c>
      <c r="H1320" t="s">
        <v>18</v>
      </c>
      <c r="I1320" t="s">
        <v>24</v>
      </c>
      <c r="J1320" t="s">
        <v>20</v>
      </c>
      <c r="K1320" t="s">
        <v>20</v>
      </c>
      <c r="L1320">
        <v>4</v>
      </c>
      <c r="M1320" s="7">
        <v>71.61</v>
      </c>
      <c r="N1320" s="7">
        <v>1849.51</v>
      </c>
      <c r="O1320" t="s">
        <v>20</v>
      </c>
    </row>
    <row r="1321" spans="1:15" x14ac:dyDescent="0.3">
      <c r="A1321" t="s">
        <v>1346</v>
      </c>
      <c r="B1321" t="s">
        <v>15</v>
      </c>
      <c r="C1321">
        <v>33</v>
      </c>
      <c r="D1321" t="s">
        <v>20</v>
      </c>
      <c r="E1321">
        <v>49</v>
      </c>
      <c r="F1321" t="str">
        <f t="shared" si="20"/>
        <v>49+ Months</v>
      </c>
      <c r="G1321" t="s">
        <v>17</v>
      </c>
      <c r="H1321" t="s">
        <v>36</v>
      </c>
      <c r="I1321" t="s">
        <v>30</v>
      </c>
      <c r="J1321" t="s">
        <v>20</v>
      </c>
      <c r="K1321" t="s">
        <v>20</v>
      </c>
      <c r="L1321">
        <v>3</v>
      </c>
      <c r="M1321" s="7">
        <v>55.67</v>
      </c>
      <c r="N1321" s="7">
        <v>2820.85</v>
      </c>
      <c r="O1321" t="s">
        <v>20</v>
      </c>
    </row>
    <row r="1322" spans="1:15" x14ac:dyDescent="0.3">
      <c r="A1322" t="s">
        <v>1347</v>
      </c>
      <c r="B1322" t="s">
        <v>22</v>
      </c>
      <c r="C1322">
        <v>33</v>
      </c>
      <c r="D1322" t="s">
        <v>20</v>
      </c>
      <c r="E1322">
        <v>67</v>
      </c>
      <c r="F1322" t="str">
        <f t="shared" si="20"/>
        <v>49+ Months</v>
      </c>
      <c r="G1322" t="s">
        <v>17</v>
      </c>
      <c r="H1322" t="s">
        <v>36</v>
      </c>
      <c r="I1322" t="s">
        <v>19</v>
      </c>
      <c r="J1322" t="s">
        <v>20</v>
      </c>
      <c r="K1322" t="s">
        <v>16</v>
      </c>
      <c r="L1322">
        <v>7</v>
      </c>
      <c r="M1322" s="7">
        <v>68.28</v>
      </c>
      <c r="N1322" s="7">
        <v>4372.87</v>
      </c>
      <c r="O1322" t="s">
        <v>20</v>
      </c>
    </row>
    <row r="1323" spans="1:15" x14ac:dyDescent="0.3">
      <c r="A1323" t="s">
        <v>1348</v>
      </c>
      <c r="B1323" t="s">
        <v>15</v>
      </c>
      <c r="C1323">
        <v>50</v>
      </c>
      <c r="D1323" t="s">
        <v>20</v>
      </c>
      <c r="E1323">
        <v>7</v>
      </c>
      <c r="F1323" t="str">
        <f t="shared" si="20"/>
        <v>7-12 Months</v>
      </c>
      <c r="G1323" t="s">
        <v>17</v>
      </c>
      <c r="H1323" t="s">
        <v>36</v>
      </c>
      <c r="I1323" t="s">
        <v>27</v>
      </c>
      <c r="J1323" t="s">
        <v>16</v>
      </c>
      <c r="K1323" t="s">
        <v>16</v>
      </c>
      <c r="L1323">
        <v>4</v>
      </c>
      <c r="M1323" s="7">
        <v>61.39</v>
      </c>
      <c r="N1323" s="7">
        <v>402.9</v>
      </c>
      <c r="O1323" t="s">
        <v>20</v>
      </c>
    </row>
    <row r="1324" spans="1:15" x14ac:dyDescent="0.3">
      <c r="A1324" t="s">
        <v>1349</v>
      </c>
      <c r="B1324" t="s">
        <v>15</v>
      </c>
      <c r="C1324">
        <v>21</v>
      </c>
      <c r="D1324" t="s">
        <v>20</v>
      </c>
      <c r="E1324">
        <v>58</v>
      </c>
      <c r="F1324" t="str">
        <f t="shared" si="20"/>
        <v>49+ Months</v>
      </c>
      <c r="G1324" t="s">
        <v>35</v>
      </c>
      <c r="H1324" t="s">
        <v>18</v>
      </c>
      <c r="I1324" t="s">
        <v>24</v>
      </c>
      <c r="J1324" t="s">
        <v>20</v>
      </c>
      <c r="K1324" t="s">
        <v>20</v>
      </c>
      <c r="L1324">
        <v>3</v>
      </c>
      <c r="M1324" s="7">
        <v>70.459999999999994</v>
      </c>
      <c r="N1324" s="7">
        <v>4257.8999999999996</v>
      </c>
      <c r="O1324" t="s">
        <v>20</v>
      </c>
    </row>
    <row r="1325" spans="1:15" x14ac:dyDescent="0.3">
      <c r="A1325" t="s">
        <v>1350</v>
      </c>
      <c r="B1325" t="s">
        <v>22</v>
      </c>
      <c r="C1325">
        <v>21</v>
      </c>
      <c r="D1325" t="s">
        <v>20</v>
      </c>
      <c r="E1325">
        <v>49</v>
      </c>
      <c r="F1325" t="str">
        <f t="shared" si="20"/>
        <v>49+ Months</v>
      </c>
      <c r="G1325" t="s">
        <v>17</v>
      </c>
      <c r="H1325" t="s">
        <v>18</v>
      </c>
      <c r="I1325" t="s">
        <v>24</v>
      </c>
      <c r="J1325" t="s">
        <v>20</v>
      </c>
      <c r="K1325" t="s">
        <v>20</v>
      </c>
      <c r="L1325">
        <v>5</v>
      </c>
      <c r="M1325" s="7">
        <v>81.77</v>
      </c>
      <c r="N1325" s="7">
        <v>4300.46</v>
      </c>
      <c r="O1325" t="s">
        <v>20</v>
      </c>
    </row>
    <row r="1326" spans="1:15" x14ac:dyDescent="0.3">
      <c r="A1326" t="s">
        <v>1351</v>
      </c>
      <c r="B1326" t="s">
        <v>15</v>
      </c>
      <c r="C1326">
        <v>56</v>
      </c>
      <c r="D1326" t="s">
        <v>20</v>
      </c>
      <c r="E1326">
        <v>53</v>
      </c>
      <c r="F1326" t="str">
        <f t="shared" si="20"/>
        <v>49+ Months</v>
      </c>
      <c r="G1326" t="s">
        <v>17</v>
      </c>
      <c r="H1326" t="s">
        <v>18</v>
      </c>
      <c r="I1326" t="s">
        <v>27</v>
      </c>
      <c r="J1326" t="s">
        <v>20</v>
      </c>
      <c r="K1326" t="s">
        <v>20</v>
      </c>
      <c r="L1326">
        <v>7</v>
      </c>
      <c r="M1326" s="7">
        <v>108.21</v>
      </c>
      <c r="N1326" s="7">
        <v>5806.23</v>
      </c>
      <c r="O1326" t="s">
        <v>20</v>
      </c>
    </row>
    <row r="1327" spans="1:15" x14ac:dyDescent="0.3">
      <c r="A1327" t="s">
        <v>1352</v>
      </c>
      <c r="B1327" t="s">
        <v>15</v>
      </c>
      <c r="C1327">
        <v>57</v>
      </c>
      <c r="D1327" t="s">
        <v>20</v>
      </c>
      <c r="E1327">
        <v>65</v>
      </c>
      <c r="F1327" t="str">
        <f t="shared" si="20"/>
        <v>49+ Months</v>
      </c>
      <c r="G1327" t="s">
        <v>23</v>
      </c>
      <c r="H1327" t="s">
        <v>20</v>
      </c>
      <c r="I1327" t="s">
        <v>27</v>
      </c>
      <c r="J1327" t="s">
        <v>20</v>
      </c>
      <c r="K1327" t="s">
        <v>20</v>
      </c>
      <c r="L1327">
        <v>1</v>
      </c>
      <c r="M1327" s="7">
        <v>33.36</v>
      </c>
      <c r="N1327" s="7">
        <v>2162.34</v>
      </c>
      <c r="O1327" t="s">
        <v>20</v>
      </c>
    </row>
    <row r="1328" spans="1:15" x14ac:dyDescent="0.3">
      <c r="A1328" t="s">
        <v>1353</v>
      </c>
      <c r="B1328" t="s">
        <v>15</v>
      </c>
      <c r="C1328">
        <v>34</v>
      </c>
      <c r="D1328" t="s">
        <v>20</v>
      </c>
      <c r="E1328">
        <v>62</v>
      </c>
      <c r="F1328" t="str">
        <f t="shared" si="20"/>
        <v>49+ Months</v>
      </c>
      <c r="G1328" t="s">
        <v>17</v>
      </c>
      <c r="H1328" t="s">
        <v>18</v>
      </c>
      <c r="I1328" t="s">
        <v>19</v>
      </c>
      <c r="J1328" t="s">
        <v>20</v>
      </c>
      <c r="K1328" t="s">
        <v>16</v>
      </c>
      <c r="L1328">
        <v>6</v>
      </c>
      <c r="M1328" s="7">
        <v>81.08</v>
      </c>
      <c r="N1328" s="7">
        <v>5054.63</v>
      </c>
      <c r="O1328" t="s">
        <v>20</v>
      </c>
    </row>
    <row r="1329" spans="1:15" x14ac:dyDescent="0.3">
      <c r="A1329" t="s">
        <v>1354</v>
      </c>
      <c r="B1329" t="s">
        <v>15</v>
      </c>
      <c r="C1329">
        <v>54</v>
      </c>
      <c r="D1329" t="s">
        <v>20</v>
      </c>
      <c r="E1329">
        <v>17</v>
      </c>
      <c r="F1329" t="str">
        <f t="shared" si="20"/>
        <v>13-24 Months</v>
      </c>
      <c r="G1329" t="s">
        <v>23</v>
      </c>
      <c r="H1329" t="s">
        <v>36</v>
      </c>
      <c r="I1329" t="s">
        <v>30</v>
      </c>
      <c r="J1329" t="s">
        <v>20</v>
      </c>
      <c r="K1329" t="s">
        <v>20</v>
      </c>
      <c r="L1329">
        <v>3</v>
      </c>
      <c r="M1329" s="7">
        <v>63.68</v>
      </c>
      <c r="N1329" s="7">
        <v>1078.83</v>
      </c>
      <c r="O1329" t="s">
        <v>20</v>
      </c>
    </row>
    <row r="1330" spans="1:15" x14ac:dyDescent="0.3">
      <c r="A1330" t="s">
        <v>1355</v>
      </c>
      <c r="B1330" t="s">
        <v>22</v>
      </c>
      <c r="C1330">
        <v>56</v>
      </c>
      <c r="D1330" t="s">
        <v>20</v>
      </c>
      <c r="E1330">
        <v>43</v>
      </c>
      <c r="F1330" t="str">
        <f t="shared" si="20"/>
        <v>25-48 Months</v>
      </c>
      <c r="G1330" t="s">
        <v>35</v>
      </c>
      <c r="H1330" t="s">
        <v>36</v>
      </c>
      <c r="I1330" t="s">
        <v>27</v>
      </c>
      <c r="J1330" t="s">
        <v>16</v>
      </c>
      <c r="K1330" t="s">
        <v>20</v>
      </c>
      <c r="L1330">
        <v>4</v>
      </c>
      <c r="M1330" s="7">
        <v>69.84</v>
      </c>
      <c r="N1330" s="7">
        <v>2975.35</v>
      </c>
      <c r="O1330" t="s">
        <v>20</v>
      </c>
    </row>
    <row r="1331" spans="1:15" x14ac:dyDescent="0.3">
      <c r="A1331" t="s">
        <v>1356</v>
      </c>
      <c r="B1331" t="s">
        <v>15</v>
      </c>
      <c r="C1331">
        <v>69</v>
      </c>
      <c r="D1331" t="s">
        <v>16</v>
      </c>
      <c r="E1331">
        <v>25</v>
      </c>
      <c r="F1331" t="str">
        <f t="shared" si="20"/>
        <v>25-48 Months</v>
      </c>
      <c r="G1331" t="s">
        <v>35</v>
      </c>
      <c r="H1331" t="s">
        <v>20</v>
      </c>
      <c r="I1331" t="s">
        <v>19</v>
      </c>
      <c r="J1331" t="s">
        <v>20</v>
      </c>
      <c r="K1331" t="s">
        <v>20</v>
      </c>
      <c r="L1331">
        <v>2</v>
      </c>
      <c r="M1331" s="7">
        <v>37.19</v>
      </c>
      <c r="N1331" s="7">
        <v>996.25</v>
      </c>
      <c r="O1331" t="s">
        <v>20</v>
      </c>
    </row>
    <row r="1332" spans="1:15" x14ac:dyDescent="0.3">
      <c r="A1332" t="s">
        <v>1357</v>
      </c>
      <c r="B1332" t="s">
        <v>22</v>
      </c>
      <c r="C1332">
        <v>46</v>
      </c>
      <c r="D1332" t="s">
        <v>20</v>
      </c>
      <c r="E1332">
        <v>3</v>
      </c>
      <c r="F1332" t="str">
        <f t="shared" si="20"/>
        <v>0-6 Months</v>
      </c>
      <c r="G1332" t="s">
        <v>17</v>
      </c>
      <c r="H1332" t="s">
        <v>20</v>
      </c>
      <c r="I1332" t="s">
        <v>24</v>
      </c>
      <c r="J1332" t="s">
        <v>16</v>
      </c>
      <c r="K1332" t="s">
        <v>16</v>
      </c>
      <c r="L1332">
        <v>3</v>
      </c>
      <c r="M1332" s="7">
        <v>31.53</v>
      </c>
      <c r="N1332" s="7">
        <v>94.28</v>
      </c>
      <c r="O1332" t="s">
        <v>20</v>
      </c>
    </row>
    <row r="1333" spans="1:15" x14ac:dyDescent="0.3">
      <c r="A1333" t="s">
        <v>1358</v>
      </c>
      <c r="B1333" t="s">
        <v>22</v>
      </c>
      <c r="C1333">
        <v>69</v>
      </c>
      <c r="D1333" t="s">
        <v>16</v>
      </c>
      <c r="E1333">
        <v>29</v>
      </c>
      <c r="F1333" t="str">
        <f t="shared" si="20"/>
        <v>25-48 Months</v>
      </c>
      <c r="G1333" t="s">
        <v>17</v>
      </c>
      <c r="H1333" t="s">
        <v>18</v>
      </c>
      <c r="I1333" t="s">
        <v>27</v>
      </c>
      <c r="J1333" t="s">
        <v>20</v>
      </c>
      <c r="K1333" t="s">
        <v>16</v>
      </c>
      <c r="L1333">
        <v>4</v>
      </c>
      <c r="M1333" s="7">
        <v>86.23</v>
      </c>
      <c r="N1333" s="7">
        <v>2333.0700000000002</v>
      </c>
      <c r="O1333" t="s">
        <v>16</v>
      </c>
    </row>
    <row r="1334" spans="1:15" x14ac:dyDescent="0.3">
      <c r="A1334" t="s">
        <v>1359</v>
      </c>
      <c r="B1334" t="s">
        <v>15</v>
      </c>
      <c r="C1334">
        <v>53</v>
      </c>
      <c r="D1334" t="s">
        <v>20</v>
      </c>
      <c r="E1334">
        <v>32</v>
      </c>
      <c r="F1334" t="str">
        <f t="shared" si="20"/>
        <v>25-48 Months</v>
      </c>
      <c r="G1334" t="s">
        <v>17</v>
      </c>
      <c r="H1334" t="s">
        <v>18</v>
      </c>
      <c r="I1334" t="s">
        <v>30</v>
      </c>
      <c r="J1334" t="s">
        <v>20</v>
      </c>
      <c r="K1334" t="s">
        <v>20</v>
      </c>
      <c r="L1334">
        <v>4</v>
      </c>
      <c r="M1334" s="7">
        <v>74.959999999999994</v>
      </c>
      <c r="N1334" s="7">
        <v>2500.62</v>
      </c>
      <c r="O1334" t="s">
        <v>16</v>
      </c>
    </row>
    <row r="1335" spans="1:15" x14ac:dyDescent="0.3">
      <c r="A1335" t="s">
        <v>1360</v>
      </c>
      <c r="B1335" t="s">
        <v>22</v>
      </c>
      <c r="C1335">
        <v>55</v>
      </c>
      <c r="D1335" t="s">
        <v>20</v>
      </c>
      <c r="E1335">
        <v>26</v>
      </c>
      <c r="F1335" t="str">
        <f t="shared" si="20"/>
        <v>25-48 Months</v>
      </c>
      <c r="G1335" t="s">
        <v>17</v>
      </c>
      <c r="H1335" t="s">
        <v>36</v>
      </c>
      <c r="I1335" t="s">
        <v>24</v>
      </c>
      <c r="J1335" t="s">
        <v>20</v>
      </c>
      <c r="K1335" t="s">
        <v>16</v>
      </c>
      <c r="L1335">
        <v>3</v>
      </c>
      <c r="M1335" s="7">
        <v>64.459999999999994</v>
      </c>
      <c r="N1335" s="7">
        <v>1646.88</v>
      </c>
      <c r="O1335" t="s">
        <v>16</v>
      </c>
    </row>
    <row r="1336" spans="1:15" x14ac:dyDescent="0.3">
      <c r="A1336" t="s">
        <v>1361</v>
      </c>
      <c r="B1336" t="s">
        <v>22</v>
      </c>
      <c r="C1336">
        <v>56</v>
      </c>
      <c r="D1336" t="s">
        <v>20</v>
      </c>
      <c r="E1336">
        <v>16</v>
      </c>
      <c r="F1336" t="str">
        <f t="shared" si="20"/>
        <v>13-24 Months</v>
      </c>
      <c r="G1336" t="s">
        <v>17</v>
      </c>
      <c r="H1336" t="s">
        <v>18</v>
      </c>
      <c r="I1336" t="s">
        <v>19</v>
      </c>
      <c r="J1336" t="s">
        <v>20</v>
      </c>
      <c r="K1336" t="s">
        <v>20</v>
      </c>
      <c r="L1336">
        <v>5</v>
      </c>
      <c r="M1336" s="7">
        <v>81.31</v>
      </c>
      <c r="N1336" s="7">
        <v>1344.82</v>
      </c>
      <c r="O1336" t="s">
        <v>16</v>
      </c>
    </row>
    <row r="1337" spans="1:15" x14ac:dyDescent="0.3">
      <c r="A1337" t="s">
        <v>1362</v>
      </c>
      <c r="B1337" t="s">
        <v>22</v>
      </c>
      <c r="C1337">
        <v>67</v>
      </c>
      <c r="D1337" t="s">
        <v>16</v>
      </c>
      <c r="E1337">
        <v>25</v>
      </c>
      <c r="F1337" t="str">
        <f t="shared" si="20"/>
        <v>25-48 Months</v>
      </c>
      <c r="G1337" t="s">
        <v>17</v>
      </c>
      <c r="H1337" t="s">
        <v>36</v>
      </c>
      <c r="I1337" t="s">
        <v>19</v>
      </c>
      <c r="J1337" t="s">
        <v>20</v>
      </c>
      <c r="K1337" t="s">
        <v>20</v>
      </c>
      <c r="L1337">
        <v>3</v>
      </c>
      <c r="M1337" s="7">
        <v>53.04</v>
      </c>
      <c r="N1337" s="7">
        <v>1342.88</v>
      </c>
      <c r="O1337" t="s">
        <v>20</v>
      </c>
    </row>
    <row r="1338" spans="1:15" x14ac:dyDescent="0.3">
      <c r="A1338" t="s">
        <v>1363</v>
      </c>
      <c r="B1338" t="s">
        <v>15</v>
      </c>
      <c r="C1338">
        <v>54</v>
      </c>
      <c r="D1338" t="s">
        <v>20</v>
      </c>
      <c r="E1338">
        <v>54</v>
      </c>
      <c r="F1338" t="str">
        <f t="shared" si="20"/>
        <v>49+ Months</v>
      </c>
      <c r="G1338" t="s">
        <v>35</v>
      </c>
      <c r="H1338" t="s">
        <v>36</v>
      </c>
      <c r="I1338" t="s">
        <v>27</v>
      </c>
      <c r="J1338" t="s">
        <v>20</v>
      </c>
      <c r="K1338" t="s">
        <v>20</v>
      </c>
      <c r="L1338">
        <v>6</v>
      </c>
      <c r="M1338" s="7">
        <v>70.67</v>
      </c>
      <c r="N1338" s="7">
        <v>3946.35</v>
      </c>
      <c r="O1338" t="s">
        <v>20</v>
      </c>
    </row>
    <row r="1339" spans="1:15" x14ac:dyDescent="0.3">
      <c r="A1339" t="s">
        <v>1364</v>
      </c>
      <c r="B1339" t="s">
        <v>22</v>
      </c>
      <c r="C1339">
        <v>69</v>
      </c>
      <c r="D1339" t="s">
        <v>16</v>
      </c>
      <c r="E1339">
        <v>28</v>
      </c>
      <c r="F1339" t="str">
        <f t="shared" si="20"/>
        <v>25-48 Months</v>
      </c>
      <c r="G1339" t="s">
        <v>35</v>
      </c>
      <c r="H1339" t="s">
        <v>20</v>
      </c>
      <c r="I1339" t="s">
        <v>24</v>
      </c>
      <c r="J1339" t="s">
        <v>20</v>
      </c>
      <c r="K1339" t="s">
        <v>16</v>
      </c>
      <c r="L1339">
        <v>4</v>
      </c>
      <c r="M1339" s="7">
        <v>50.87</v>
      </c>
      <c r="N1339" s="7">
        <v>1324.54</v>
      </c>
      <c r="O1339" t="s">
        <v>20</v>
      </c>
    </row>
    <row r="1340" spans="1:15" x14ac:dyDescent="0.3">
      <c r="A1340" t="s">
        <v>1365</v>
      </c>
      <c r="B1340" t="s">
        <v>22</v>
      </c>
      <c r="C1340">
        <v>52</v>
      </c>
      <c r="D1340" t="s">
        <v>20</v>
      </c>
      <c r="E1340">
        <v>56</v>
      </c>
      <c r="F1340" t="str">
        <f t="shared" si="20"/>
        <v>49+ Months</v>
      </c>
      <c r="G1340" t="s">
        <v>17</v>
      </c>
      <c r="H1340" t="s">
        <v>18</v>
      </c>
      <c r="I1340" t="s">
        <v>27</v>
      </c>
      <c r="J1340" t="s">
        <v>20</v>
      </c>
      <c r="K1340" t="s">
        <v>16</v>
      </c>
      <c r="L1340">
        <v>4</v>
      </c>
      <c r="M1340" s="7">
        <v>95.58</v>
      </c>
      <c r="N1340" s="7">
        <v>4953.29</v>
      </c>
      <c r="O1340" t="s">
        <v>20</v>
      </c>
    </row>
    <row r="1341" spans="1:15" x14ac:dyDescent="0.3">
      <c r="A1341" t="s">
        <v>1366</v>
      </c>
      <c r="B1341" t="s">
        <v>22</v>
      </c>
      <c r="C1341">
        <v>24</v>
      </c>
      <c r="D1341" t="s">
        <v>20</v>
      </c>
      <c r="E1341">
        <v>65</v>
      </c>
      <c r="F1341" t="str">
        <f t="shared" si="20"/>
        <v>49+ Months</v>
      </c>
      <c r="G1341" t="s">
        <v>17</v>
      </c>
      <c r="H1341" t="s">
        <v>20</v>
      </c>
      <c r="I1341" t="s">
        <v>19</v>
      </c>
      <c r="J1341" t="s">
        <v>20</v>
      </c>
      <c r="K1341" t="s">
        <v>20</v>
      </c>
      <c r="L1341">
        <v>2</v>
      </c>
      <c r="M1341" s="7">
        <v>33.19</v>
      </c>
      <c r="N1341" s="7">
        <v>2115.4299999999998</v>
      </c>
      <c r="O1341" t="s">
        <v>20</v>
      </c>
    </row>
    <row r="1342" spans="1:15" x14ac:dyDescent="0.3">
      <c r="A1342" t="s">
        <v>1367</v>
      </c>
      <c r="B1342" t="s">
        <v>15</v>
      </c>
      <c r="C1342">
        <v>44</v>
      </c>
      <c r="D1342" t="s">
        <v>20</v>
      </c>
      <c r="E1342">
        <v>41</v>
      </c>
      <c r="F1342" t="str">
        <f t="shared" si="20"/>
        <v>25-48 Months</v>
      </c>
      <c r="G1342" t="s">
        <v>17</v>
      </c>
      <c r="H1342" t="s">
        <v>18</v>
      </c>
      <c r="I1342" t="s">
        <v>19</v>
      </c>
      <c r="J1342" t="s">
        <v>16</v>
      </c>
      <c r="K1342" t="s">
        <v>16</v>
      </c>
      <c r="L1342">
        <v>4</v>
      </c>
      <c r="M1342" s="7">
        <v>76.13</v>
      </c>
      <c r="N1342" s="7">
        <v>3217.8</v>
      </c>
      <c r="O1342" t="s">
        <v>16</v>
      </c>
    </row>
    <row r="1343" spans="1:15" x14ac:dyDescent="0.3">
      <c r="A1343" t="s">
        <v>1368</v>
      </c>
      <c r="B1343" t="s">
        <v>22</v>
      </c>
      <c r="C1343">
        <v>45</v>
      </c>
      <c r="D1343" t="s">
        <v>20</v>
      </c>
      <c r="E1343">
        <v>51</v>
      </c>
      <c r="F1343" t="str">
        <f t="shared" si="20"/>
        <v>49+ Months</v>
      </c>
      <c r="G1343" t="s">
        <v>17</v>
      </c>
      <c r="H1343" t="s">
        <v>36</v>
      </c>
      <c r="I1343" t="s">
        <v>24</v>
      </c>
      <c r="J1343" t="s">
        <v>20</v>
      </c>
      <c r="K1343" t="s">
        <v>20</v>
      </c>
      <c r="L1343">
        <v>3</v>
      </c>
      <c r="M1343" s="7">
        <v>49.26</v>
      </c>
      <c r="N1343" s="7">
        <v>2401.19</v>
      </c>
      <c r="O1343" t="s">
        <v>20</v>
      </c>
    </row>
    <row r="1344" spans="1:15" x14ac:dyDescent="0.3">
      <c r="A1344" t="s">
        <v>1369</v>
      </c>
      <c r="B1344" t="s">
        <v>15</v>
      </c>
      <c r="C1344">
        <v>39</v>
      </c>
      <c r="D1344" t="s">
        <v>20</v>
      </c>
      <c r="E1344">
        <v>71</v>
      </c>
      <c r="F1344" t="str">
        <f t="shared" si="20"/>
        <v>49+ Months</v>
      </c>
      <c r="G1344" t="s">
        <v>23</v>
      </c>
      <c r="H1344" t="s">
        <v>18</v>
      </c>
      <c r="I1344" t="s">
        <v>30</v>
      </c>
      <c r="J1344" t="s">
        <v>16</v>
      </c>
      <c r="K1344" t="s">
        <v>16</v>
      </c>
      <c r="L1344">
        <v>4</v>
      </c>
      <c r="M1344" s="7">
        <v>68.63</v>
      </c>
      <c r="N1344" s="7">
        <v>4820.8100000000004</v>
      </c>
      <c r="O1344" t="s">
        <v>20</v>
      </c>
    </row>
    <row r="1345" spans="1:15" x14ac:dyDescent="0.3">
      <c r="A1345" t="s">
        <v>1370</v>
      </c>
      <c r="B1345" t="s">
        <v>15</v>
      </c>
      <c r="C1345">
        <v>31</v>
      </c>
      <c r="D1345" t="s">
        <v>20</v>
      </c>
      <c r="E1345">
        <v>29</v>
      </c>
      <c r="F1345" t="str">
        <f t="shared" si="20"/>
        <v>25-48 Months</v>
      </c>
      <c r="G1345" t="s">
        <v>23</v>
      </c>
      <c r="H1345" t="s">
        <v>36</v>
      </c>
      <c r="I1345" t="s">
        <v>27</v>
      </c>
      <c r="J1345" t="s">
        <v>16</v>
      </c>
      <c r="K1345" t="s">
        <v>20</v>
      </c>
      <c r="L1345">
        <v>5</v>
      </c>
      <c r="M1345" s="7">
        <v>55.96</v>
      </c>
      <c r="N1345" s="7">
        <v>1747.68</v>
      </c>
      <c r="O1345" t="s">
        <v>20</v>
      </c>
    </row>
    <row r="1346" spans="1:15" x14ac:dyDescent="0.3">
      <c r="A1346" t="s">
        <v>1371</v>
      </c>
      <c r="B1346" t="s">
        <v>15</v>
      </c>
      <c r="C1346">
        <v>24</v>
      </c>
      <c r="D1346" t="s">
        <v>20</v>
      </c>
      <c r="E1346">
        <v>19</v>
      </c>
      <c r="F1346" t="str">
        <f t="shared" ref="F1346:F1409" si="21">IF(E1346&lt;=6,"0-6 Months",
 IF(E1346&lt;=12,"7-12 Months",
 IF(E1346&lt;=24,"13-24 Months",
 IF(E1346&lt;=48,"25-48 Months","49+ Months"))))</f>
        <v>13-24 Months</v>
      </c>
      <c r="G1346" t="s">
        <v>35</v>
      </c>
      <c r="H1346" t="s">
        <v>18</v>
      </c>
      <c r="I1346" t="s">
        <v>19</v>
      </c>
      <c r="J1346" t="s">
        <v>20</v>
      </c>
      <c r="K1346" t="s">
        <v>20</v>
      </c>
      <c r="L1346">
        <v>2</v>
      </c>
      <c r="M1346" s="7">
        <v>72.650000000000006</v>
      </c>
      <c r="N1346" s="7">
        <v>1317.38</v>
      </c>
      <c r="O1346" t="s">
        <v>16</v>
      </c>
    </row>
    <row r="1347" spans="1:15" x14ac:dyDescent="0.3">
      <c r="A1347" t="s">
        <v>1372</v>
      </c>
      <c r="B1347" t="s">
        <v>15</v>
      </c>
      <c r="C1347">
        <v>54</v>
      </c>
      <c r="D1347" t="s">
        <v>20</v>
      </c>
      <c r="E1347">
        <v>66</v>
      </c>
      <c r="F1347" t="str">
        <f t="shared" si="21"/>
        <v>49+ Months</v>
      </c>
      <c r="G1347" t="s">
        <v>23</v>
      </c>
      <c r="H1347" t="s">
        <v>20</v>
      </c>
      <c r="I1347" t="s">
        <v>24</v>
      </c>
      <c r="J1347" t="s">
        <v>20</v>
      </c>
      <c r="K1347" t="s">
        <v>16</v>
      </c>
      <c r="L1347">
        <v>7</v>
      </c>
      <c r="M1347" s="7">
        <v>60.38</v>
      </c>
      <c r="N1347" s="7">
        <v>4206.93</v>
      </c>
      <c r="O1347" t="s">
        <v>20</v>
      </c>
    </row>
    <row r="1348" spans="1:15" x14ac:dyDescent="0.3">
      <c r="A1348" t="s">
        <v>1373</v>
      </c>
      <c r="B1348" t="s">
        <v>15</v>
      </c>
      <c r="C1348">
        <v>39</v>
      </c>
      <c r="D1348" t="s">
        <v>20</v>
      </c>
      <c r="E1348">
        <v>41</v>
      </c>
      <c r="F1348" t="str">
        <f t="shared" si="21"/>
        <v>25-48 Months</v>
      </c>
      <c r="G1348" t="s">
        <v>17</v>
      </c>
      <c r="H1348" t="s">
        <v>20</v>
      </c>
      <c r="I1348" t="s">
        <v>30</v>
      </c>
      <c r="J1348" t="s">
        <v>16</v>
      </c>
      <c r="K1348" t="s">
        <v>16</v>
      </c>
      <c r="L1348">
        <v>2</v>
      </c>
      <c r="M1348" s="7">
        <v>26.67</v>
      </c>
      <c r="N1348" s="7">
        <v>1150.4100000000001</v>
      </c>
      <c r="O1348" t="s">
        <v>20</v>
      </c>
    </row>
    <row r="1349" spans="1:15" x14ac:dyDescent="0.3">
      <c r="A1349" t="s">
        <v>1374</v>
      </c>
      <c r="B1349" t="s">
        <v>15</v>
      </c>
      <c r="C1349">
        <v>22</v>
      </c>
      <c r="D1349" t="s">
        <v>20</v>
      </c>
      <c r="E1349">
        <v>45</v>
      </c>
      <c r="F1349" t="str">
        <f t="shared" si="21"/>
        <v>25-48 Months</v>
      </c>
      <c r="G1349" t="s">
        <v>23</v>
      </c>
      <c r="H1349" t="s">
        <v>20</v>
      </c>
      <c r="I1349" t="s">
        <v>27</v>
      </c>
      <c r="J1349" t="s">
        <v>16</v>
      </c>
      <c r="K1349" t="s">
        <v>20</v>
      </c>
      <c r="L1349">
        <v>2</v>
      </c>
      <c r="M1349" s="7">
        <v>38.51</v>
      </c>
      <c r="N1349" s="7">
        <v>1841.46</v>
      </c>
      <c r="O1349" t="s">
        <v>20</v>
      </c>
    </row>
    <row r="1350" spans="1:15" x14ac:dyDescent="0.3">
      <c r="A1350" t="s">
        <v>1375</v>
      </c>
      <c r="B1350" t="s">
        <v>22</v>
      </c>
      <c r="C1350">
        <v>72</v>
      </c>
      <c r="D1350" t="s">
        <v>16</v>
      </c>
      <c r="E1350">
        <v>15</v>
      </c>
      <c r="F1350" t="str">
        <f t="shared" si="21"/>
        <v>13-24 Months</v>
      </c>
      <c r="G1350" t="s">
        <v>17</v>
      </c>
      <c r="H1350" t="s">
        <v>18</v>
      </c>
      <c r="I1350" t="s">
        <v>24</v>
      </c>
      <c r="J1350" t="s">
        <v>16</v>
      </c>
      <c r="K1350" t="s">
        <v>20</v>
      </c>
      <c r="L1350">
        <v>4</v>
      </c>
      <c r="M1350" s="7">
        <v>72.97</v>
      </c>
      <c r="N1350" s="7">
        <v>1167.25</v>
      </c>
      <c r="O1350" t="s">
        <v>20</v>
      </c>
    </row>
    <row r="1351" spans="1:15" x14ac:dyDescent="0.3">
      <c r="A1351" t="s">
        <v>1376</v>
      </c>
      <c r="B1351" t="s">
        <v>15</v>
      </c>
      <c r="C1351">
        <v>19</v>
      </c>
      <c r="D1351" t="s">
        <v>20</v>
      </c>
      <c r="E1351">
        <v>3</v>
      </c>
      <c r="F1351" t="str">
        <f t="shared" si="21"/>
        <v>0-6 Months</v>
      </c>
      <c r="G1351" t="s">
        <v>23</v>
      </c>
      <c r="H1351" t="s">
        <v>20</v>
      </c>
      <c r="I1351" t="s">
        <v>30</v>
      </c>
      <c r="J1351" t="s">
        <v>20</v>
      </c>
      <c r="K1351" t="s">
        <v>16</v>
      </c>
      <c r="L1351">
        <v>2</v>
      </c>
      <c r="M1351" s="7">
        <v>27.82</v>
      </c>
      <c r="N1351" s="7">
        <v>83.56</v>
      </c>
      <c r="O1351" t="s">
        <v>20</v>
      </c>
    </row>
    <row r="1352" spans="1:15" x14ac:dyDescent="0.3">
      <c r="A1352" t="s">
        <v>1377</v>
      </c>
      <c r="B1352" t="s">
        <v>22</v>
      </c>
      <c r="C1352">
        <v>44</v>
      </c>
      <c r="D1352" t="s">
        <v>20</v>
      </c>
      <c r="E1352">
        <v>11</v>
      </c>
      <c r="F1352" t="str">
        <f t="shared" si="21"/>
        <v>7-12 Months</v>
      </c>
      <c r="G1352" t="s">
        <v>17</v>
      </c>
      <c r="H1352" t="s">
        <v>36</v>
      </c>
      <c r="I1352" t="s">
        <v>30</v>
      </c>
      <c r="J1352" t="s">
        <v>16</v>
      </c>
      <c r="K1352" t="s">
        <v>20</v>
      </c>
      <c r="L1352">
        <v>5</v>
      </c>
      <c r="M1352" s="7">
        <v>55.51</v>
      </c>
      <c r="N1352" s="7">
        <v>628.38</v>
      </c>
      <c r="O1352" t="s">
        <v>20</v>
      </c>
    </row>
    <row r="1353" spans="1:15" x14ac:dyDescent="0.3">
      <c r="A1353" t="s">
        <v>1378</v>
      </c>
      <c r="B1353" t="s">
        <v>22</v>
      </c>
      <c r="C1353">
        <v>38</v>
      </c>
      <c r="D1353" t="s">
        <v>20</v>
      </c>
      <c r="E1353">
        <v>53</v>
      </c>
      <c r="F1353" t="str">
        <f t="shared" si="21"/>
        <v>49+ Months</v>
      </c>
      <c r="G1353" t="s">
        <v>17</v>
      </c>
      <c r="H1353" t="s">
        <v>18</v>
      </c>
      <c r="I1353" t="s">
        <v>24</v>
      </c>
      <c r="J1353" t="s">
        <v>16</v>
      </c>
      <c r="K1353" t="s">
        <v>16</v>
      </c>
      <c r="L1353">
        <v>1</v>
      </c>
      <c r="M1353" s="7">
        <v>76.319999999999993</v>
      </c>
      <c r="N1353" s="7">
        <v>4121.91</v>
      </c>
      <c r="O1353" t="s">
        <v>20</v>
      </c>
    </row>
    <row r="1354" spans="1:15" x14ac:dyDescent="0.3">
      <c r="A1354" t="s">
        <v>1379</v>
      </c>
      <c r="B1354" t="s">
        <v>15</v>
      </c>
      <c r="C1354">
        <v>71</v>
      </c>
      <c r="D1354" t="s">
        <v>16</v>
      </c>
      <c r="E1354">
        <v>46</v>
      </c>
      <c r="F1354" t="str">
        <f t="shared" si="21"/>
        <v>25-48 Months</v>
      </c>
      <c r="G1354" t="s">
        <v>17</v>
      </c>
      <c r="H1354" t="s">
        <v>18</v>
      </c>
      <c r="I1354" t="s">
        <v>19</v>
      </c>
      <c r="J1354" t="s">
        <v>16</v>
      </c>
      <c r="K1354" t="s">
        <v>16</v>
      </c>
      <c r="L1354">
        <v>2</v>
      </c>
      <c r="M1354" s="7">
        <v>82.24</v>
      </c>
      <c r="N1354" s="7">
        <v>3667.4</v>
      </c>
      <c r="O1354" t="s">
        <v>20</v>
      </c>
    </row>
    <row r="1355" spans="1:15" x14ac:dyDescent="0.3">
      <c r="A1355" t="s">
        <v>1380</v>
      </c>
      <c r="B1355" t="s">
        <v>22</v>
      </c>
      <c r="C1355">
        <v>55</v>
      </c>
      <c r="D1355" t="s">
        <v>20</v>
      </c>
      <c r="E1355">
        <v>30</v>
      </c>
      <c r="F1355" t="str">
        <f t="shared" si="21"/>
        <v>25-48 Months</v>
      </c>
      <c r="G1355" t="s">
        <v>17</v>
      </c>
      <c r="H1355" t="s">
        <v>18</v>
      </c>
      <c r="I1355" t="s">
        <v>24</v>
      </c>
      <c r="J1355" t="s">
        <v>20</v>
      </c>
      <c r="K1355" t="s">
        <v>20</v>
      </c>
      <c r="L1355">
        <v>6</v>
      </c>
      <c r="M1355" s="7">
        <v>81.900000000000006</v>
      </c>
      <c r="N1355" s="7">
        <v>2370.4299999999998</v>
      </c>
      <c r="O1355" t="s">
        <v>20</v>
      </c>
    </row>
    <row r="1356" spans="1:15" x14ac:dyDescent="0.3">
      <c r="A1356" t="s">
        <v>1381</v>
      </c>
      <c r="B1356" t="s">
        <v>22</v>
      </c>
      <c r="C1356">
        <v>32</v>
      </c>
      <c r="D1356" t="s">
        <v>20</v>
      </c>
      <c r="E1356">
        <v>57</v>
      </c>
      <c r="F1356" t="str">
        <f t="shared" si="21"/>
        <v>49+ Months</v>
      </c>
      <c r="G1356" t="s">
        <v>35</v>
      </c>
      <c r="H1356" t="s">
        <v>18</v>
      </c>
      <c r="I1356" t="s">
        <v>27</v>
      </c>
      <c r="J1356" t="s">
        <v>20</v>
      </c>
      <c r="K1356" t="s">
        <v>20</v>
      </c>
      <c r="L1356">
        <v>3</v>
      </c>
      <c r="M1356" s="7">
        <v>69.34</v>
      </c>
      <c r="N1356" s="7">
        <v>3852.19</v>
      </c>
      <c r="O1356" t="s">
        <v>16</v>
      </c>
    </row>
    <row r="1357" spans="1:15" x14ac:dyDescent="0.3">
      <c r="A1357" t="s">
        <v>1382</v>
      </c>
      <c r="B1357" t="s">
        <v>22</v>
      </c>
      <c r="C1357">
        <v>38</v>
      </c>
      <c r="D1357" t="s">
        <v>20</v>
      </c>
      <c r="E1357">
        <v>18</v>
      </c>
      <c r="F1357" t="str">
        <f t="shared" si="21"/>
        <v>13-24 Months</v>
      </c>
      <c r="G1357" t="s">
        <v>17</v>
      </c>
      <c r="H1357" t="s">
        <v>36</v>
      </c>
      <c r="I1357" t="s">
        <v>30</v>
      </c>
      <c r="J1357" t="s">
        <v>16</v>
      </c>
      <c r="K1357" t="s">
        <v>20</v>
      </c>
      <c r="L1357">
        <v>7</v>
      </c>
      <c r="M1357" s="7">
        <v>75.36</v>
      </c>
      <c r="N1357" s="7">
        <v>1295.3699999999999</v>
      </c>
      <c r="O1357" t="s">
        <v>20</v>
      </c>
    </row>
    <row r="1358" spans="1:15" x14ac:dyDescent="0.3">
      <c r="A1358" t="s">
        <v>1383</v>
      </c>
      <c r="B1358" t="s">
        <v>22</v>
      </c>
      <c r="C1358">
        <v>27</v>
      </c>
      <c r="D1358" t="s">
        <v>20</v>
      </c>
      <c r="E1358">
        <v>51</v>
      </c>
      <c r="F1358" t="str">
        <f t="shared" si="21"/>
        <v>49+ Months</v>
      </c>
      <c r="G1358" t="s">
        <v>17</v>
      </c>
      <c r="H1358" t="s">
        <v>20</v>
      </c>
      <c r="I1358" t="s">
        <v>30</v>
      </c>
      <c r="J1358" t="s">
        <v>20</v>
      </c>
      <c r="K1358" t="s">
        <v>16</v>
      </c>
      <c r="L1358">
        <v>4</v>
      </c>
      <c r="M1358" s="7">
        <v>53.1</v>
      </c>
      <c r="N1358" s="7">
        <v>2819.62</v>
      </c>
      <c r="O1358" t="s">
        <v>20</v>
      </c>
    </row>
    <row r="1359" spans="1:15" x14ac:dyDescent="0.3">
      <c r="A1359" t="s">
        <v>1384</v>
      </c>
      <c r="B1359" t="s">
        <v>15</v>
      </c>
      <c r="C1359">
        <v>40</v>
      </c>
      <c r="D1359" t="s">
        <v>20</v>
      </c>
      <c r="E1359">
        <v>48</v>
      </c>
      <c r="F1359" t="str">
        <f t="shared" si="21"/>
        <v>25-48 Months</v>
      </c>
      <c r="G1359" t="s">
        <v>17</v>
      </c>
      <c r="H1359" t="s">
        <v>18</v>
      </c>
      <c r="I1359" t="s">
        <v>19</v>
      </c>
      <c r="J1359" t="s">
        <v>16</v>
      </c>
      <c r="K1359" t="s">
        <v>16</v>
      </c>
      <c r="L1359">
        <v>4</v>
      </c>
      <c r="M1359" s="7">
        <v>90.3</v>
      </c>
      <c r="N1359" s="7">
        <v>4656.58</v>
      </c>
      <c r="O1359" t="s">
        <v>20</v>
      </c>
    </row>
    <row r="1360" spans="1:15" x14ac:dyDescent="0.3">
      <c r="A1360" t="s">
        <v>1385</v>
      </c>
      <c r="B1360" t="s">
        <v>22</v>
      </c>
      <c r="C1360">
        <v>75</v>
      </c>
      <c r="D1360" t="s">
        <v>16</v>
      </c>
      <c r="E1360">
        <v>66</v>
      </c>
      <c r="F1360" t="str">
        <f t="shared" si="21"/>
        <v>49+ Months</v>
      </c>
      <c r="G1360" t="s">
        <v>23</v>
      </c>
      <c r="H1360" t="s">
        <v>36</v>
      </c>
      <c r="I1360" t="s">
        <v>24</v>
      </c>
      <c r="J1360" t="s">
        <v>20</v>
      </c>
      <c r="K1360" t="s">
        <v>20</v>
      </c>
      <c r="L1360">
        <v>6</v>
      </c>
      <c r="M1360" s="7">
        <v>64.3</v>
      </c>
      <c r="N1360" s="7">
        <v>4493.5200000000004</v>
      </c>
      <c r="O1360" t="s">
        <v>20</v>
      </c>
    </row>
    <row r="1361" spans="1:15" x14ac:dyDescent="0.3">
      <c r="A1361" t="s">
        <v>1386</v>
      </c>
      <c r="B1361" t="s">
        <v>15</v>
      </c>
      <c r="C1361">
        <v>73</v>
      </c>
      <c r="D1361" t="s">
        <v>16</v>
      </c>
      <c r="E1361">
        <v>8</v>
      </c>
      <c r="F1361" t="str">
        <f t="shared" si="21"/>
        <v>7-12 Months</v>
      </c>
      <c r="G1361" t="s">
        <v>17</v>
      </c>
      <c r="H1361" t="s">
        <v>20</v>
      </c>
      <c r="I1361" t="s">
        <v>27</v>
      </c>
      <c r="J1361" t="s">
        <v>20</v>
      </c>
      <c r="K1361" t="s">
        <v>16</v>
      </c>
      <c r="L1361">
        <v>4</v>
      </c>
      <c r="M1361" s="7">
        <v>39.72</v>
      </c>
      <c r="N1361" s="7">
        <v>303.42</v>
      </c>
      <c r="O1361" t="s">
        <v>20</v>
      </c>
    </row>
    <row r="1362" spans="1:15" x14ac:dyDescent="0.3">
      <c r="A1362" t="s">
        <v>1387</v>
      </c>
      <c r="B1362" t="s">
        <v>22</v>
      </c>
      <c r="C1362">
        <v>56</v>
      </c>
      <c r="D1362" t="s">
        <v>20</v>
      </c>
      <c r="E1362">
        <v>22</v>
      </c>
      <c r="F1362" t="str">
        <f t="shared" si="21"/>
        <v>13-24 Months</v>
      </c>
      <c r="G1362" t="s">
        <v>35</v>
      </c>
      <c r="H1362" t="s">
        <v>18</v>
      </c>
      <c r="I1362" t="s">
        <v>19</v>
      </c>
      <c r="J1362" t="s">
        <v>16</v>
      </c>
      <c r="K1362" t="s">
        <v>20</v>
      </c>
      <c r="L1362">
        <v>3</v>
      </c>
      <c r="M1362" s="7">
        <v>66.38</v>
      </c>
      <c r="N1362" s="7">
        <v>1355.66</v>
      </c>
      <c r="O1362" t="s">
        <v>20</v>
      </c>
    </row>
    <row r="1363" spans="1:15" x14ac:dyDescent="0.3">
      <c r="A1363" t="s">
        <v>1388</v>
      </c>
      <c r="B1363" t="s">
        <v>22</v>
      </c>
      <c r="C1363">
        <v>22</v>
      </c>
      <c r="D1363" t="s">
        <v>20</v>
      </c>
      <c r="E1363">
        <v>6</v>
      </c>
      <c r="F1363" t="str">
        <f t="shared" si="21"/>
        <v>0-6 Months</v>
      </c>
      <c r="G1363" t="s">
        <v>35</v>
      </c>
      <c r="H1363" t="s">
        <v>20</v>
      </c>
      <c r="I1363" t="s">
        <v>19</v>
      </c>
      <c r="J1363" t="s">
        <v>16</v>
      </c>
      <c r="K1363" t="s">
        <v>16</v>
      </c>
      <c r="L1363">
        <v>5</v>
      </c>
      <c r="M1363" s="7">
        <v>42.23</v>
      </c>
      <c r="N1363" s="7">
        <v>263.8</v>
      </c>
      <c r="O1363" t="s">
        <v>20</v>
      </c>
    </row>
    <row r="1364" spans="1:15" x14ac:dyDescent="0.3">
      <c r="A1364" t="s">
        <v>1389</v>
      </c>
      <c r="B1364" t="s">
        <v>15</v>
      </c>
      <c r="C1364">
        <v>18</v>
      </c>
      <c r="D1364" t="s">
        <v>20</v>
      </c>
      <c r="E1364">
        <v>57</v>
      </c>
      <c r="F1364" t="str">
        <f t="shared" si="21"/>
        <v>49+ Months</v>
      </c>
      <c r="G1364" t="s">
        <v>23</v>
      </c>
      <c r="H1364" t="s">
        <v>36</v>
      </c>
      <c r="I1364" t="s">
        <v>30</v>
      </c>
      <c r="J1364" t="s">
        <v>20</v>
      </c>
      <c r="K1364" t="s">
        <v>20</v>
      </c>
      <c r="L1364">
        <v>7</v>
      </c>
      <c r="M1364" s="7">
        <v>71.680000000000007</v>
      </c>
      <c r="N1364" s="7">
        <v>4013.99</v>
      </c>
      <c r="O1364" t="s">
        <v>20</v>
      </c>
    </row>
    <row r="1365" spans="1:15" x14ac:dyDescent="0.3">
      <c r="A1365" t="s">
        <v>1390</v>
      </c>
      <c r="B1365" t="s">
        <v>22</v>
      </c>
      <c r="C1365">
        <v>30</v>
      </c>
      <c r="D1365" t="s">
        <v>20</v>
      </c>
      <c r="E1365">
        <v>36</v>
      </c>
      <c r="F1365" t="str">
        <f t="shared" si="21"/>
        <v>25-48 Months</v>
      </c>
      <c r="G1365" t="s">
        <v>23</v>
      </c>
      <c r="H1365" t="s">
        <v>36</v>
      </c>
      <c r="I1365" t="s">
        <v>19</v>
      </c>
      <c r="J1365" t="s">
        <v>16</v>
      </c>
      <c r="K1365" t="s">
        <v>16</v>
      </c>
      <c r="L1365">
        <v>6</v>
      </c>
      <c r="M1365" s="7">
        <v>57.55</v>
      </c>
      <c r="N1365" s="7">
        <v>2179.41</v>
      </c>
      <c r="O1365" t="s">
        <v>20</v>
      </c>
    </row>
    <row r="1366" spans="1:15" x14ac:dyDescent="0.3">
      <c r="A1366" t="s">
        <v>1391</v>
      </c>
      <c r="B1366" t="s">
        <v>22</v>
      </c>
      <c r="C1366">
        <v>38</v>
      </c>
      <c r="D1366" t="s">
        <v>20</v>
      </c>
      <c r="E1366">
        <v>57</v>
      </c>
      <c r="F1366" t="str">
        <f t="shared" si="21"/>
        <v>49+ Months</v>
      </c>
      <c r="G1366" t="s">
        <v>17</v>
      </c>
      <c r="H1366" t="s">
        <v>18</v>
      </c>
      <c r="I1366" t="s">
        <v>24</v>
      </c>
      <c r="J1366" t="s">
        <v>20</v>
      </c>
      <c r="K1366" t="s">
        <v>16</v>
      </c>
      <c r="L1366">
        <v>1</v>
      </c>
      <c r="M1366" s="7">
        <v>63.19</v>
      </c>
      <c r="N1366" s="7">
        <v>3762.75</v>
      </c>
      <c r="O1366" t="s">
        <v>20</v>
      </c>
    </row>
    <row r="1367" spans="1:15" x14ac:dyDescent="0.3">
      <c r="A1367" t="s">
        <v>1392</v>
      </c>
      <c r="B1367" t="s">
        <v>22</v>
      </c>
      <c r="C1367">
        <v>43</v>
      </c>
      <c r="D1367" t="s">
        <v>20</v>
      </c>
      <c r="E1367">
        <v>49</v>
      </c>
      <c r="F1367" t="str">
        <f t="shared" si="21"/>
        <v>49+ Months</v>
      </c>
      <c r="G1367" t="s">
        <v>17</v>
      </c>
      <c r="H1367" t="s">
        <v>36</v>
      </c>
      <c r="I1367" t="s">
        <v>24</v>
      </c>
      <c r="J1367" t="s">
        <v>20</v>
      </c>
      <c r="K1367" t="s">
        <v>20</v>
      </c>
      <c r="L1367">
        <v>7</v>
      </c>
      <c r="M1367" s="7">
        <v>72.56</v>
      </c>
      <c r="N1367" s="7">
        <v>3626.78</v>
      </c>
      <c r="O1367" t="s">
        <v>20</v>
      </c>
    </row>
    <row r="1368" spans="1:15" x14ac:dyDescent="0.3">
      <c r="A1368" t="s">
        <v>1393</v>
      </c>
      <c r="B1368" t="s">
        <v>15</v>
      </c>
      <c r="C1368">
        <v>67</v>
      </c>
      <c r="D1368" t="s">
        <v>16</v>
      </c>
      <c r="E1368">
        <v>45</v>
      </c>
      <c r="F1368" t="str">
        <f t="shared" si="21"/>
        <v>25-48 Months</v>
      </c>
      <c r="G1368" t="s">
        <v>23</v>
      </c>
      <c r="H1368" t="s">
        <v>18</v>
      </c>
      <c r="I1368" t="s">
        <v>24</v>
      </c>
      <c r="J1368" t="s">
        <v>16</v>
      </c>
      <c r="K1368" t="s">
        <v>20</v>
      </c>
      <c r="L1368">
        <v>5</v>
      </c>
      <c r="M1368" s="7">
        <v>72.36</v>
      </c>
      <c r="N1368" s="7">
        <v>3128.73</v>
      </c>
      <c r="O1368" t="s">
        <v>20</v>
      </c>
    </row>
    <row r="1369" spans="1:15" x14ac:dyDescent="0.3">
      <c r="A1369" t="s">
        <v>1394</v>
      </c>
      <c r="B1369" t="s">
        <v>22</v>
      </c>
      <c r="C1369">
        <v>62</v>
      </c>
      <c r="D1369" t="s">
        <v>16</v>
      </c>
      <c r="E1369">
        <v>66</v>
      </c>
      <c r="F1369" t="str">
        <f t="shared" si="21"/>
        <v>49+ Months</v>
      </c>
      <c r="G1369" t="s">
        <v>17</v>
      </c>
      <c r="H1369" t="s">
        <v>36</v>
      </c>
      <c r="I1369" t="s">
        <v>30</v>
      </c>
      <c r="J1369" t="s">
        <v>20</v>
      </c>
      <c r="K1369" t="s">
        <v>16</v>
      </c>
      <c r="L1369">
        <v>3</v>
      </c>
      <c r="M1369" s="7">
        <v>58.28</v>
      </c>
      <c r="N1369" s="7">
        <v>3602.79</v>
      </c>
      <c r="O1369" t="s">
        <v>20</v>
      </c>
    </row>
    <row r="1370" spans="1:15" x14ac:dyDescent="0.3">
      <c r="A1370" t="s">
        <v>1395</v>
      </c>
      <c r="B1370" t="s">
        <v>15</v>
      </c>
      <c r="C1370">
        <v>38</v>
      </c>
      <c r="D1370" t="s">
        <v>20</v>
      </c>
      <c r="E1370">
        <v>45</v>
      </c>
      <c r="F1370" t="str">
        <f t="shared" si="21"/>
        <v>25-48 Months</v>
      </c>
      <c r="G1370" t="s">
        <v>17</v>
      </c>
      <c r="H1370" t="s">
        <v>18</v>
      </c>
      <c r="I1370" t="s">
        <v>24</v>
      </c>
      <c r="J1370" t="s">
        <v>20</v>
      </c>
      <c r="K1370" t="s">
        <v>20</v>
      </c>
      <c r="L1370">
        <v>7</v>
      </c>
      <c r="M1370" s="7">
        <v>98.14</v>
      </c>
      <c r="N1370" s="7">
        <v>4241.5200000000004</v>
      </c>
      <c r="O1370" t="s">
        <v>20</v>
      </c>
    </row>
    <row r="1371" spans="1:15" x14ac:dyDescent="0.3">
      <c r="A1371" t="s">
        <v>1396</v>
      </c>
      <c r="B1371" t="s">
        <v>22</v>
      </c>
      <c r="C1371">
        <v>70</v>
      </c>
      <c r="D1371" t="s">
        <v>16</v>
      </c>
      <c r="E1371">
        <v>20</v>
      </c>
      <c r="F1371" t="str">
        <f t="shared" si="21"/>
        <v>13-24 Months</v>
      </c>
      <c r="G1371" t="s">
        <v>23</v>
      </c>
      <c r="H1371" t="s">
        <v>20</v>
      </c>
      <c r="I1371" t="s">
        <v>24</v>
      </c>
      <c r="J1371" t="s">
        <v>20</v>
      </c>
      <c r="K1371" t="s">
        <v>16</v>
      </c>
      <c r="L1371">
        <v>2</v>
      </c>
      <c r="M1371" s="7">
        <v>36.99</v>
      </c>
      <c r="N1371" s="7">
        <v>740.96</v>
      </c>
      <c r="O1371" t="s">
        <v>20</v>
      </c>
    </row>
    <row r="1372" spans="1:15" x14ac:dyDescent="0.3">
      <c r="A1372" t="s">
        <v>1397</v>
      </c>
      <c r="B1372" t="s">
        <v>15</v>
      </c>
      <c r="C1372">
        <v>35</v>
      </c>
      <c r="D1372" t="s">
        <v>20</v>
      </c>
      <c r="E1372">
        <v>64</v>
      </c>
      <c r="F1372" t="str">
        <f t="shared" si="21"/>
        <v>49+ Months</v>
      </c>
      <c r="G1372" t="s">
        <v>17</v>
      </c>
      <c r="H1372" t="s">
        <v>18</v>
      </c>
      <c r="I1372" t="s">
        <v>27</v>
      </c>
      <c r="J1372" t="s">
        <v>16</v>
      </c>
      <c r="K1372" t="s">
        <v>20</v>
      </c>
      <c r="L1372">
        <v>7</v>
      </c>
      <c r="M1372" s="7">
        <v>87.52</v>
      </c>
      <c r="N1372" s="7">
        <v>6030.98</v>
      </c>
      <c r="O1372" t="s">
        <v>16</v>
      </c>
    </row>
    <row r="1373" spans="1:15" x14ac:dyDescent="0.3">
      <c r="A1373" t="s">
        <v>1398</v>
      </c>
      <c r="B1373" t="s">
        <v>15</v>
      </c>
      <c r="C1373">
        <v>54</v>
      </c>
      <c r="D1373" t="s">
        <v>20</v>
      </c>
      <c r="E1373">
        <v>67</v>
      </c>
      <c r="F1373" t="str">
        <f t="shared" si="21"/>
        <v>49+ Months</v>
      </c>
      <c r="G1373" t="s">
        <v>35</v>
      </c>
      <c r="H1373" t="s">
        <v>18</v>
      </c>
      <c r="I1373" t="s">
        <v>24</v>
      </c>
      <c r="J1373" t="s">
        <v>20</v>
      </c>
      <c r="K1373" t="s">
        <v>20</v>
      </c>
      <c r="L1373">
        <v>4</v>
      </c>
      <c r="M1373" s="7">
        <v>87.2</v>
      </c>
      <c r="N1373" s="7">
        <v>5434.54</v>
      </c>
      <c r="O1373" t="s">
        <v>20</v>
      </c>
    </row>
    <row r="1374" spans="1:15" x14ac:dyDescent="0.3">
      <c r="A1374" t="s">
        <v>1399</v>
      </c>
      <c r="B1374" t="s">
        <v>22</v>
      </c>
      <c r="C1374">
        <v>62</v>
      </c>
      <c r="D1374" t="s">
        <v>16</v>
      </c>
      <c r="E1374">
        <v>3</v>
      </c>
      <c r="F1374" t="str">
        <f t="shared" si="21"/>
        <v>0-6 Months</v>
      </c>
      <c r="G1374" t="s">
        <v>17</v>
      </c>
      <c r="H1374" t="s">
        <v>36</v>
      </c>
      <c r="I1374" t="s">
        <v>30</v>
      </c>
      <c r="J1374" t="s">
        <v>20</v>
      </c>
      <c r="K1374" t="s">
        <v>16</v>
      </c>
      <c r="L1374">
        <v>2</v>
      </c>
      <c r="M1374" s="7">
        <v>60.71</v>
      </c>
      <c r="N1374" s="7">
        <v>173.39</v>
      </c>
      <c r="O1374" t="s">
        <v>20</v>
      </c>
    </row>
    <row r="1375" spans="1:15" x14ac:dyDescent="0.3">
      <c r="A1375" t="s">
        <v>1400</v>
      </c>
      <c r="B1375" t="s">
        <v>22</v>
      </c>
      <c r="C1375">
        <v>49</v>
      </c>
      <c r="D1375" t="s">
        <v>20</v>
      </c>
      <c r="E1375">
        <v>54</v>
      </c>
      <c r="F1375" t="str">
        <f t="shared" si="21"/>
        <v>49+ Months</v>
      </c>
      <c r="G1375" t="s">
        <v>23</v>
      </c>
      <c r="H1375" t="s">
        <v>18</v>
      </c>
      <c r="I1375" t="s">
        <v>24</v>
      </c>
      <c r="J1375" t="s">
        <v>20</v>
      </c>
      <c r="K1375" t="s">
        <v>20</v>
      </c>
      <c r="L1375">
        <v>3</v>
      </c>
      <c r="M1375" s="7">
        <v>77.22</v>
      </c>
      <c r="N1375" s="7">
        <v>4254.8</v>
      </c>
      <c r="O1375" t="s">
        <v>20</v>
      </c>
    </row>
    <row r="1376" spans="1:15" x14ac:dyDescent="0.3">
      <c r="A1376" t="s">
        <v>1401</v>
      </c>
      <c r="B1376" t="s">
        <v>15</v>
      </c>
      <c r="C1376">
        <v>53</v>
      </c>
      <c r="D1376" t="s">
        <v>20</v>
      </c>
      <c r="E1376">
        <v>64</v>
      </c>
      <c r="F1376" t="str">
        <f t="shared" si="21"/>
        <v>49+ Months</v>
      </c>
      <c r="G1376" t="s">
        <v>17</v>
      </c>
      <c r="H1376" t="s">
        <v>36</v>
      </c>
      <c r="I1376" t="s">
        <v>24</v>
      </c>
      <c r="J1376" t="s">
        <v>20</v>
      </c>
      <c r="K1376" t="s">
        <v>20</v>
      </c>
      <c r="L1376">
        <v>1</v>
      </c>
      <c r="M1376" s="7">
        <v>48.04</v>
      </c>
      <c r="N1376" s="7">
        <v>2978.32</v>
      </c>
      <c r="O1376" t="s">
        <v>20</v>
      </c>
    </row>
    <row r="1377" spans="1:15" x14ac:dyDescent="0.3">
      <c r="A1377" t="s">
        <v>1402</v>
      </c>
      <c r="B1377" t="s">
        <v>15</v>
      </c>
      <c r="C1377">
        <v>34</v>
      </c>
      <c r="D1377" t="s">
        <v>20</v>
      </c>
      <c r="E1377">
        <v>40</v>
      </c>
      <c r="F1377" t="str">
        <f t="shared" si="21"/>
        <v>25-48 Months</v>
      </c>
      <c r="G1377" t="s">
        <v>23</v>
      </c>
      <c r="H1377" t="s">
        <v>20</v>
      </c>
      <c r="I1377" t="s">
        <v>19</v>
      </c>
      <c r="J1377" t="s">
        <v>16</v>
      </c>
      <c r="K1377" t="s">
        <v>20</v>
      </c>
      <c r="L1377">
        <v>4</v>
      </c>
      <c r="M1377" s="7">
        <v>36.659999999999997</v>
      </c>
      <c r="N1377" s="7">
        <v>1550.51</v>
      </c>
      <c r="O1377" t="s">
        <v>20</v>
      </c>
    </row>
    <row r="1378" spans="1:15" x14ac:dyDescent="0.3">
      <c r="A1378" t="s">
        <v>1403</v>
      </c>
      <c r="B1378" t="s">
        <v>22</v>
      </c>
      <c r="C1378">
        <v>52</v>
      </c>
      <c r="D1378" t="s">
        <v>20</v>
      </c>
      <c r="E1378">
        <v>59</v>
      </c>
      <c r="F1378" t="str">
        <f t="shared" si="21"/>
        <v>49+ Months</v>
      </c>
      <c r="G1378" t="s">
        <v>17</v>
      </c>
      <c r="H1378" t="s">
        <v>36</v>
      </c>
      <c r="I1378" t="s">
        <v>24</v>
      </c>
      <c r="J1378" t="s">
        <v>20</v>
      </c>
      <c r="K1378" t="s">
        <v>20</v>
      </c>
      <c r="L1378">
        <v>1</v>
      </c>
      <c r="M1378" s="7">
        <v>44.15</v>
      </c>
      <c r="N1378" s="7">
        <v>2454.5700000000002</v>
      </c>
      <c r="O1378" t="s">
        <v>20</v>
      </c>
    </row>
    <row r="1379" spans="1:15" x14ac:dyDescent="0.3">
      <c r="A1379" t="s">
        <v>1404</v>
      </c>
      <c r="B1379" t="s">
        <v>15</v>
      </c>
      <c r="C1379">
        <v>66</v>
      </c>
      <c r="D1379" t="s">
        <v>16</v>
      </c>
      <c r="E1379">
        <v>55</v>
      </c>
      <c r="F1379" t="str">
        <f t="shared" si="21"/>
        <v>49+ Months</v>
      </c>
      <c r="G1379" t="s">
        <v>17</v>
      </c>
      <c r="H1379" t="s">
        <v>18</v>
      </c>
      <c r="I1379" t="s">
        <v>27</v>
      </c>
      <c r="J1379" t="s">
        <v>20</v>
      </c>
      <c r="K1379" t="s">
        <v>16</v>
      </c>
      <c r="L1379">
        <v>3</v>
      </c>
      <c r="M1379" s="7">
        <v>82.51</v>
      </c>
      <c r="N1379" s="7">
        <v>4874.34</v>
      </c>
      <c r="O1379" t="s">
        <v>20</v>
      </c>
    </row>
    <row r="1380" spans="1:15" x14ac:dyDescent="0.3">
      <c r="A1380" t="s">
        <v>1405</v>
      </c>
      <c r="B1380" t="s">
        <v>22</v>
      </c>
      <c r="C1380">
        <v>28</v>
      </c>
      <c r="D1380" t="s">
        <v>20</v>
      </c>
      <c r="E1380">
        <v>62</v>
      </c>
      <c r="F1380" t="str">
        <f t="shared" si="21"/>
        <v>49+ Months</v>
      </c>
      <c r="G1380" t="s">
        <v>35</v>
      </c>
      <c r="H1380" t="s">
        <v>36</v>
      </c>
      <c r="I1380" t="s">
        <v>19</v>
      </c>
      <c r="J1380" t="s">
        <v>20</v>
      </c>
      <c r="K1380" t="s">
        <v>16</v>
      </c>
      <c r="L1380">
        <v>2</v>
      </c>
      <c r="M1380" s="7">
        <v>63.95</v>
      </c>
      <c r="N1380" s="7">
        <v>4226.5</v>
      </c>
      <c r="O1380" t="s">
        <v>20</v>
      </c>
    </row>
    <row r="1381" spans="1:15" x14ac:dyDescent="0.3">
      <c r="A1381" t="s">
        <v>1406</v>
      </c>
      <c r="B1381" t="s">
        <v>22</v>
      </c>
      <c r="C1381">
        <v>38</v>
      </c>
      <c r="D1381" t="s">
        <v>20</v>
      </c>
      <c r="E1381">
        <v>4</v>
      </c>
      <c r="F1381" t="str">
        <f t="shared" si="21"/>
        <v>0-6 Months</v>
      </c>
      <c r="G1381" t="s">
        <v>17</v>
      </c>
      <c r="H1381" t="s">
        <v>36</v>
      </c>
      <c r="I1381" t="s">
        <v>24</v>
      </c>
      <c r="J1381" t="s">
        <v>20</v>
      </c>
      <c r="K1381" t="s">
        <v>20</v>
      </c>
      <c r="L1381">
        <v>5</v>
      </c>
      <c r="M1381" s="7">
        <v>60.1</v>
      </c>
      <c r="N1381" s="7">
        <v>255.31</v>
      </c>
      <c r="O1381" t="s">
        <v>20</v>
      </c>
    </row>
    <row r="1382" spans="1:15" x14ac:dyDescent="0.3">
      <c r="A1382" t="s">
        <v>1407</v>
      </c>
      <c r="B1382" t="s">
        <v>22</v>
      </c>
      <c r="C1382">
        <v>69</v>
      </c>
      <c r="D1382" t="s">
        <v>16</v>
      </c>
      <c r="E1382">
        <v>60</v>
      </c>
      <c r="F1382" t="str">
        <f t="shared" si="21"/>
        <v>49+ Months</v>
      </c>
      <c r="G1382" t="s">
        <v>17</v>
      </c>
      <c r="H1382" t="s">
        <v>20</v>
      </c>
      <c r="I1382" t="s">
        <v>24</v>
      </c>
      <c r="J1382" t="s">
        <v>16</v>
      </c>
      <c r="K1382" t="s">
        <v>16</v>
      </c>
      <c r="L1382">
        <v>1</v>
      </c>
      <c r="M1382" s="7">
        <v>27.8</v>
      </c>
      <c r="N1382" s="7">
        <v>1580.75</v>
      </c>
      <c r="O1382" t="s">
        <v>20</v>
      </c>
    </row>
    <row r="1383" spans="1:15" x14ac:dyDescent="0.3">
      <c r="A1383" t="s">
        <v>1408</v>
      </c>
      <c r="B1383" t="s">
        <v>22</v>
      </c>
      <c r="C1383">
        <v>72</v>
      </c>
      <c r="D1383" t="s">
        <v>16</v>
      </c>
      <c r="E1383">
        <v>30</v>
      </c>
      <c r="F1383" t="str">
        <f t="shared" si="21"/>
        <v>25-48 Months</v>
      </c>
      <c r="G1383" t="s">
        <v>17</v>
      </c>
      <c r="H1383" t="s">
        <v>18</v>
      </c>
      <c r="I1383" t="s">
        <v>19</v>
      </c>
      <c r="J1383" t="s">
        <v>20</v>
      </c>
      <c r="K1383" t="s">
        <v>20</v>
      </c>
      <c r="L1383">
        <v>5</v>
      </c>
      <c r="M1383" s="7">
        <v>78.47</v>
      </c>
      <c r="N1383" s="7">
        <v>2289.88</v>
      </c>
      <c r="O1383" t="s">
        <v>20</v>
      </c>
    </row>
    <row r="1384" spans="1:15" x14ac:dyDescent="0.3">
      <c r="A1384" t="s">
        <v>1409</v>
      </c>
      <c r="B1384" t="s">
        <v>15</v>
      </c>
      <c r="C1384">
        <v>70</v>
      </c>
      <c r="D1384" t="s">
        <v>16</v>
      </c>
      <c r="E1384">
        <v>2</v>
      </c>
      <c r="F1384" t="str">
        <f t="shared" si="21"/>
        <v>0-6 Months</v>
      </c>
      <c r="G1384" t="s">
        <v>23</v>
      </c>
      <c r="H1384" t="s">
        <v>36</v>
      </c>
      <c r="I1384" t="s">
        <v>24</v>
      </c>
      <c r="J1384" t="s">
        <v>20</v>
      </c>
      <c r="K1384" t="s">
        <v>20</v>
      </c>
      <c r="L1384">
        <v>3</v>
      </c>
      <c r="M1384" s="7">
        <v>51.98</v>
      </c>
      <c r="N1384" s="7">
        <v>109.02</v>
      </c>
      <c r="O1384" t="s">
        <v>20</v>
      </c>
    </row>
    <row r="1385" spans="1:15" x14ac:dyDescent="0.3">
      <c r="A1385" t="s">
        <v>1410</v>
      </c>
      <c r="B1385" t="s">
        <v>22</v>
      </c>
      <c r="C1385">
        <v>43</v>
      </c>
      <c r="D1385" t="s">
        <v>20</v>
      </c>
      <c r="E1385">
        <v>62</v>
      </c>
      <c r="F1385" t="str">
        <f t="shared" si="21"/>
        <v>49+ Months</v>
      </c>
      <c r="G1385" t="s">
        <v>17</v>
      </c>
      <c r="H1385" t="s">
        <v>36</v>
      </c>
      <c r="I1385" t="s">
        <v>24</v>
      </c>
      <c r="J1385" t="s">
        <v>20</v>
      </c>
      <c r="K1385" t="s">
        <v>16</v>
      </c>
      <c r="L1385">
        <v>3</v>
      </c>
      <c r="M1385" s="7">
        <v>46.19</v>
      </c>
      <c r="N1385" s="7">
        <v>3004.82</v>
      </c>
      <c r="O1385" t="s">
        <v>16</v>
      </c>
    </row>
    <row r="1386" spans="1:15" x14ac:dyDescent="0.3">
      <c r="A1386" t="s">
        <v>1411</v>
      </c>
      <c r="B1386" t="s">
        <v>15</v>
      </c>
      <c r="C1386">
        <v>21</v>
      </c>
      <c r="D1386" t="s">
        <v>20</v>
      </c>
      <c r="E1386">
        <v>49</v>
      </c>
      <c r="F1386" t="str">
        <f t="shared" si="21"/>
        <v>49+ Months</v>
      </c>
      <c r="G1386" t="s">
        <v>35</v>
      </c>
      <c r="H1386" t="s">
        <v>18</v>
      </c>
      <c r="I1386" t="s">
        <v>30</v>
      </c>
      <c r="J1386" t="s">
        <v>20</v>
      </c>
      <c r="K1386" t="s">
        <v>16</v>
      </c>
      <c r="L1386">
        <v>3</v>
      </c>
      <c r="M1386" s="7">
        <v>78</v>
      </c>
      <c r="N1386" s="7">
        <v>3947.47</v>
      </c>
      <c r="O1386" t="s">
        <v>20</v>
      </c>
    </row>
    <row r="1387" spans="1:15" x14ac:dyDescent="0.3">
      <c r="A1387" t="s">
        <v>1412</v>
      </c>
      <c r="B1387" t="s">
        <v>22</v>
      </c>
      <c r="C1387">
        <v>51</v>
      </c>
      <c r="D1387" t="s">
        <v>20</v>
      </c>
      <c r="E1387">
        <v>9</v>
      </c>
      <c r="F1387" t="str">
        <f t="shared" si="21"/>
        <v>7-12 Months</v>
      </c>
      <c r="G1387" t="s">
        <v>17</v>
      </c>
      <c r="H1387" t="s">
        <v>18</v>
      </c>
      <c r="I1387" t="s">
        <v>27</v>
      </c>
      <c r="J1387" t="s">
        <v>20</v>
      </c>
      <c r="K1387" t="s">
        <v>20</v>
      </c>
      <c r="L1387">
        <v>2</v>
      </c>
      <c r="M1387" s="7">
        <v>62.12</v>
      </c>
      <c r="N1387" s="7">
        <v>554.42999999999995</v>
      </c>
      <c r="O1387" t="s">
        <v>16</v>
      </c>
    </row>
    <row r="1388" spans="1:15" x14ac:dyDescent="0.3">
      <c r="A1388" t="s">
        <v>1413</v>
      </c>
      <c r="B1388" t="s">
        <v>15</v>
      </c>
      <c r="C1388">
        <v>69</v>
      </c>
      <c r="D1388" t="s">
        <v>16</v>
      </c>
      <c r="E1388">
        <v>31</v>
      </c>
      <c r="F1388" t="str">
        <f t="shared" si="21"/>
        <v>25-48 Months</v>
      </c>
      <c r="G1388" t="s">
        <v>17</v>
      </c>
      <c r="H1388" t="s">
        <v>18</v>
      </c>
      <c r="I1388" t="s">
        <v>19</v>
      </c>
      <c r="J1388" t="s">
        <v>20</v>
      </c>
      <c r="K1388" t="s">
        <v>16</v>
      </c>
      <c r="L1388">
        <v>3</v>
      </c>
      <c r="M1388" s="7">
        <v>71.16</v>
      </c>
      <c r="N1388" s="7">
        <v>2139.46</v>
      </c>
      <c r="O1388" t="s">
        <v>20</v>
      </c>
    </row>
    <row r="1389" spans="1:15" x14ac:dyDescent="0.3">
      <c r="A1389" t="s">
        <v>1414</v>
      </c>
      <c r="B1389" t="s">
        <v>22</v>
      </c>
      <c r="C1389">
        <v>65</v>
      </c>
      <c r="D1389" t="s">
        <v>16</v>
      </c>
      <c r="E1389">
        <v>61</v>
      </c>
      <c r="F1389" t="str">
        <f t="shared" si="21"/>
        <v>49+ Months</v>
      </c>
      <c r="G1389" t="s">
        <v>23</v>
      </c>
      <c r="H1389" t="s">
        <v>20</v>
      </c>
      <c r="I1389" t="s">
        <v>30</v>
      </c>
      <c r="J1389" t="s">
        <v>20</v>
      </c>
      <c r="K1389" t="s">
        <v>20</v>
      </c>
      <c r="L1389">
        <v>3</v>
      </c>
      <c r="M1389" s="7">
        <v>36.57</v>
      </c>
      <c r="N1389" s="7">
        <v>2396.0100000000002</v>
      </c>
      <c r="O1389" t="s">
        <v>20</v>
      </c>
    </row>
    <row r="1390" spans="1:15" x14ac:dyDescent="0.3">
      <c r="A1390" t="s">
        <v>1415</v>
      </c>
      <c r="B1390" t="s">
        <v>15</v>
      </c>
      <c r="C1390">
        <v>35</v>
      </c>
      <c r="D1390" t="s">
        <v>20</v>
      </c>
      <c r="E1390">
        <v>48</v>
      </c>
      <c r="F1390" t="str">
        <f t="shared" si="21"/>
        <v>25-48 Months</v>
      </c>
      <c r="G1390" t="s">
        <v>23</v>
      </c>
      <c r="H1390" t="s">
        <v>20</v>
      </c>
      <c r="I1390" t="s">
        <v>27</v>
      </c>
      <c r="J1390" t="s">
        <v>20</v>
      </c>
      <c r="K1390" t="s">
        <v>20</v>
      </c>
      <c r="L1390">
        <v>8</v>
      </c>
      <c r="M1390" s="7">
        <v>47.8</v>
      </c>
      <c r="N1390" s="7">
        <v>2161.9699999999998</v>
      </c>
      <c r="O1390" t="s">
        <v>20</v>
      </c>
    </row>
    <row r="1391" spans="1:15" x14ac:dyDescent="0.3">
      <c r="A1391" t="s">
        <v>1416</v>
      </c>
      <c r="B1391" t="s">
        <v>15</v>
      </c>
      <c r="C1391">
        <v>57</v>
      </c>
      <c r="D1391" t="s">
        <v>20</v>
      </c>
      <c r="E1391">
        <v>25</v>
      </c>
      <c r="F1391" t="str">
        <f t="shared" si="21"/>
        <v>25-48 Months</v>
      </c>
      <c r="G1391" t="s">
        <v>35</v>
      </c>
      <c r="H1391" t="s">
        <v>36</v>
      </c>
      <c r="I1391" t="s">
        <v>24</v>
      </c>
      <c r="J1391" t="s">
        <v>16</v>
      </c>
      <c r="K1391" t="s">
        <v>20</v>
      </c>
      <c r="L1391">
        <v>2</v>
      </c>
      <c r="M1391" s="7">
        <v>45.58</v>
      </c>
      <c r="N1391" s="7">
        <v>1056.32</v>
      </c>
      <c r="O1391" t="s">
        <v>20</v>
      </c>
    </row>
    <row r="1392" spans="1:15" x14ac:dyDescent="0.3">
      <c r="A1392" t="s">
        <v>1417</v>
      </c>
      <c r="B1392" t="s">
        <v>22</v>
      </c>
      <c r="C1392">
        <v>52</v>
      </c>
      <c r="D1392" t="s">
        <v>20</v>
      </c>
      <c r="E1392">
        <v>36</v>
      </c>
      <c r="F1392" t="str">
        <f t="shared" si="21"/>
        <v>25-48 Months</v>
      </c>
      <c r="G1392" t="s">
        <v>35</v>
      </c>
      <c r="H1392" t="s">
        <v>18</v>
      </c>
      <c r="I1392" t="s">
        <v>27</v>
      </c>
      <c r="J1392" t="s">
        <v>20</v>
      </c>
      <c r="K1392" t="s">
        <v>20</v>
      </c>
      <c r="L1392">
        <v>7</v>
      </c>
      <c r="M1392" s="7">
        <v>83.12</v>
      </c>
      <c r="N1392" s="7">
        <v>2757.31</v>
      </c>
      <c r="O1392" t="s">
        <v>20</v>
      </c>
    </row>
    <row r="1393" spans="1:15" x14ac:dyDescent="0.3">
      <c r="A1393" t="s">
        <v>1418</v>
      </c>
      <c r="B1393" t="s">
        <v>22</v>
      </c>
      <c r="C1393">
        <v>58</v>
      </c>
      <c r="D1393" t="s">
        <v>20</v>
      </c>
      <c r="E1393">
        <v>8</v>
      </c>
      <c r="F1393" t="str">
        <f t="shared" si="21"/>
        <v>7-12 Months</v>
      </c>
      <c r="G1393" t="s">
        <v>17</v>
      </c>
      <c r="H1393" t="s">
        <v>18</v>
      </c>
      <c r="I1393" t="s">
        <v>30</v>
      </c>
      <c r="J1393" t="s">
        <v>20</v>
      </c>
      <c r="K1393" t="s">
        <v>20</v>
      </c>
      <c r="L1393">
        <v>4</v>
      </c>
      <c r="M1393" s="7">
        <v>86.7</v>
      </c>
      <c r="N1393" s="7">
        <v>724.12</v>
      </c>
      <c r="O1393" t="s">
        <v>16</v>
      </c>
    </row>
    <row r="1394" spans="1:15" x14ac:dyDescent="0.3">
      <c r="A1394" t="s">
        <v>1419</v>
      </c>
      <c r="B1394" t="s">
        <v>22</v>
      </c>
      <c r="C1394">
        <v>46</v>
      </c>
      <c r="D1394" t="s">
        <v>20</v>
      </c>
      <c r="E1394">
        <v>58</v>
      </c>
      <c r="F1394" t="str">
        <f t="shared" si="21"/>
        <v>49+ Months</v>
      </c>
      <c r="G1394" t="s">
        <v>17</v>
      </c>
      <c r="H1394" t="s">
        <v>20</v>
      </c>
      <c r="I1394" t="s">
        <v>19</v>
      </c>
      <c r="J1394" t="s">
        <v>20</v>
      </c>
      <c r="K1394" t="s">
        <v>16</v>
      </c>
      <c r="L1394">
        <v>1</v>
      </c>
      <c r="M1394" s="7">
        <v>38.97</v>
      </c>
      <c r="N1394" s="7">
        <v>2099.9499999999998</v>
      </c>
      <c r="O1394" t="s">
        <v>20</v>
      </c>
    </row>
    <row r="1395" spans="1:15" x14ac:dyDescent="0.3">
      <c r="A1395" t="s">
        <v>1420</v>
      </c>
      <c r="B1395" t="s">
        <v>22</v>
      </c>
      <c r="C1395">
        <v>69</v>
      </c>
      <c r="D1395" t="s">
        <v>16</v>
      </c>
      <c r="E1395">
        <v>45</v>
      </c>
      <c r="F1395" t="str">
        <f t="shared" si="21"/>
        <v>25-48 Months</v>
      </c>
      <c r="G1395" t="s">
        <v>17</v>
      </c>
      <c r="H1395" t="s">
        <v>20</v>
      </c>
      <c r="I1395" t="s">
        <v>27</v>
      </c>
      <c r="J1395" t="s">
        <v>20</v>
      </c>
      <c r="K1395" t="s">
        <v>20</v>
      </c>
      <c r="L1395">
        <v>2</v>
      </c>
      <c r="M1395" s="7">
        <v>27.47</v>
      </c>
      <c r="N1395" s="7">
        <v>1243.79</v>
      </c>
      <c r="O1395" t="s">
        <v>20</v>
      </c>
    </row>
    <row r="1396" spans="1:15" x14ac:dyDescent="0.3">
      <c r="A1396" t="s">
        <v>1421</v>
      </c>
      <c r="B1396" t="s">
        <v>15</v>
      </c>
      <c r="C1396">
        <v>46</v>
      </c>
      <c r="D1396" t="s">
        <v>20</v>
      </c>
      <c r="E1396">
        <v>62</v>
      </c>
      <c r="F1396" t="str">
        <f t="shared" si="21"/>
        <v>49+ Months</v>
      </c>
      <c r="G1396" t="s">
        <v>23</v>
      </c>
      <c r="H1396" t="s">
        <v>20</v>
      </c>
      <c r="I1396" t="s">
        <v>24</v>
      </c>
      <c r="J1396" t="s">
        <v>20</v>
      </c>
      <c r="K1396" t="s">
        <v>16</v>
      </c>
      <c r="L1396">
        <v>3</v>
      </c>
      <c r="M1396" s="7">
        <v>56.34</v>
      </c>
      <c r="N1396" s="7">
        <v>3418.91</v>
      </c>
      <c r="O1396" t="s">
        <v>20</v>
      </c>
    </row>
    <row r="1397" spans="1:15" x14ac:dyDescent="0.3">
      <c r="A1397" t="s">
        <v>1422</v>
      </c>
      <c r="B1397" t="s">
        <v>22</v>
      </c>
      <c r="C1397">
        <v>55</v>
      </c>
      <c r="D1397" t="s">
        <v>20</v>
      </c>
      <c r="E1397">
        <v>39</v>
      </c>
      <c r="F1397" t="str">
        <f t="shared" si="21"/>
        <v>25-48 Months</v>
      </c>
      <c r="G1397" t="s">
        <v>35</v>
      </c>
      <c r="H1397" t="s">
        <v>36</v>
      </c>
      <c r="I1397" t="s">
        <v>24</v>
      </c>
      <c r="J1397" t="s">
        <v>16</v>
      </c>
      <c r="K1397" t="s">
        <v>16</v>
      </c>
      <c r="L1397">
        <v>5</v>
      </c>
      <c r="M1397" s="7">
        <v>56.46</v>
      </c>
      <c r="N1397" s="7">
        <v>2077.54</v>
      </c>
      <c r="O1397" t="s">
        <v>20</v>
      </c>
    </row>
    <row r="1398" spans="1:15" x14ac:dyDescent="0.3">
      <c r="A1398" t="s">
        <v>1423</v>
      </c>
      <c r="B1398" t="s">
        <v>15</v>
      </c>
      <c r="C1398">
        <v>59</v>
      </c>
      <c r="D1398" t="s">
        <v>20</v>
      </c>
      <c r="E1398">
        <v>58</v>
      </c>
      <c r="F1398" t="str">
        <f t="shared" si="21"/>
        <v>49+ Months</v>
      </c>
      <c r="G1398" t="s">
        <v>17</v>
      </c>
      <c r="H1398" t="s">
        <v>18</v>
      </c>
      <c r="I1398" t="s">
        <v>27</v>
      </c>
      <c r="J1398" t="s">
        <v>20</v>
      </c>
      <c r="K1398" t="s">
        <v>20</v>
      </c>
      <c r="L1398">
        <v>6</v>
      </c>
      <c r="M1398" s="7">
        <v>84.04</v>
      </c>
      <c r="N1398" s="7">
        <v>5061.96</v>
      </c>
      <c r="O1398" t="s">
        <v>20</v>
      </c>
    </row>
    <row r="1399" spans="1:15" x14ac:dyDescent="0.3">
      <c r="A1399" t="s">
        <v>1424</v>
      </c>
      <c r="B1399" t="s">
        <v>15</v>
      </c>
      <c r="C1399">
        <v>38</v>
      </c>
      <c r="D1399" t="s">
        <v>20</v>
      </c>
      <c r="E1399">
        <v>64</v>
      </c>
      <c r="F1399" t="str">
        <f t="shared" si="21"/>
        <v>49+ Months</v>
      </c>
      <c r="G1399" t="s">
        <v>17</v>
      </c>
      <c r="H1399" t="s">
        <v>20</v>
      </c>
      <c r="I1399" t="s">
        <v>19</v>
      </c>
      <c r="J1399" t="s">
        <v>20</v>
      </c>
      <c r="K1399" t="s">
        <v>16</v>
      </c>
      <c r="L1399">
        <v>1</v>
      </c>
      <c r="M1399" s="7">
        <v>32.450000000000003</v>
      </c>
      <c r="N1399" s="7">
        <v>1928.93</v>
      </c>
      <c r="O1399" t="s">
        <v>20</v>
      </c>
    </row>
    <row r="1400" spans="1:15" x14ac:dyDescent="0.3">
      <c r="A1400" t="s">
        <v>1425</v>
      </c>
      <c r="B1400" t="s">
        <v>22</v>
      </c>
      <c r="C1400">
        <v>59</v>
      </c>
      <c r="D1400" t="s">
        <v>20</v>
      </c>
      <c r="E1400">
        <v>44</v>
      </c>
      <c r="F1400" t="str">
        <f t="shared" si="21"/>
        <v>25-48 Months</v>
      </c>
      <c r="G1400" t="s">
        <v>17</v>
      </c>
      <c r="H1400" t="s">
        <v>18</v>
      </c>
      <c r="I1400" t="s">
        <v>24</v>
      </c>
      <c r="J1400" t="s">
        <v>20</v>
      </c>
      <c r="K1400" t="s">
        <v>16</v>
      </c>
      <c r="L1400">
        <v>6</v>
      </c>
      <c r="M1400" s="7">
        <v>91.11</v>
      </c>
      <c r="N1400" s="7">
        <v>3892.36</v>
      </c>
      <c r="O1400" t="s">
        <v>20</v>
      </c>
    </row>
    <row r="1401" spans="1:15" x14ac:dyDescent="0.3">
      <c r="A1401" t="s">
        <v>1426</v>
      </c>
      <c r="B1401" t="s">
        <v>15</v>
      </c>
      <c r="C1401">
        <v>30</v>
      </c>
      <c r="D1401" t="s">
        <v>20</v>
      </c>
      <c r="E1401">
        <v>29</v>
      </c>
      <c r="F1401" t="str">
        <f t="shared" si="21"/>
        <v>25-48 Months</v>
      </c>
      <c r="G1401" t="s">
        <v>35</v>
      </c>
      <c r="H1401" t="s">
        <v>18</v>
      </c>
      <c r="I1401" t="s">
        <v>24</v>
      </c>
      <c r="J1401" t="s">
        <v>16</v>
      </c>
      <c r="K1401" t="s">
        <v>16</v>
      </c>
      <c r="L1401">
        <v>5</v>
      </c>
      <c r="M1401" s="7">
        <v>80.77</v>
      </c>
      <c r="N1401" s="7">
        <v>2365.64</v>
      </c>
      <c r="O1401" t="s">
        <v>20</v>
      </c>
    </row>
    <row r="1402" spans="1:15" x14ac:dyDescent="0.3">
      <c r="A1402" t="s">
        <v>1427</v>
      </c>
      <c r="B1402" t="s">
        <v>15</v>
      </c>
      <c r="C1402">
        <v>66</v>
      </c>
      <c r="D1402" t="s">
        <v>16</v>
      </c>
      <c r="E1402">
        <v>59</v>
      </c>
      <c r="F1402" t="str">
        <f t="shared" si="21"/>
        <v>49+ Months</v>
      </c>
      <c r="G1402" t="s">
        <v>17</v>
      </c>
      <c r="H1402" t="s">
        <v>36</v>
      </c>
      <c r="I1402" t="s">
        <v>27</v>
      </c>
      <c r="J1402" t="s">
        <v>20</v>
      </c>
      <c r="K1402" t="s">
        <v>16</v>
      </c>
      <c r="L1402">
        <v>5</v>
      </c>
      <c r="M1402" s="7">
        <v>70.66</v>
      </c>
      <c r="N1402" s="7">
        <v>4103.8500000000004</v>
      </c>
      <c r="O1402" t="s">
        <v>20</v>
      </c>
    </row>
    <row r="1403" spans="1:15" x14ac:dyDescent="0.3">
      <c r="A1403" t="s">
        <v>1428</v>
      </c>
      <c r="B1403" t="s">
        <v>15</v>
      </c>
      <c r="C1403">
        <v>58</v>
      </c>
      <c r="D1403" t="s">
        <v>20</v>
      </c>
      <c r="E1403">
        <v>71</v>
      </c>
      <c r="F1403" t="str">
        <f t="shared" si="21"/>
        <v>49+ Months</v>
      </c>
      <c r="G1403" t="s">
        <v>17</v>
      </c>
      <c r="H1403" t="s">
        <v>18</v>
      </c>
      <c r="I1403" t="s">
        <v>27</v>
      </c>
      <c r="J1403" t="s">
        <v>16</v>
      </c>
      <c r="K1403" t="s">
        <v>20</v>
      </c>
      <c r="L1403">
        <v>5</v>
      </c>
      <c r="M1403" s="7">
        <v>91.39</v>
      </c>
      <c r="N1403" s="7">
        <v>6238.64</v>
      </c>
      <c r="O1403" t="s">
        <v>20</v>
      </c>
    </row>
    <row r="1404" spans="1:15" x14ac:dyDescent="0.3">
      <c r="A1404" t="s">
        <v>1429</v>
      </c>
      <c r="B1404" t="s">
        <v>15</v>
      </c>
      <c r="C1404">
        <v>34</v>
      </c>
      <c r="D1404" t="s">
        <v>20</v>
      </c>
      <c r="E1404">
        <v>9</v>
      </c>
      <c r="F1404" t="str">
        <f t="shared" si="21"/>
        <v>7-12 Months</v>
      </c>
      <c r="G1404" t="s">
        <v>17</v>
      </c>
      <c r="H1404" t="s">
        <v>18</v>
      </c>
      <c r="I1404" t="s">
        <v>30</v>
      </c>
      <c r="J1404" t="s">
        <v>20</v>
      </c>
      <c r="K1404" t="s">
        <v>16</v>
      </c>
      <c r="L1404">
        <v>5</v>
      </c>
      <c r="M1404" s="7">
        <v>82.95</v>
      </c>
      <c r="N1404" s="7">
        <v>797.43</v>
      </c>
      <c r="O1404" t="s">
        <v>20</v>
      </c>
    </row>
    <row r="1405" spans="1:15" x14ac:dyDescent="0.3">
      <c r="A1405" t="s">
        <v>1430</v>
      </c>
      <c r="B1405" t="s">
        <v>22</v>
      </c>
      <c r="C1405">
        <v>73</v>
      </c>
      <c r="D1405" t="s">
        <v>16</v>
      </c>
      <c r="E1405">
        <v>6</v>
      </c>
      <c r="F1405" t="str">
        <f t="shared" si="21"/>
        <v>0-6 Months</v>
      </c>
      <c r="G1405" t="s">
        <v>35</v>
      </c>
      <c r="H1405" t="s">
        <v>18</v>
      </c>
      <c r="I1405" t="s">
        <v>27</v>
      </c>
      <c r="J1405" t="s">
        <v>20</v>
      </c>
      <c r="K1405" t="s">
        <v>20</v>
      </c>
      <c r="L1405">
        <v>5</v>
      </c>
      <c r="M1405" s="7">
        <v>81.95</v>
      </c>
      <c r="N1405" s="7">
        <v>525.61</v>
      </c>
      <c r="O1405" t="s">
        <v>20</v>
      </c>
    </row>
    <row r="1406" spans="1:15" x14ac:dyDescent="0.3">
      <c r="A1406" t="s">
        <v>1431</v>
      </c>
      <c r="B1406" t="s">
        <v>22</v>
      </c>
      <c r="C1406">
        <v>26</v>
      </c>
      <c r="D1406" t="s">
        <v>20</v>
      </c>
      <c r="E1406">
        <v>29</v>
      </c>
      <c r="F1406" t="str">
        <f t="shared" si="21"/>
        <v>25-48 Months</v>
      </c>
      <c r="G1406" t="s">
        <v>23</v>
      </c>
      <c r="H1406" t="s">
        <v>18</v>
      </c>
      <c r="I1406" t="s">
        <v>24</v>
      </c>
      <c r="J1406" t="s">
        <v>20</v>
      </c>
      <c r="K1406" t="s">
        <v>20</v>
      </c>
      <c r="L1406">
        <v>6</v>
      </c>
      <c r="M1406" s="7">
        <v>82.73</v>
      </c>
      <c r="N1406" s="7">
        <v>2366.96</v>
      </c>
      <c r="O1406" t="s">
        <v>20</v>
      </c>
    </row>
    <row r="1407" spans="1:15" x14ac:dyDescent="0.3">
      <c r="A1407" t="s">
        <v>1432</v>
      </c>
      <c r="B1407" t="s">
        <v>22</v>
      </c>
      <c r="C1407">
        <v>58</v>
      </c>
      <c r="D1407" t="s">
        <v>20</v>
      </c>
      <c r="E1407">
        <v>58</v>
      </c>
      <c r="F1407" t="str">
        <f t="shared" si="21"/>
        <v>49+ Months</v>
      </c>
      <c r="G1407" t="s">
        <v>23</v>
      </c>
      <c r="H1407" t="s">
        <v>20</v>
      </c>
      <c r="I1407" t="s">
        <v>24</v>
      </c>
      <c r="J1407" t="s">
        <v>20</v>
      </c>
      <c r="K1407" t="s">
        <v>20</v>
      </c>
      <c r="L1407">
        <v>4</v>
      </c>
      <c r="M1407" s="7">
        <v>33.72</v>
      </c>
      <c r="N1407" s="7">
        <v>1922.51</v>
      </c>
      <c r="O1407" t="s">
        <v>20</v>
      </c>
    </row>
    <row r="1408" spans="1:15" x14ac:dyDescent="0.3">
      <c r="A1408" t="s">
        <v>1433</v>
      </c>
      <c r="B1408" t="s">
        <v>22</v>
      </c>
      <c r="C1408">
        <v>18</v>
      </c>
      <c r="D1408" t="s">
        <v>20</v>
      </c>
      <c r="E1408">
        <v>17</v>
      </c>
      <c r="F1408" t="str">
        <f t="shared" si="21"/>
        <v>13-24 Months</v>
      </c>
      <c r="G1408" t="s">
        <v>17</v>
      </c>
      <c r="H1408" t="s">
        <v>18</v>
      </c>
      <c r="I1408" t="s">
        <v>30</v>
      </c>
      <c r="J1408" t="s">
        <v>20</v>
      </c>
      <c r="K1408" t="s">
        <v>20</v>
      </c>
      <c r="L1408">
        <v>3</v>
      </c>
      <c r="M1408" s="7">
        <v>69.400000000000006</v>
      </c>
      <c r="N1408" s="7">
        <v>1143.44</v>
      </c>
      <c r="O1408" t="s">
        <v>16</v>
      </c>
    </row>
    <row r="1409" spans="1:15" x14ac:dyDescent="0.3">
      <c r="A1409" t="s">
        <v>1434</v>
      </c>
      <c r="B1409" t="s">
        <v>15</v>
      </c>
      <c r="C1409">
        <v>19</v>
      </c>
      <c r="D1409" t="s">
        <v>20</v>
      </c>
      <c r="E1409">
        <v>16</v>
      </c>
      <c r="F1409" t="str">
        <f t="shared" si="21"/>
        <v>13-24 Months</v>
      </c>
      <c r="G1409" t="s">
        <v>17</v>
      </c>
      <c r="H1409" t="s">
        <v>18</v>
      </c>
      <c r="I1409" t="s">
        <v>30</v>
      </c>
      <c r="J1409" t="s">
        <v>20</v>
      </c>
      <c r="K1409" t="s">
        <v>20</v>
      </c>
      <c r="L1409">
        <v>7</v>
      </c>
      <c r="M1409" s="7">
        <v>94.81</v>
      </c>
      <c r="N1409" s="7">
        <v>1603.31</v>
      </c>
      <c r="O1409" t="s">
        <v>20</v>
      </c>
    </row>
    <row r="1410" spans="1:15" x14ac:dyDescent="0.3">
      <c r="A1410" t="s">
        <v>1435</v>
      </c>
      <c r="B1410" t="s">
        <v>15</v>
      </c>
      <c r="C1410">
        <v>65</v>
      </c>
      <c r="D1410" t="s">
        <v>16</v>
      </c>
      <c r="E1410">
        <v>3</v>
      </c>
      <c r="F1410" t="str">
        <f t="shared" ref="F1410:F1473" si="22">IF(E1410&lt;=6,"0-6 Months",
 IF(E1410&lt;=12,"7-12 Months",
 IF(E1410&lt;=24,"13-24 Months",
 IF(E1410&lt;=48,"25-48 Months","49+ Months"))))</f>
        <v>0-6 Months</v>
      </c>
      <c r="G1410" t="s">
        <v>23</v>
      </c>
      <c r="H1410" t="s">
        <v>18</v>
      </c>
      <c r="I1410" t="s">
        <v>24</v>
      </c>
      <c r="J1410" t="s">
        <v>20</v>
      </c>
      <c r="K1410" t="s">
        <v>16</v>
      </c>
      <c r="L1410">
        <v>5</v>
      </c>
      <c r="M1410" s="7">
        <v>83</v>
      </c>
      <c r="N1410" s="7">
        <v>251.71</v>
      </c>
      <c r="O1410" t="s">
        <v>20</v>
      </c>
    </row>
    <row r="1411" spans="1:15" x14ac:dyDescent="0.3">
      <c r="A1411" t="s">
        <v>1436</v>
      </c>
      <c r="B1411" t="s">
        <v>22</v>
      </c>
      <c r="C1411">
        <v>46</v>
      </c>
      <c r="D1411" t="s">
        <v>20</v>
      </c>
      <c r="E1411">
        <v>21</v>
      </c>
      <c r="F1411" t="str">
        <f t="shared" si="22"/>
        <v>13-24 Months</v>
      </c>
      <c r="G1411" t="s">
        <v>35</v>
      </c>
      <c r="H1411" t="s">
        <v>18</v>
      </c>
      <c r="I1411" t="s">
        <v>24</v>
      </c>
      <c r="J1411" t="s">
        <v>16</v>
      </c>
      <c r="K1411" t="s">
        <v>20</v>
      </c>
      <c r="L1411">
        <v>1</v>
      </c>
      <c r="M1411" s="7">
        <v>65.290000000000006</v>
      </c>
      <c r="N1411" s="7">
        <v>1281.04</v>
      </c>
      <c r="O1411" t="s">
        <v>20</v>
      </c>
    </row>
    <row r="1412" spans="1:15" x14ac:dyDescent="0.3">
      <c r="A1412" t="s">
        <v>1437</v>
      </c>
      <c r="B1412" t="s">
        <v>22</v>
      </c>
      <c r="C1412">
        <v>50</v>
      </c>
      <c r="D1412" t="s">
        <v>20</v>
      </c>
      <c r="E1412">
        <v>64</v>
      </c>
      <c r="F1412" t="str">
        <f t="shared" si="22"/>
        <v>49+ Months</v>
      </c>
      <c r="G1412" t="s">
        <v>17</v>
      </c>
      <c r="H1412" t="s">
        <v>18</v>
      </c>
      <c r="I1412" t="s">
        <v>27</v>
      </c>
      <c r="J1412" t="s">
        <v>20</v>
      </c>
      <c r="K1412" t="s">
        <v>20</v>
      </c>
      <c r="L1412">
        <v>5</v>
      </c>
      <c r="M1412" s="7">
        <v>79</v>
      </c>
      <c r="N1412" s="7">
        <v>5341.82</v>
      </c>
      <c r="O1412" t="s">
        <v>20</v>
      </c>
    </row>
    <row r="1413" spans="1:15" x14ac:dyDescent="0.3">
      <c r="A1413" t="s">
        <v>1438</v>
      </c>
      <c r="B1413" t="s">
        <v>22</v>
      </c>
      <c r="C1413">
        <v>27</v>
      </c>
      <c r="D1413" t="s">
        <v>20</v>
      </c>
      <c r="E1413">
        <v>36</v>
      </c>
      <c r="F1413" t="str">
        <f t="shared" si="22"/>
        <v>25-48 Months</v>
      </c>
      <c r="G1413" t="s">
        <v>17</v>
      </c>
      <c r="H1413" t="s">
        <v>36</v>
      </c>
      <c r="I1413" t="s">
        <v>27</v>
      </c>
      <c r="J1413" t="s">
        <v>20</v>
      </c>
      <c r="K1413" t="s">
        <v>20</v>
      </c>
      <c r="L1413">
        <v>6</v>
      </c>
      <c r="M1413" s="7">
        <v>63.15</v>
      </c>
      <c r="N1413" s="7">
        <v>2286.09</v>
      </c>
      <c r="O1413" t="s">
        <v>20</v>
      </c>
    </row>
    <row r="1414" spans="1:15" x14ac:dyDescent="0.3">
      <c r="A1414" t="s">
        <v>1439</v>
      </c>
      <c r="B1414" t="s">
        <v>15</v>
      </c>
      <c r="C1414">
        <v>67</v>
      </c>
      <c r="D1414" t="s">
        <v>16</v>
      </c>
      <c r="E1414">
        <v>62</v>
      </c>
      <c r="F1414" t="str">
        <f t="shared" si="22"/>
        <v>49+ Months</v>
      </c>
      <c r="G1414" t="s">
        <v>17</v>
      </c>
      <c r="H1414" t="s">
        <v>18</v>
      </c>
      <c r="I1414" t="s">
        <v>30</v>
      </c>
      <c r="J1414" t="s">
        <v>16</v>
      </c>
      <c r="K1414" t="s">
        <v>20</v>
      </c>
      <c r="L1414">
        <v>1</v>
      </c>
      <c r="M1414" s="7">
        <v>66.680000000000007</v>
      </c>
      <c r="N1414" s="7">
        <v>4078.33</v>
      </c>
      <c r="O1414" t="s">
        <v>20</v>
      </c>
    </row>
    <row r="1415" spans="1:15" x14ac:dyDescent="0.3">
      <c r="A1415" t="s">
        <v>1440</v>
      </c>
      <c r="B1415" t="s">
        <v>22</v>
      </c>
      <c r="C1415">
        <v>75</v>
      </c>
      <c r="D1415" t="s">
        <v>16</v>
      </c>
      <c r="E1415">
        <v>42</v>
      </c>
      <c r="F1415" t="str">
        <f t="shared" si="22"/>
        <v>25-48 Months</v>
      </c>
      <c r="G1415" t="s">
        <v>17</v>
      </c>
      <c r="H1415" t="s">
        <v>36</v>
      </c>
      <c r="I1415" t="s">
        <v>24</v>
      </c>
      <c r="J1415" t="s">
        <v>16</v>
      </c>
      <c r="K1415" t="s">
        <v>16</v>
      </c>
      <c r="L1415">
        <v>4</v>
      </c>
      <c r="M1415" s="7">
        <v>58.13</v>
      </c>
      <c r="N1415" s="7">
        <v>2378.12</v>
      </c>
      <c r="O1415" t="s">
        <v>20</v>
      </c>
    </row>
    <row r="1416" spans="1:15" x14ac:dyDescent="0.3">
      <c r="A1416" t="s">
        <v>1441</v>
      </c>
      <c r="B1416" t="s">
        <v>22</v>
      </c>
      <c r="C1416">
        <v>57</v>
      </c>
      <c r="D1416" t="s">
        <v>20</v>
      </c>
      <c r="E1416">
        <v>42</v>
      </c>
      <c r="F1416" t="str">
        <f t="shared" si="22"/>
        <v>25-48 Months</v>
      </c>
      <c r="G1416" t="s">
        <v>35</v>
      </c>
      <c r="H1416" t="s">
        <v>20</v>
      </c>
      <c r="I1416" t="s">
        <v>27</v>
      </c>
      <c r="J1416" t="s">
        <v>20</v>
      </c>
      <c r="K1416" t="s">
        <v>20</v>
      </c>
      <c r="L1416">
        <v>2</v>
      </c>
      <c r="M1416" s="7">
        <v>32.99</v>
      </c>
      <c r="N1416" s="7">
        <v>1296.78</v>
      </c>
      <c r="O1416" t="s">
        <v>20</v>
      </c>
    </row>
    <row r="1417" spans="1:15" x14ac:dyDescent="0.3">
      <c r="A1417" t="s">
        <v>1442</v>
      </c>
      <c r="B1417" t="s">
        <v>22</v>
      </c>
      <c r="C1417">
        <v>38</v>
      </c>
      <c r="D1417" t="s">
        <v>20</v>
      </c>
      <c r="E1417">
        <v>61</v>
      </c>
      <c r="F1417" t="str">
        <f t="shared" si="22"/>
        <v>49+ Months</v>
      </c>
      <c r="G1417" t="s">
        <v>17</v>
      </c>
      <c r="H1417" t="s">
        <v>36</v>
      </c>
      <c r="I1417" t="s">
        <v>27</v>
      </c>
      <c r="J1417" t="s">
        <v>16</v>
      </c>
      <c r="K1417" t="s">
        <v>16</v>
      </c>
      <c r="L1417">
        <v>2</v>
      </c>
      <c r="M1417" s="7">
        <v>47.89</v>
      </c>
      <c r="N1417" s="7">
        <v>3134.76</v>
      </c>
      <c r="O1417" t="s">
        <v>20</v>
      </c>
    </row>
    <row r="1418" spans="1:15" x14ac:dyDescent="0.3">
      <c r="A1418" t="s">
        <v>1443</v>
      </c>
      <c r="B1418" t="s">
        <v>15</v>
      </c>
      <c r="C1418">
        <v>45</v>
      </c>
      <c r="D1418" t="s">
        <v>20</v>
      </c>
      <c r="E1418">
        <v>13</v>
      </c>
      <c r="F1418" t="str">
        <f t="shared" si="22"/>
        <v>13-24 Months</v>
      </c>
      <c r="G1418" t="s">
        <v>17</v>
      </c>
      <c r="H1418" t="s">
        <v>18</v>
      </c>
      <c r="I1418" t="s">
        <v>19</v>
      </c>
      <c r="J1418" t="s">
        <v>16</v>
      </c>
      <c r="K1418" t="s">
        <v>20</v>
      </c>
      <c r="L1418">
        <v>2</v>
      </c>
      <c r="M1418" s="7">
        <v>66.3</v>
      </c>
      <c r="N1418" s="7">
        <v>895.17</v>
      </c>
      <c r="O1418" t="s">
        <v>20</v>
      </c>
    </row>
    <row r="1419" spans="1:15" x14ac:dyDescent="0.3">
      <c r="A1419" t="s">
        <v>1444</v>
      </c>
      <c r="B1419" t="s">
        <v>15</v>
      </c>
      <c r="C1419">
        <v>28</v>
      </c>
      <c r="D1419" t="s">
        <v>20</v>
      </c>
      <c r="E1419">
        <v>11</v>
      </c>
      <c r="F1419" t="str">
        <f t="shared" si="22"/>
        <v>7-12 Months</v>
      </c>
      <c r="G1419" t="s">
        <v>17</v>
      </c>
      <c r="H1419" t="s">
        <v>18</v>
      </c>
      <c r="I1419" t="s">
        <v>27</v>
      </c>
      <c r="J1419" t="s">
        <v>20</v>
      </c>
      <c r="K1419" t="s">
        <v>20</v>
      </c>
      <c r="L1419">
        <v>5</v>
      </c>
      <c r="M1419" s="7">
        <v>83.06</v>
      </c>
      <c r="N1419" s="7">
        <v>859.83</v>
      </c>
      <c r="O1419" t="s">
        <v>16</v>
      </c>
    </row>
    <row r="1420" spans="1:15" x14ac:dyDescent="0.3">
      <c r="A1420" t="s">
        <v>1445</v>
      </c>
      <c r="B1420" t="s">
        <v>15</v>
      </c>
      <c r="C1420">
        <v>72</v>
      </c>
      <c r="D1420" t="s">
        <v>16</v>
      </c>
      <c r="E1420">
        <v>54</v>
      </c>
      <c r="F1420" t="str">
        <f t="shared" si="22"/>
        <v>49+ Months</v>
      </c>
      <c r="G1420" t="s">
        <v>17</v>
      </c>
      <c r="H1420" t="s">
        <v>20</v>
      </c>
      <c r="I1420" t="s">
        <v>27</v>
      </c>
      <c r="J1420" t="s">
        <v>20</v>
      </c>
      <c r="K1420" t="s">
        <v>20</v>
      </c>
      <c r="L1420">
        <v>1</v>
      </c>
      <c r="M1420" s="7">
        <v>33.549999999999997</v>
      </c>
      <c r="N1420" s="7">
        <v>1814.97</v>
      </c>
      <c r="O1420" t="s">
        <v>20</v>
      </c>
    </row>
    <row r="1421" spans="1:15" x14ac:dyDescent="0.3">
      <c r="A1421" t="s">
        <v>1446</v>
      </c>
      <c r="B1421" t="s">
        <v>15</v>
      </c>
      <c r="C1421">
        <v>51</v>
      </c>
      <c r="D1421" t="s">
        <v>20</v>
      </c>
      <c r="E1421">
        <v>16</v>
      </c>
      <c r="F1421" t="str">
        <f t="shared" si="22"/>
        <v>13-24 Months</v>
      </c>
      <c r="G1421" t="s">
        <v>17</v>
      </c>
      <c r="H1421" t="s">
        <v>36</v>
      </c>
      <c r="I1421" t="s">
        <v>27</v>
      </c>
      <c r="J1421" t="s">
        <v>20</v>
      </c>
      <c r="K1421" t="s">
        <v>20</v>
      </c>
      <c r="L1421">
        <v>6</v>
      </c>
      <c r="M1421" s="7">
        <v>63.44</v>
      </c>
      <c r="N1421" s="7">
        <v>1024.07</v>
      </c>
      <c r="O1421" t="s">
        <v>16</v>
      </c>
    </row>
    <row r="1422" spans="1:15" x14ac:dyDescent="0.3">
      <c r="A1422" t="s">
        <v>1447</v>
      </c>
      <c r="B1422" t="s">
        <v>15</v>
      </c>
      <c r="C1422">
        <v>25</v>
      </c>
      <c r="D1422" t="s">
        <v>20</v>
      </c>
      <c r="E1422">
        <v>8</v>
      </c>
      <c r="F1422" t="str">
        <f t="shared" si="22"/>
        <v>7-12 Months</v>
      </c>
      <c r="G1422" t="s">
        <v>17</v>
      </c>
      <c r="H1422" t="s">
        <v>20</v>
      </c>
      <c r="I1422" t="s">
        <v>27</v>
      </c>
      <c r="J1422" t="s">
        <v>16</v>
      </c>
      <c r="K1422" t="s">
        <v>20</v>
      </c>
      <c r="L1422">
        <v>4</v>
      </c>
      <c r="M1422" s="7">
        <v>24.29</v>
      </c>
      <c r="N1422" s="7">
        <v>183.99</v>
      </c>
      <c r="O1422" t="s">
        <v>16</v>
      </c>
    </row>
    <row r="1423" spans="1:15" x14ac:dyDescent="0.3">
      <c r="A1423" t="s">
        <v>1448</v>
      </c>
      <c r="B1423" t="s">
        <v>15</v>
      </c>
      <c r="C1423">
        <v>39</v>
      </c>
      <c r="D1423" t="s">
        <v>20</v>
      </c>
      <c r="E1423">
        <v>59</v>
      </c>
      <c r="F1423" t="str">
        <f t="shared" si="22"/>
        <v>49+ Months</v>
      </c>
      <c r="G1423" t="s">
        <v>17</v>
      </c>
      <c r="H1423" t="s">
        <v>20</v>
      </c>
      <c r="I1423" t="s">
        <v>30</v>
      </c>
      <c r="J1423" t="s">
        <v>16</v>
      </c>
      <c r="K1423" t="s">
        <v>20</v>
      </c>
      <c r="L1423">
        <v>2</v>
      </c>
      <c r="M1423" s="7">
        <v>23.43</v>
      </c>
      <c r="N1423" s="7">
        <v>1366.27</v>
      </c>
      <c r="O1423" t="s">
        <v>20</v>
      </c>
    </row>
    <row r="1424" spans="1:15" x14ac:dyDescent="0.3">
      <c r="A1424" t="s">
        <v>1449</v>
      </c>
      <c r="B1424" t="s">
        <v>15</v>
      </c>
      <c r="C1424">
        <v>25</v>
      </c>
      <c r="D1424" t="s">
        <v>20</v>
      </c>
      <c r="E1424">
        <v>57</v>
      </c>
      <c r="F1424" t="str">
        <f t="shared" si="22"/>
        <v>49+ Months</v>
      </c>
      <c r="G1424" t="s">
        <v>23</v>
      </c>
      <c r="H1424" t="s">
        <v>20</v>
      </c>
      <c r="I1424" t="s">
        <v>30</v>
      </c>
      <c r="J1424" t="s">
        <v>20</v>
      </c>
      <c r="K1424" t="s">
        <v>16</v>
      </c>
      <c r="L1424">
        <v>4</v>
      </c>
      <c r="M1424" s="7">
        <v>48.52</v>
      </c>
      <c r="N1424" s="7">
        <v>2830.13</v>
      </c>
      <c r="O1424" t="s">
        <v>20</v>
      </c>
    </row>
    <row r="1425" spans="1:15" x14ac:dyDescent="0.3">
      <c r="A1425" t="s">
        <v>1450</v>
      </c>
      <c r="B1425" t="s">
        <v>15</v>
      </c>
      <c r="C1425">
        <v>66</v>
      </c>
      <c r="D1425" t="s">
        <v>16</v>
      </c>
      <c r="E1425">
        <v>40</v>
      </c>
      <c r="F1425" t="str">
        <f t="shared" si="22"/>
        <v>25-48 Months</v>
      </c>
      <c r="G1425" t="s">
        <v>17</v>
      </c>
      <c r="H1425" t="s">
        <v>20</v>
      </c>
      <c r="I1425" t="s">
        <v>19</v>
      </c>
      <c r="J1425" t="s">
        <v>16</v>
      </c>
      <c r="K1425" t="s">
        <v>20</v>
      </c>
      <c r="L1425">
        <v>4</v>
      </c>
      <c r="M1425" s="7">
        <v>47.96</v>
      </c>
      <c r="N1425" s="7">
        <v>1852.1</v>
      </c>
      <c r="O1425" t="s">
        <v>20</v>
      </c>
    </row>
    <row r="1426" spans="1:15" x14ac:dyDescent="0.3">
      <c r="A1426" t="s">
        <v>1451</v>
      </c>
      <c r="B1426" t="s">
        <v>22</v>
      </c>
      <c r="C1426">
        <v>32</v>
      </c>
      <c r="D1426" t="s">
        <v>20</v>
      </c>
      <c r="E1426">
        <v>59</v>
      </c>
      <c r="F1426" t="str">
        <f t="shared" si="22"/>
        <v>49+ Months</v>
      </c>
      <c r="G1426" t="s">
        <v>17</v>
      </c>
      <c r="H1426" t="s">
        <v>36</v>
      </c>
      <c r="I1426" t="s">
        <v>30</v>
      </c>
      <c r="J1426" t="s">
        <v>20</v>
      </c>
      <c r="K1426" t="s">
        <v>20</v>
      </c>
      <c r="L1426">
        <v>6</v>
      </c>
      <c r="M1426" s="7">
        <v>71.53</v>
      </c>
      <c r="N1426" s="7">
        <v>4106.57</v>
      </c>
      <c r="O1426" t="s">
        <v>20</v>
      </c>
    </row>
    <row r="1427" spans="1:15" x14ac:dyDescent="0.3">
      <c r="A1427" t="s">
        <v>1452</v>
      </c>
      <c r="B1427" t="s">
        <v>22</v>
      </c>
      <c r="C1427">
        <v>34</v>
      </c>
      <c r="D1427" t="s">
        <v>20</v>
      </c>
      <c r="E1427">
        <v>2</v>
      </c>
      <c r="F1427" t="str">
        <f t="shared" si="22"/>
        <v>0-6 Months</v>
      </c>
      <c r="G1427" t="s">
        <v>35</v>
      </c>
      <c r="H1427" t="s">
        <v>18</v>
      </c>
      <c r="I1427" t="s">
        <v>27</v>
      </c>
      <c r="J1427" t="s">
        <v>16</v>
      </c>
      <c r="K1427" t="s">
        <v>20</v>
      </c>
      <c r="L1427">
        <v>6</v>
      </c>
      <c r="M1427" s="7">
        <v>90.59</v>
      </c>
      <c r="N1427" s="7">
        <v>170.22</v>
      </c>
      <c r="O1427" t="s">
        <v>16</v>
      </c>
    </row>
    <row r="1428" spans="1:15" x14ac:dyDescent="0.3">
      <c r="A1428" t="s">
        <v>1453</v>
      </c>
      <c r="B1428" t="s">
        <v>15</v>
      </c>
      <c r="C1428">
        <v>40</v>
      </c>
      <c r="D1428" t="s">
        <v>20</v>
      </c>
      <c r="E1428">
        <v>10</v>
      </c>
      <c r="F1428" t="str">
        <f t="shared" si="22"/>
        <v>7-12 Months</v>
      </c>
      <c r="G1428" t="s">
        <v>23</v>
      </c>
      <c r="H1428" t="s">
        <v>20</v>
      </c>
      <c r="I1428" t="s">
        <v>27</v>
      </c>
      <c r="J1428" t="s">
        <v>20</v>
      </c>
      <c r="K1428" t="s">
        <v>20</v>
      </c>
      <c r="L1428">
        <v>4</v>
      </c>
      <c r="M1428" s="7">
        <v>48.12</v>
      </c>
      <c r="N1428" s="7">
        <v>474.52</v>
      </c>
      <c r="O1428" t="s">
        <v>20</v>
      </c>
    </row>
    <row r="1429" spans="1:15" x14ac:dyDescent="0.3">
      <c r="A1429" t="s">
        <v>1454</v>
      </c>
      <c r="B1429" t="s">
        <v>15</v>
      </c>
      <c r="C1429">
        <v>41</v>
      </c>
      <c r="D1429" t="s">
        <v>20</v>
      </c>
      <c r="E1429">
        <v>44</v>
      </c>
      <c r="F1429" t="str">
        <f t="shared" si="22"/>
        <v>25-48 Months</v>
      </c>
      <c r="G1429" t="s">
        <v>23</v>
      </c>
      <c r="H1429" t="s">
        <v>36</v>
      </c>
      <c r="I1429" t="s">
        <v>19</v>
      </c>
      <c r="J1429" t="s">
        <v>20</v>
      </c>
      <c r="K1429" t="s">
        <v>20</v>
      </c>
      <c r="L1429">
        <v>5</v>
      </c>
      <c r="M1429" s="7">
        <v>60.6</v>
      </c>
      <c r="N1429" s="7">
        <v>2702.18</v>
      </c>
      <c r="O1429" t="s">
        <v>20</v>
      </c>
    </row>
    <row r="1430" spans="1:15" x14ac:dyDescent="0.3">
      <c r="A1430" t="s">
        <v>1455</v>
      </c>
      <c r="B1430" t="s">
        <v>22</v>
      </c>
      <c r="C1430">
        <v>62</v>
      </c>
      <c r="D1430" t="s">
        <v>16</v>
      </c>
      <c r="E1430">
        <v>11</v>
      </c>
      <c r="F1430" t="str">
        <f t="shared" si="22"/>
        <v>7-12 Months</v>
      </c>
      <c r="G1430" t="s">
        <v>17</v>
      </c>
      <c r="H1430" t="s">
        <v>18</v>
      </c>
      <c r="I1430" t="s">
        <v>30</v>
      </c>
      <c r="J1430" t="s">
        <v>16</v>
      </c>
      <c r="K1430" t="s">
        <v>20</v>
      </c>
      <c r="L1430">
        <v>3</v>
      </c>
      <c r="M1430" s="7">
        <v>75.97</v>
      </c>
      <c r="N1430" s="7">
        <v>784.4</v>
      </c>
      <c r="O1430" t="s">
        <v>16</v>
      </c>
    </row>
    <row r="1431" spans="1:15" x14ac:dyDescent="0.3">
      <c r="A1431" t="s">
        <v>1456</v>
      </c>
      <c r="B1431" t="s">
        <v>15</v>
      </c>
      <c r="C1431">
        <v>36</v>
      </c>
      <c r="D1431" t="s">
        <v>20</v>
      </c>
      <c r="E1431">
        <v>2</v>
      </c>
      <c r="F1431" t="str">
        <f t="shared" si="22"/>
        <v>0-6 Months</v>
      </c>
      <c r="G1431" t="s">
        <v>17</v>
      </c>
      <c r="H1431" t="s">
        <v>36</v>
      </c>
      <c r="I1431" t="s">
        <v>19</v>
      </c>
      <c r="J1431" t="s">
        <v>20</v>
      </c>
      <c r="K1431" t="s">
        <v>16</v>
      </c>
      <c r="L1431">
        <v>4</v>
      </c>
      <c r="M1431" s="7">
        <v>53.6</v>
      </c>
      <c r="N1431" s="7">
        <v>109.17</v>
      </c>
      <c r="O1431" t="s">
        <v>20</v>
      </c>
    </row>
    <row r="1432" spans="1:15" x14ac:dyDescent="0.3">
      <c r="A1432" t="s">
        <v>1457</v>
      </c>
      <c r="B1432" t="s">
        <v>15</v>
      </c>
      <c r="C1432">
        <v>22</v>
      </c>
      <c r="D1432" t="s">
        <v>20</v>
      </c>
      <c r="E1432">
        <v>50</v>
      </c>
      <c r="F1432" t="str">
        <f t="shared" si="22"/>
        <v>49+ Months</v>
      </c>
      <c r="G1432" t="s">
        <v>17</v>
      </c>
      <c r="H1432" t="s">
        <v>36</v>
      </c>
      <c r="I1432" t="s">
        <v>30</v>
      </c>
      <c r="J1432" t="s">
        <v>16</v>
      </c>
      <c r="K1432" t="s">
        <v>20</v>
      </c>
      <c r="L1432">
        <v>3</v>
      </c>
      <c r="M1432" s="7">
        <v>53.77</v>
      </c>
      <c r="N1432" s="7">
        <v>2644.53</v>
      </c>
      <c r="O1432" t="s">
        <v>20</v>
      </c>
    </row>
    <row r="1433" spans="1:15" x14ac:dyDescent="0.3">
      <c r="A1433" t="s">
        <v>1458</v>
      </c>
      <c r="B1433" t="s">
        <v>15</v>
      </c>
      <c r="C1433">
        <v>49</v>
      </c>
      <c r="D1433" t="s">
        <v>20</v>
      </c>
      <c r="E1433">
        <v>12</v>
      </c>
      <c r="F1433" t="str">
        <f t="shared" si="22"/>
        <v>7-12 Months</v>
      </c>
      <c r="G1433" t="s">
        <v>17</v>
      </c>
      <c r="H1433" t="s">
        <v>20</v>
      </c>
      <c r="I1433" t="s">
        <v>30</v>
      </c>
      <c r="J1433" t="s">
        <v>20</v>
      </c>
      <c r="K1433" t="s">
        <v>20</v>
      </c>
      <c r="L1433">
        <v>3</v>
      </c>
      <c r="M1433" s="7">
        <v>50.27</v>
      </c>
      <c r="N1433" s="7">
        <v>620.44000000000005</v>
      </c>
      <c r="O1433" t="s">
        <v>20</v>
      </c>
    </row>
    <row r="1434" spans="1:15" x14ac:dyDescent="0.3">
      <c r="A1434" t="s">
        <v>1459</v>
      </c>
      <c r="B1434" t="s">
        <v>22</v>
      </c>
      <c r="C1434">
        <v>61</v>
      </c>
      <c r="D1434" t="s">
        <v>16</v>
      </c>
      <c r="E1434">
        <v>23</v>
      </c>
      <c r="F1434" t="str">
        <f t="shared" si="22"/>
        <v>13-24 Months</v>
      </c>
      <c r="G1434" t="s">
        <v>17</v>
      </c>
      <c r="H1434" t="s">
        <v>36</v>
      </c>
      <c r="I1434" t="s">
        <v>24</v>
      </c>
      <c r="J1434" t="s">
        <v>20</v>
      </c>
      <c r="K1434" t="s">
        <v>20</v>
      </c>
      <c r="L1434">
        <v>3</v>
      </c>
      <c r="M1434" s="7">
        <v>49.21</v>
      </c>
      <c r="N1434" s="7">
        <v>1098.3</v>
      </c>
      <c r="O1434" t="s">
        <v>20</v>
      </c>
    </row>
    <row r="1435" spans="1:15" x14ac:dyDescent="0.3">
      <c r="A1435" t="s">
        <v>1460</v>
      </c>
      <c r="B1435" t="s">
        <v>22</v>
      </c>
      <c r="C1435">
        <v>18</v>
      </c>
      <c r="D1435" t="s">
        <v>20</v>
      </c>
      <c r="E1435">
        <v>18</v>
      </c>
      <c r="F1435" t="str">
        <f t="shared" si="22"/>
        <v>13-24 Months</v>
      </c>
      <c r="G1435" t="s">
        <v>35</v>
      </c>
      <c r="H1435" t="s">
        <v>18</v>
      </c>
      <c r="I1435" t="s">
        <v>30</v>
      </c>
      <c r="J1435" t="s">
        <v>20</v>
      </c>
      <c r="K1435" t="s">
        <v>20</v>
      </c>
      <c r="L1435">
        <v>4</v>
      </c>
      <c r="M1435" s="7">
        <v>70.84</v>
      </c>
      <c r="N1435" s="7">
        <v>1289.0999999999999</v>
      </c>
      <c r="O1435" t="s">
        <v>16</v>
      </c>
    </row>
    <row r="1436" spans="1:15" x14ac:dyDescent="0.3">
      <c r="A1436" t="s">
        <v>1461</v>
      </c>
      <c r="B1436" t="s">
        <v>22</v>
      </c>
      <c r="C1436">
        <v>40</v>
      </c>
      <c r="D1436" t="s">
        <v>20</v>
      </c>
      <c r="E1436">
        <v>62</v>
      </c>
      <c r="F1436" t="str">
        <f t="shared" si="22"/>
        <v>49+ Months</v>
      </c>
      <c r="G1436" t="s">
        <v>17</v>
      </c>
      <c r="H1436" t="s">
        <v>20</v>
      </c>
      <c r="I1436" t="s">
        <v>24</v>
      </c>
      <c r="J1436" t="s">
        <v>20</v>
      </c>
      <c r="K1436" t="s">
        <v>16</v>
      </c>
      <c r="L1436">
        <v>4</v>
      </c>
      <c r="M1436" s="7">
        <v>39.64</v>
      </c>
      <c r="N1436" s="7">
        <v>2502.04</v>
      </c>
      <c r="O1436" t="s">
        <v>20</v>
      </c>
    </row>
    <row r="1437" spans="1:15" x14ac:dyDescent="0.3">
      <c r="A1437" t="s">
        <v>1462</v>
      </c>
      <c r="B1437" t="s">
        <v>22</v>
      </c>
      <c r="C1437">
        <v>54</v>
      </c>
      <c r="D1437" t="s">
        <v>20</v>
      </c>
      <c r="E1437">
        <v>62</v>
      </c>
      <c r="F1437" t="str">
        <f t="shared" si="22"/>
        <v>49+ Months</v>
      </c>
      <c r="G1437" t="s">
        <v>17</v>
      </c>
      <c r="H1437" t="s">
        <v>20</v>
      </c>
      <c r="I1437" t="s">
        <v>24</v>
      </c>
      <c r="J1437" t="s">
        <v>20</v>
      </c>
      <c r="K1437" t="s">
        <v>20</v>
      </c>
      <c r="L1437">
        <v>3</v>
      </c>
      <c r="M1437" s="7">
        <v>34.200000000000003</v>
      </c>
      <c r="N1437" s="7">
        <v>2185.0300000000002</v>
      </c>
      <c r="O1437" t="s">
        <v>20</v>
      </c>
    </row>
    <row r="1438" spans="1:15" x14ac:dyDescent="0.3">
      <c r="A1438" t="s">
        <v>1463</v>
      </c>
      <c r="B1438" t="s">
        <v>22</v>
      </c>
      <c r="C1438">
        <v>25</v>
      </c>
      <c r="D1438" t="s">
        <v>20</v>
      </c>
      <c r="E1438">
        <v>38</v>
      </c>
      <c r="F1438" t="str">
        <f t="shared" si="22"/>
        <v>25-48 Months</v>
      </c>
      <c r="G1438" t="s">
        <v>23</v>
      </c>
      <c r="H1438" t="s">
        <v>36</v>
      </c>
      <c r="I1438" t="s">
        <v>27</v>
      </c>
      <c r="J1438" t="s">
        <v>16</v>
      </c>
      <c r="K1438" t="s">
        <v>20</v>
      </c>
      <c r="L1438">
        <v>4</v>
      </c>
      <c r="M1438" s="7">
        <v>60.86</v>
      </c>
      <c r="N1438" s="7">
        <v>2407.75</v>
      </c>
      <c r="O1438" t="s">
        <v>20</v>
      </c>
    </row>
    <row r="1439" spans="1:15" x14ac:dyDescent="0.3">
      <c r="A1439" t="s">
        <v>1464</v>
      </c>
      <c r="B1439" t="s">
        <v>15</v>
      </c>
      <c r="C1439">
        <v>30</v>
      </c>
      <c r="D1439" t="s">
        <v>20</v>
      </c>
      <c r="E1439">
        <v>67</v>
      </c>
      <c r="F1439" t="str">
        <f t="shared" si="22"/>
        <v>49+ Months</v>
      </c>
      <c r="G1439" t="s">
        <v>17</v>
      </c>
      <c r="H1439" t="s">
        <v>18</v>
      </c>
      <c r="I1439" t="s">
        <v>24</v>
      </c>
      <c r="J1439" t="s">
        <v>16</v>
      </c>
      <c r="K1439" t="s">
        <v>20</v>
      </c>
      <c r="L1439">
        <v>3</v>
      </c>
      <c r="M1439" s="7">
        <v>80.55</v>
      </c>
      <c r="N1439" s="7">
        <v>5082.84</v>
      </c>
      <c r="O1439" t="s">
        <v>20</v>
      </c>
    </row>
    <row r="1440" spans="1:15" x14ac:dyDescent="0.3">
      <c r="A1440" t="s">
        <v>1465</v>
      </c>
      <c r="B1440" t="s">
        <v>22</v>
      </c>
      <c r="C1440">
        <v>25</v>
      </c>
      <c r="D1440" t="s">
        <v>20</v>
      </c>
      <c r="E1440">
        <v>38</v>
      </c>
      <c r="F1440" t="str">
        <f t="shared" si="22"/>
        <v>25-48 Months</v>
      </c>
      <c r="G1440" t="s">
        <v>23</v>
      </c>
      <c r="H1440" t="s">
        <v>18</v>
      </c>
      <c r="I1440" t="s">
        <v>19</v>
      </c>
      <c r="J1440" t="s">
        <v>20</v>
      </c>
      <c r="K1440" t="s">
        <v>20</v>
      </c>
      <c r="L1440">
        <v>5</v>
      </c>
      <c r="M1440" s="7">
        <v>80.38</v>
      </c>
      <c r="N1440" s="7">
        <v>3281.81</v>
      </c>
      <c r="O1440" t="s">
        <v>20</v>
      </c>
    </row>
    <row r="1441" spans="1:15" x14ac:dyDescent="0.3">
      <c r="A1441" t="s">
        <v>1466</v>
      </c>
      <c r="B1441" t="s">
        <v>15</v>
      </c>
      <c r="C1441">
        <v>74</v>
      </c>
      <c r="D1441" t="s">
        <v>16</v>
      </c>
      <c r="E1441">
        <v>67</v>
      </c>
      <c r="F1441" t="str">
        <f t="shared" si="22"/>
        <v>49+ Months</v>
      </c>
      <c r="G1441" t="s">
        <v>23</v>
      </c>
      <c r="H1441" t="s">
        <v>36</v>
      </c>
      <c r="I1441" t="s">
        <v>24</v>
      </c>
      <c r="J1441" t="s">
        <v>20</v>
      </c>
      <c r="K1441" t="s">
        <v>16</v>
      </c>
      <c r="L1441">
        <v>7</v>
      </c>
      <c r="M1441" s="7">
        <v>85.75</v>
      </c>
      <c r="N1441" s="7">
        <v>6061.14</v>
      </c>
      <c r="O1441" t="s">
        <v>20</v>
      </c>
    </row>
    <row r="1442" spans="1:15" x14ac:dyDescent="0.3">
      <c r="A1442" t="s">
        <v>1467</v>
      </c>
      <c r="B1442" t="s">
        <v>15</v>
      </c>
      <c r="C1442">
        <v>40</v>
      </c>
      <c r="D1442" t="s">
        <v>20</v>
      </c>
      <c r="E1442">
        <v>61</v>
      </c>
      <c r="F1442" t="str">
        <f t="shared" si="22"/>
        <v>49+ Months</v>
      </c>
      <c r="G1442" t="s">
        <v>23</v>
      </c>
      <c r="H1442" t="s">
        <v>18</v>
      </c>
      <c r="I1442" t="s">
        <v>24</v>
      </c>
      <c r="J1442" t="s">
        <v>16</v>
      </c>
      <c r="K1442" t="s">
        <v>16</v>
      </c>
      <c r="L1442">
        <v>4</v>
      </c>
      <c r="M1442" s="7">
        <v>87.61</v>
      </c>
      <c r="N1442" s="7">
        <v>5397.5</v>
      </c>
      <c r="O1442" t="s">
        <v>20</v>
      </c>
    </row>
    <row r="1443" spans="1:15" x14ac:dyDescent="0.3">
      <c r="A1443" t="s">
        <v>1468</v>
      </c>
      <c r="B1443" t="s">
        <v>22</v>
      </c>
      <c r="C1443">
        <v>60</v>
      </c>
      <c r="D1443" t="s">
        <v>16</v>
      </c>
      <c r="E1443">
        <v>1</v>
      </c>
      <c r="F1443" t="str">
        <f t="shared" si="22"/>
        <v>0-6 Months</v>
      </c>
      <c r="G1443" t="s">
        <v>35</v>
      </c>
      <c r="H1443" t="s">
        <v>18</v>
      </c>
      <c r="I1443" t="s">
        <v>27</v>
      </c>
      <c r="J1443" t="s">
        <v>16</v>
      </c>
      <c r="K1443" t="s">
        <v>20</v>
      </c>
      <c r="L1443">
        <v>6</v>
      </c>
      <c r="M1443" s="7">
        <v>81.66</v>
      </c>
      <c r="N1443" s="7">
        <v>86.76</v>
      </c>
      <c r="O1443" t="s">
        <v>20</v>
      </c>
    </row>
    <row r="1444" spans="1:15" x14ac:dyDescent="0.3">
      <c r="A1444" t="s">
        <v>1469</v>
      </c>
      <c r="B1444" t="s">
        <v>22</v>
      </c>
      <c r="C1444">
        <v>18</v>
      </c>
      <c r="D1444" t="s">
        <v>20</v>
      </c>
      <c r="E1444">
        <v>45</v>
      </c>
      <c r="F1444" t="str">
        <f t="shared" si="22"/>
        <v>25-48 Months</v>
      </c>
      <c r="G1444" t="s">
        <v>17</v>
      </c>
      <c r="H1444" t="s">
        <v>36</v>
      </c>
      <c r="I1444" t="s">
        <v>19</v>
      </c>
      <c r="J1444" t="s">
        <v>20</v>
      </c>
      <c r="K1444" t="s">
        <v>16</v>
      </c>
      <c r="L1444">
        <v>4</v>
      </c>
      <c r="M1444" s="7">
        <v>58.45</v>
      </c>
      <c r="N1444" s="7">
        <v>2580.77</v>
      </c>
      <c r="O1444" t="s">
        <v>20</v>
      </c>
    </row>
    <row r="1445" spans="1:15" x14ac:dyDescent="0.3">
      <c r="A1445" t="s">
        <v>1470</v>
      </c>
      <c r="B1445" t="s">
        <v>15</v>
      </c>
      <c r="C1445">
        <v>62</v>
      </c>
      <c r="D1445" t="s">
        <v>16</v>
      </c>
      <c r="E1445">
        <v>28</v>
      </c>
      <c r="F1445" t="str">
        <f t="shared" si="22"/>
        <v>25-48 Months</v>
      </c>
      <c r="G1445" t="s">
        <v>17</v>
      </c>
      <c r="H1445" t="s">
        <v>36</v>
      </c>
      <c r="I1445" t="s">
        <v>27</v>
      </c>
      <c r="J1445" t="s">
        <v>20</v>
      </c>
      <c r="K1445" t="s">
        <v>20</v>
      </c>
      <c r="L1445">
        <v>4</v>
      </c>
      <c r="M1445" s="7">
        <v>62.7</v>
      </c>
      <c r="N1445" s="7">
        <v>1624.78</v>
      </c>
      <c r="O1445" t="s">
        <v>16</v>
      </c>
    </row>
    <row r="1446" spans="1:15" x14ac:dyDescent="0.3">
      <c r="A1446" t="s">
        <v>1471</v>
      </c>
      <c r="B1446" t="s">
        <v>15</v>
      </c>
      <c r="C1446">
        <v>68</v>
      </c>
      <c r="D1446" t="s">
        <v>16</v>
      </c>
      <c r="E1446">
        <v>21</v>
      </c>
      <c r="F1446" t="str">
        <f t="shared" si="22"/>
        <v>13-24 Months</v>
      </c>
      <c r="G1446" t="s">
        <v>35</v>
      </c>
      <c r="H1446" t="s">
        <v>18</v>
      </c>
      <c r="I1446" t="s">
        <v>19</v>
      </c>
      <c r="J1446" t="s">
        <v>20</v>
      </c>
      <c r="K1446" t="s">
        <v>16</v>
      </c>
      <c r="L1446">
        <v>2</v>
      </c>
      <c r="M1446" s="7">
        <v>65.2</v>
      </c>
      <c r="N1446" s="7">
        <v>1418.94</v>
      </c>
      <c r="O1446" t="s">
        <v>20</v>
      </c>
    </row>
    <row r="1447" spans="1:15" x14ac:dyDescent="0.3">
      <c r="A1447" t="s">
        <v>1472</v>
      </c>
      <c r="B1447" t="s">
        <v>15</v>
      </c>
      <c r="C1447">
        <v>41</v>
      </c>
      <c r="D1447" t="s">
        <v>20</v>
      </c>
      <c r="E1447">
        <v>13</v>
      </c>
      <c r="F1447" t="str">
        <f t="shared" si="22"/>
        <v>13-24 Months</v>
      </c>
      <c r="G1447" t="s">
        <v>23</v>
      </c>
      <c r="H1447" t="s">
        <v>18</v>
      </c>
      <c r="I1447" t="s">
        <v>24</v>
      </c>
      <c r="J1447" t="s">
        <v>20</v>
      </c>
      <c r="K1447" t="s">
        <v>16</v>
      </c>
      <c r="L1447">
        <v>5</v>
      </c>
      <c r="M1447" s="7">
        <v>68.55</v>
      </c>
      <c r="N1447" s="7">
        <v>954.36</v>
      </c>
      <c r="O1447" t="s">
        <v>20</v>
      </c>
    </row>
    <row r="1448" spans="1:15" x14ac:dyDescent="0.3">
      <c r="A1448" t="s">
        <v>1473</v>
      </c>
      <c r="B1448" t="s">
        <v>22</v>
      </c>
      <c r="C1448">
        <v>52</v>
      </c>
      <c r="D1448" t="s">
        <v>20</v>
      </c>
      <c r="E1448">
        <v>27</v>
      </c>
      <c r="F1448" t="str">
        <f t="shared" si="22"/>
        <v>25-48 Months</v>
      </c>
      <c r="G1448" t="s">
        <v>17</v>
      </c>
      <c r="H1448" t="s">
        <v>18</v>
      </c>
      <c r="I1448" t="s">
        <v>19</v>
      </c>
      <c r="J1448" t="s">
        <v>20</v>
      </c>
      <c r="K1448" t="s">
        <v>20</v>
      </c>
      <c r="L1448">
        <v>3</v>
      </c>
      <c r="M1448" s="7">
        <v>88.51</v>
      </c>
      <c r="N1448" s="7">
        <v>2260.48</v>
      </c>
      <c r="O1448" t="s">
        <v>20</v>
      </c>
    </row>
    <row r="1449" spans="1:15" x14ac:dyDescent="0.3">
      <c r="A1449" t="s">
        <v>1474</v>
      </c>
      <c r="B1449" t="s">
        <v>22</v>
      </c>
      <c r="C1449">
        <v>41</v>
      </c>
      <c r="D1449" t="s">
        <v>20</v>
      </c>
      <c r="E1449">
        <v>7</v>
      </c>
      <c r="F1449" t="str">
        <f t="shared" si="22"/>
        <v>7-12 Months</v>
      </c>
      <c r="G1449" t="s">
        <v>35</v>
      </c>
      <c r="H1449" t="s">
        <v>36</v>
      </c>
      <c r="I1449" t="s">
        <v>30</v>
      </c>
      <c r="J1449" t="s">
        <v>16</v>
      </c>
      <c r="K1449" t="s">
        <v>20</v>
      </c>
      <c r="L1449">
        <v>4</v>
      </c>
      <c r="M1449" s="7">
        <v>51.25</v>
      </c>
      <c r="N1449" s="7">
        <v>367.01</v>
      </c>
      <c r="O1449" t="s">
        <v>20</v>
      </c>
    </row>
    <row r="1450" spans="1:15" x14ac:dyDescent="0.3">
      <c r="A1450" t="s">
        <v>1475</v>
      </c>
      <c r="B1450" t="s">
        <v>22</v>
      </c>
      <c r="C1450">
        <v>34</v>
      </c>
      <c r="D1450" t="s">
        <v>20</v>
      </c>
      <c r="E1450">
        <v>22</v>
      </c>
      <c r="F1450" t="str">
        <f t="shared" si="22"/>
        <v>13-24 Months</v>
      </c>
      <c r="G1450" t="s">
        <v>17</v>
      </c>
      <c r="H1450" t="s">
        <v>18</v>
      </c>
      <c r="I1450" t="s">
        <v>30</v>
      </c>
      <c r="J1450" t="s">
        <v>16</v>
      </c>
      <c r="K1450" t="s">
        <v>16</v>
      </c>
      <c r="L1450">
        <v>3</v>
      </c>
      <c r="M1450" s="7">
        <v>80.97</v>
      </c>
      <c r="N1450" s="7">
        <v>1870.67</v>
      </c>
      <c r="O1450" t="s">
        <v>16</v>
      </c>
    </row>
    <row r="1451" spans="1:15" x14ac:dyDescent="0.3">
      <c r="A1451" t="s">
        <v>1476</v>
      </c>
      <c r="B1451" t="s">
        <v>22</v>
      </c>
      <c r="C1451">
        <v>22</v>
      </c>
      <c r="D1451" t="s">
        <v>20</v>
      </c>
      <c r="E1451">
        <v>53</v>
      </c>
      <c r="F1451" t="str">
        <f t="shared" si="22"/>
        <v>49+ Months</v>
      </c>
      <c r="G1451" t="s">
        <v>35</v>
      </c>
      <c r="H1451" t="s">
        <v>18</v>
      </c>
      <c r="I1451" t="s">
        <v>27</v>
      </c>
      <c r="J1451" t="s">
        <v>16</v>
      </c>
      <c r="K1451" t="s">
        <v>16</v>
      </c>
      <c r="L1451">
        <v>5</v>
      </c>
      <c r="M1451" s="7">
        <v>87.9</v>
      </c>
      <c r="N1451" s="7">
        <v>4960.63</v>
      </c>
      <c r="O1451" t="s">
        <v>20</v>
      </c>
    </row>
    <row r="1452" spans="1:15" x14ac:dyDescent="0.3">
      <c r="A1452" t="s">
        <v>1477</v>
      </c>
      <c r="B1452" t="s">
        <v>22</v>
      </c>
      <c r="C1452">
        <v>37</v>
      </c>
      <c r="D1452" t="s">
        <v>20</v>
      </c>
      <c r="E1452">
        <v>4</v>
      </c>
      <c r="F1452" t="str">
        <f t="shared" si="22"/>
        <v>0-6 Months</v>
      </c>
      <c r="G1452" t="s">
        <v>17</v>
      </c>
      <c r="H1452" t="s">
        <v>36</v>
      </c>
      <c r="I1452" t="s">
        <v>30</v>
      </c>
      <c r="J1452" t="s">
        <v>20</v>
      </c>
      <c r="K1452" t="s">
        <v>16</v>
      </c>
      <c r="L1452">
        <v>7</v>
      </c>
      <c r="M1452" s="7">
        <v>65.290000000000006</v>
      </c>
      <c r="N1452" s="7">
        <v>251.82</v>
      </c>
      <c r="O1452" t="s">
        <v>16</v>
      </c>
    </row>
    <row r="1453" spans="1:15" x14ac:dyDescent="0.3">
      <c r="A1453" t="s">
        <v>1478</v>
      </c>
      <c r="B1453" t="s">
        <v>15</v>
      </c>
      <c r="C1453">
        <v>38</v>
      </c>
      <c r="D1453" t="s">
        <v>20</v>
      </c>
      <c r="E1453">
        <v>23</v>
      </c>
      <c r="F1453" t="str">
        <f t="shared" si="22"/>
        <v>13-24 Months</v>
      </c>
      <c r="G1453" t="s">
        <v>17</v>
      </c>
      <c r="H1453" t="s">
        <v>20</v>
      </c>
      <c r="I1453" t="s">
        <v>19</v>
      </c>
      <c r="J1453" t="s">
        <v>20</v>
      </c>
      <c r="K1453" t="s">
        <v>20</v>
      </c>
      <c r="L1453">
        <v>6</v>
      </c>
      <c r="M1453" s="7">
        <v>62.72</v>
      </c>
      <c r="N1453" s="7">
        <v>1356.87</v>
      </c>
      <c r="O1453" t="s">
        <v>20</v>
      </c>
    </row>
    <row r="1454" spans="1:15" x14ac:dyDescent="0.3">
      <c r="A1454" t="s">
        <v>1479</v>
      </c>
      <c r="B1454" t="s">
        <v>22</v>
      </c>
      <c r="C1454">
        <v>57</v>
      </c>
      <c r="D1454" t="s">
        <v>20</v>
      </c>
      <c r="E1454">
        <v>70</v>
      </c>
      <c r="F1454" t="str">
        <f t="shared" si="22"/>
        <v>49+ Months</v>
      </c>
      <c r="G1454" t="s">
        <v>35</v>
      </c>
      <c r="H1454" t="s">
        <v>36</v>
      </c>
      <c r="I1454" t="s">
        <v>27</v>
      </c>
      <c r="J1454" t="s">
        <v>20</v>
      </c>
      <c r="K1454" t="s">
        <v>16</v>
      </c>
      <c r="L1454">
        <v>2</v>
      </c>
      <c r="M1454" s="7">
        <v>51.45</v>
      </c>
      <c r="N1454" s="7">
        <v>3456.2</v>
      </c>
      <c r="O1454" t="s">
        <v>20</v>
      </c>
    </row>
    <row r="1455" spans="1:15" x14ac:dyDescent="0.3">
      <c r="A1455" t="s">
        <v>1480</v>
      </c>
      <c r="B1455" t="s">
        <v>15</v>
      </c>
      <c r="C1455">
        <v>75</v>
      </c>
      <c r="D1455" t="s">
        <v>16</v>
      </c>
      <c r="E1455">
        <v>33</v>
      </c>
      <c r="F1455" t="str">
        <f t="shared" si="22"/>
        <v>25-48 Months</v>
      </c>
      <c r="G1455" t="s">
        <v>17</v>
      </c>
      <c r="H1455" t="s">
        <v>18</v>
      </c>
      <c r="I1455" t="s">
        <v>27</v>
      </c>
      <c r="J1455" t="s">
        <v>16</v>
      </c>
      <c r="K1455" t="s">
        <v>20</v>
      </c>
      <c r="L1455">
        <v>5</v>
      </c>
      <c r="M1455" s="7">
        <v>83.96</v>
      </c>
      <c r="N1455" s="7">
        <v>2805.13</v>
      </c>
      <c r="O1455" t="s">
        <v>20</v>
      </c>
    </row>
    <row r="1456" spans="1:15" x14ac:dyDescent="0.3">
      <c r="A1456" t="s">
        <v>1481</v>
      </c>
      <c r="B1456" t="s">
        <v>15</v>
      </c>
      <c r="C1456">
        <v>48</v>
      </c>
      <c r="D1456" t="s">
        <v>20</v>
      </c>
      <c r="E1456">
        <v>28</v>
      </c>
      <c r="F1456" t="str">
        <f t="shared" si="22"/>
        <v>25-48 Months</v>
      </c>
      <c r="G1456" t="s">
        <v>17</v>
      </c>
      <c r="H1456" t="s">
        <v>18</v>
      </c>
      <c r="I1456" t="s">
        <v>19</v>
      </c>
      <c r="J1456" t="s">
        <v>20</v>
      </c>
      <c r="K1456" t="s">
        <v>20</v>
      </c>
      <c r="L1456">
        <v>3</v>
      </c>
      <c r="M1456" s="7">
        <v>64.23</v>
      </c>
      <c r="N1456" s="7">
        <v>1918.93</v>
      </c>
      <c r="O1456" t="s">
        <v>16</v>
      </c>
    </row>
    <row r="1457" spans="1:15" x14ac:dyDescent="0.3">
      <c r="A1457" t="s">
        <v>1482</v>
      </c>
      <c r="B1457" t="s">
        <v>15</v>
      </c>
      <c r="C1457">
        <v>63</v>
      </c>
      <c r="D1457" t="s">
        <v>16</v>
      </c>
      <c r="E1457">
        <v>8</v>
      </c>
      <c r="F1457" t="str">
        <f t="shared" si="22"/>
        <v>7-12 Months</v>
      </c>
      <c r="G1457" t="s">
        <v>17</v>
      </c>
      <c r="H1457" t="s">
        <v>20</v>
      </c>
      <c r="I1457" t="s">
        <v>24</v>
      </c>
      <c r="J1457" t="s">
        <v>20</v>
      </c>
      <c r="K1457" t="s">
        <v>20</v>
      </c>
      <c r="L1457">
        <v>5</v>
      </c>
      <c r="M1457" s="7">
        <v>30.22</v>
      </c>
      <c r="N1457" s="7">
        <v>244.95</v>
      </c>
      <c r="O1457" t="s">
        <v>20</v>
      </c>
    </row>
    <row r="1458" spans="1:15" x14ac:dyDescent="0.3">
      <c r="A1458" t="s">
        <v>1483</v>
      </c>
      <c r="B1458" t="s">
        <v>22</v>
      </c>
      <c r="C1458">
        <v>53</v>
      </c>
      <c r="D1458" t="s">
        <v>20</v>
      </c>
      <c r="E1458">
        <v>1</v>
      </c>
      <c r="F1458" t="str">
        <f t="shared" si="22"/>
        <v>0-6 Months</v>
      </c>
      <c r="G1458" t="s">
        <v>35</v>
      </c>
      <c r="H1458" t="s">
        <v>18</v>
      </c>
      <c r="I1458" t="s">
        <v>30</v>
      </c>
      <c r="J1458" t="s">
        <v>20</v>
      </c>
      <c r="K1458" t="s">
        <v>16</v>
      </c>
      <c r="L1458">
        <v>2</v>
      </c>
      <c r="M1458" s="7">
        <v>69.3</v>
      </c>
      <c r="N1458" s="7">
        <v>73.95</v>
      </c>
      <c r="O1458" t="s">
        <v>16</v>
      </c>
    </row>
    <row r="1459" spans="1:15" x14ac:dyDescent="0.3">
      <c r="A1459" t="s">
        <v>1484</v>
      </c>
      <c r="B1459" t="s">
        <v>22</v>
      </c>
      <c r="C1459">
        <v>28</v>
      </c>
      <c r="D1459" t="s">
        <v>20</v>
      </c>
      <c r="E1459">
        <v>37</v>
      </c>
      <c r="F1459" t="str">
        <f t="shared" si="22"/>
        <v>25-48 Months</v>
      </c>
      <c r="G1459" t="s">
        <v>35</v>
      </c>
      <c r="H1459" t="s">
        <v>36</v>
      </c>
      <c r="I1459" t="s">
        <v>19</v>
      </c>
      <c r="J1459" t="s">
        <v>16</v>
      </c>
      <c r="K1459" t="s">
        <v>20</v>
      </c>
      <c r="L1459">
        <v>2</v>
      </c>
      <c r="M1459" s="7">
        <v>60.08</v>
      </c>
      <c r="N1459" s="7">
        <v>2319.0100000000002</v>
      </c>
      <c r="O1459" t="s">
        <v>20</v>
      </c>
    </row>
    <row r="1460" spans="1:15" x14ac:dyDescent="0.3">
      <c r="A1460" t="s">
        <v>1485</v>
      </c>
      <c r="B1460" t="s">
        <v>22</v>
      </c>
      <c r="C1460">
        <v>69</v>
      </c>
      <c r="D1460" t="s">
        <v>16</v>
      </c>
      <c r="E1460">
        <v>63</v>
      </c>
      <c r="F1460" t="str">
        <f t="shared" si="22"/>
        <v>49+ Months</v>
      </c>
      <c r="G1460" t="s">
        <v>23</v>
      </c>
      <c r="H1460" t="s">
        <v>18</v>
      </c>
      <c r="I1460" t="s">
        <v>27</v>
      </c>
      <c r="J1460" t="s">
        <v>20</v>
      </c>
      <c r="K1460" t="s">
        <v>20</v>
      </c>
      <c r="L1460">
        <v>5</v>
      </c>
      <c r="M1460" s="7">
        <v>69.97</v>
      </c>
      <c r="N1460" s="7">
        <v>4477.5</v>
      </c>
      <c r="O1460" t="s">
        <v>20</v>
      </c>
    </row>
    <row r="1461" spans="1:15" x14ac:dyDescent="0.3">
      <c r="A1461" t="s">
        <v>1486</v>
      </c>
      <c r="B1461" t="s">
        <v>15</v>
      </c>
      <c r="C1461">
        <v>32</v>
      </c>
      <c r="D1461" t="s">
        <v>20</v>
      </c>
      <c r="E1461">
        <v>22</v>
      </c>
      <c r="F1461" t="str">
        <f t="shared" si="22"/>
        <v>13-24 Months</v>
      </c>
      <c r="G1461" t="s">
        <v>23</v>
      </c>
      <c r="H1461" t="s">
        <v>18</v>
      </c>
      <c r="I1461" t="s">
        <v>19</v>
      </c>
      <c r="J1461" t="s">
        <v>16</v>
      </c>
      <c r="K1461" t="s">
        <v>16</v>
      </c>
      <c r="L1461">
        <v>7</v>
      </c>
      <c r="M1461" s="7">
        <v>92.02</v>
      </c>
      <c r="N1461" s="7">
        <v>1869.55</v>
      </c>
      <c r="O1461" t="s">
        <v>20</v>
      </c>
    </row>
    <row r="1462" spans="1:15" x14ac:dyDescent="0.3">
      <c r="A1462" t="s">
        <v>1487</v>
      </c>
      <c r="B1462" t="s">
        <v>15</v>
      </c>
      <c r="C1462">
        <v>36</v>
      </c>
      <c r="D1462" t="s">
        <v>20</v>
      </c>
      <c r="E1462">
        <v>70</v>
      </c>
      <c r="F1462" t="str">
        <f t="shared" si="22"/>
        <v>49+ Months</v>
      </c>
      <c r="G1462" t="s">
        <v>35</v>
      </c>
      <c r="H1462" t="s">
        <v>20</v>
      </c>
      <c r="I1462" t="s">
        <v>24</v>
      </c>
      <c r="J1462" t="s">
        <v>20</v>
      </c>
      <c r="K1462" t="s">
        <v>16</v>
      </c>
      <c r="L1462">
        <v>2</v>
      </c>
      <c r="M1462" s="7">
        <v>33.57</v>
      </c>
      <c r="N1462" s="7">
        <v>2287.14</v>
      </c>
      <c r="O1462" t="s">
        <v>20</v>
      </c>
    </row>
    <row r="1463" spans="1:15" x14ac:dyDescent="0.3">
      <c r="A1463" t="s">
        <v>1488</v>
      </c>
      <c r="B1463" t="s">
        <v>15</v>
      </c>
      <c r="C1463">
        <v>24</v>
      </c>
      <c r="D1463" t="s">
        <v>20</v>
      </c>
      <c r="E1463">
        <v>21</v>
      </c>
      <c r="F1463" t="str">
        <f t="shared" si="22"/>
        <v>13-24 Months</v>
      </c>
      <c r="G1463" t="s">
        <v>17</v>
      </c>
      <c r="H1463" t="s">
        <v>36</v>
      </c>
      <c r="I1463" t="s">
        <v>27</v>
      </c>
      <c r="J1463" t="s">
        <v>20</v>
      </c>
      <c r="K1463" t="s">
        <v>20</v>
      </c>
      <c r="L1463">
        <v>5</v>
      </c>
      <c r="M1463" s="7">
        <v>71.69</v>
      </c>
      <c r="N1463" s="7">
        <v>1398.89</v>
      </c>
      <c r="O1463" t="s">
        <v>16</v>
      </c>
    </row>
    <row r="1464" spans="1:15" x14ac:dyDescent="0.3">
      <c r="A1464" t="s">
        <v>1489</v>
      </c>
      <c r="B1464" t="s">
        <v>15</v>
      </c>
      <c r="C1464">
        <v>68</v>
      </c>
      <c r="D1464" t="s">
        <v>16</v>
      </c>
      <c r="E1464">
        <v>35</v>
      </c>
      <c r="F1464" t="str">
        <f t="shared" si="22"/>
        <v>25-48 Months</v>
      </c>
      <c r="G1464" t="s">
        <v>17</v>
      </c>
      <c r="H1464" t="s">
        <v>36</v>
      </c>
      <c r="I1464" t="s">
        <v>27</v>
      </c>
      <c r="J1464" t="s">
        <v>16</v>
      </c>
      <c r="K1464" t="s">
        <v>16</v>
      </c>
      <c r="L1464">
        <v>1</v>
      </c>
      <c r="M1464" s="7">
        <v>54.12</v>
      </c>
      <c r="N1464" s="7">
        <v>1840.33</v>
      </c>
      <c r="O1464" t="s">
        <v>20</v>
      </c>
    </row>
    <row r="1465" spans="1:15" x14ac:dyDescent="0.3">
      <c r="A1465" t="s">
        <v>1490</v>
      </c>
      <c r="B1465" t="s">
        <v>15</v>
      </c>
      <c r="C1465">
        <v>45</v>
      </c>
      <c r="D1465" t="s">
        <v>20</v>
      </c>
      <c r="E1465">
        <v>5</v>
      </c>
      <c r="F1465" t="str">
        <f t="shared" si="22"/>
        <v>0-6 Months</v>
      </c>
      <c r="G1465" t="s">
        <v>23</v>
      </c>
      <c r="H1465" t="s">
        <v>18</v>
      </c>
      <c r="I1465" t="s">
        <v>24</v>
      </c>
      <c r="J1465" t="s">
        <v>20</v>
      </c>
      <c r="K1465" t="s">
        <v>20</v>
      </c>
      <c r="L1465">
        <v>5</v>
      </c>
      <c r="M1465" s="7">
        <v>83.98</v>
      </c>
      <c r="N1465" s="7">
        <v>390.5</v>
      </c>
      <c r="O1465" t="s">
        <v>20</v>
      </c>
    </row>
    <row r="1466" spans="1:15" x14ac:dyDescent="0.3">
      <c r="A1466" t="s">
        <v>1491</v>
      </c>
      <c r="B1466" t="s">
        <v>15</v>
      </c>
      <c r="C1466">
        <v>68</v>
      </c>
      <c r="D1466" t="s">
        <v>16</v>
      </c>
      <c r="E1466">
        <v>60</v>
      </c>
      <c r="F1466" t="str">
        <f t="shared" si="22"/>
        <v>49+ Months</v>
      </c>
      <c r="G1466" t="s">
        <v>17</v>
      </c>
      <c r="H1466" t="s">
        <v>18</v>
      </c>
      <c r="I1466" t="s">
        <v>27</v>
      </c>
      <c r="J1466" t="s">
        <v>16</v>
      </c>
      <c r="K1466" t="s">
        <v>20</v>
      </c>
      <c r="L1466">
        <v>4</v>
      </c>
      <c r="M1466" s="7">
        <v>78.349999999999994</v>
      </c>
      <c r="N1466" s="7">
        <v>4451.1400000000003</v>
      </c>
      <c r="O1466" t="s">
        <v>20</v>
      </c>
    </row>
    <row r="1467" spans="1:15" x14ac:dyDescent="0.3">
      <c r="A1467" t="s">
        <v>1492</v>
      </c>
      <c r="B1467" t="s">
        <v>22</v>
      </c>
      <c r="C1467">
        <v>60</v>
      </c>
      <c r="D1467" t="s">
        <v>16</v>
      </c>
      <c r="E1467">
        <v>46</v>
      </c>
      <c r="F1467" t="str">
        <f t="shared" si="22"/>
        <v>25-48 Months</v>
      </c>
      <c r="G1467" t="s">
        <v>17</v>
      </c>
      <c r="H1467" t="s">
        <v>36</v>
      </c>
      <c r="I1467" t="s">
        <v>19</v>
      </c>
      <c r="J1467" t="s">
        <v>20</v>
      </c>
      <c r="K1467" t="s">
        <v>20</v>
      </c>
      <c r="L1467">
        <v>5</v>
      </c>
      <c r="M1467" s="7">
        <v>57.96</v>
      </c>
      <c r="N1467" s="7">
        <v>2628.06</v>
      </c>
      <c r="O1467" t="s">
        <v>20</v>
      </c>
    </row>
    <row r="1468" spans="1:15" x14ac:dyDescent="0.3">
      <c r="A1468" t="s">
        <v>1493</v>
      </c>
      <c r="B1468" t="s">
        <v>22</v>
      </c>
      <c r="C1468">
        <v>75</v>
      </c>
      <c r="D1468" t="s">
        <v>16</v>
      </c>
      <c r="E1468">
        <v>50</v>
      </c>
      <c r="F1468" t="str">
        <f t="shared" si="22"/>
        <v>49+ Months</v>
      </c>
      <c r="G1468" t="s">
        <v>17</v>
      </c>
      <c r="H1468" t="s">
        <v>36</v>
      </c>
      <c r="I1468" t="s">
        <v>19</v>
      </c>
      <c r="J1468" t="s">
        <v>16</v>
      </c>
      <c r="K1468" t="s">
        <v>20</v>
      </c>
      <c r="L1468">
        <v>2</v>
      </c>
      <c r="M1468" s="7">
        <v>42.98</v>
      </c>
      <c r="N1468" s="7">
        <v>2154.12</v>
      </c>
      <c r="O1468" t="s">
        <v>20</v>
      </c>
    </row>
    <row r="1469" spans="1:15" x14ac:dyDescent="0.3">
      <c r="A1469" t="s">
        <v>1494</v>
      </c>
      <c r="B1469" t="s">
        <v>22</v>
      </c>
      <c r="C1469">
        <v>22</v>
      </c>
      <c r="D1469" t="s">
        <v>20</v>
      </c>
      <c r="E1469">
        <v>48</v>
      </c>
      <c r="F1469" t="str">
        <f t="shared" si="22"/>
        <v>25-48 Months</v>
      </c>
      <c r="G1469" t="s">
        <v>17</v>
      </c>
      <c r="H1469" t="s">
        <v>18</v>
      </c>
      <c r="I1469" t="s">
        <v>27</v>
      </c>
      <c r="J1469" t="s">
        <v>20</v>
      </c>
      <c r="K1469" t="s">
        <v>20</v>
      </c>
      <c r="L1469">
        <v>5</v>
      </c>
      <c r="M1469" s="7">
        <v>78.62</v>
      </c>
      <c r="N1469" s="7">
        <v>3602.97</v>
      </c>
      <c r="O1469" t="s">
        <v>20</v>
      </c>
    </row>
    <row r="1470" spans="1:15" x14ac:dyDescent="0.3">
      <c r="A1470" t="s">
        <v>1495</v>
      </c>
      <c r="B1470" t="s">
        <v>22</v>
      </c>
      <c r="C1470">
        <v>22</v>
      </c>
      <c r="D1470" t="s">
        <v>20</v>
      </c>
      <c r="E1470">
        <v>6</v>
      </c>
      <c r="F1470" t="str">
        <f t="shared" si="22"/>
        <v>0-6 Months</v>
      </c>
      <c r="G1470" t="s">
        <v>35</v>
      </c>
      <c r="H1470" t="s">
        <v>18</v>
      </c>
      <c r="I1470" t="s">
        <v>30</v>
      </c>
      <c r="J1470" t="s">
        <v>20</v>
      </c>
      <c r="K1470" t="s">
        <v>16</v>
      </c>
      <c r="L1470">
        <v>5</v>
      </c>
      <c r="M1470" s="7">
        <v>75.25</v>
      </c>
      <c r="N1470" s="7">
        <v>468.3</v>
      </c>
      <c r="O1470" t="s">
        <v>20</v>
      </c>
    </row>
    <row r="1471" spans="1:15" x14ac:dyDescent="0.3">
      <c r="A1471" t="s">
        <v>1496</v>
      </c>
      <c r="B1471" t="s">
        <v>15</v>
      </c>
      <c r="C1471">
        <v>47</v>
      </c>
      <c r="D1471" t="s">
        <v>20</v>
      </c>
      <c r="E1471">
        <v>56</v>
      </c>
      <c r="F1471" t="str">
        <f t="shared" si="22"/>
        <v>49+ Months</v>
      </c>
      <c r="G1471" t="s">
        <v>17</v>
      </c>
      <c r="H1471" t="s">
        <v>18</v>
      </c>
      <c r="I1471" t="s">
        <v>24</v>
      </c>
      <c r="J1471" t="s">
        <v>20</v>
      </c>
      <c r="K1471" t="s">
        <v>16</v>
      </c>
      <c r="L1471">
        <v>6</v>
      </c>
      <c r="M1471" s="7">
        <v>86.26</v>
      </c>
      <c r="N1471" s="7">
        <v>4900.3999999999996</v>
      </c>
      <c r="O1471" t="s">
        <v>20</v>
      </c>
    </row>
    <row r="1472" spans="1:15" x14ac:dyDescent="0.3">
      <c r="A1472" t="s">
        <v>1497</v>
      </c>
      <c r="B1472" t="s">
        <v>15</v>
      </c>
      <c r="C1472">
        <v>71</v>
      </c>
      <c r="D1472" t="s">
        <v>16</v>
      </c>
      <c r="E1472">
        <v>59</v>
      </c>
      <c r="F1472" t="str">
        <f t="shared" si="22"/>
        <v>49+ Months</v>
      </c>
      <c r="G1472" t="s">
        <v>23</v>
      </c>
      <c r="H1472" t="s">
        <v>20</v>
      </c>
      <c r="I1472" t="s">
        <v>19</v>
      </c>
      <c r="J1472" t="s">
        <v>20</v>
      </c>
      <c r="K1472" t="s">
        <v>20</v>
      </c>
      <c r="L1472">
        <v>3</v>
      </c>
      <c r="M1472" s="7">
        <v>36.76</v>
      </c>
      <c r="N1472" s="7">
        <v>2235.38</v>
      </c>
      <c r="O1472" t="s">
        <v>20</v>
      </c>
    </row>
    <row r="1473" spans="1:15" x14ac:dyDescent="0.3">
      <c r="A1473" t="s">
        <v>1498</v>
      </c>
      <c r="B1473" t="s">
        <v>22</v>
      </c>
      <c r="C1473">
        <v>49</v>
      </c>
      <c r="D1473" t="s">
        <v>20</v>
      </c>
      <c r="E1473">
        <v>29</v>
      </c>
      <c r="F1473" t="str">
        <f t="shared" si="22"/>
        <v>25-48 Months</v>
      </c>
      <c r="G1473" t="s">
        <v>17</v>
      </c>
      <c r="H1473" t="s">
        <v>36</v>
      </c>
      <c r="I1473" t="s">
        <v>30</v>
      </c>
      <c r="J1473" t="s">
        <v>20</v>
      </c>
      <c r="K1473" t="s">
        <v>20</v>
      </c>
      <c r="L1473">
        <v>2</v>
      </c>
      <c r="M1473" s="7">
        <v>49.08</v>
      </c>
      <c r="N1473" s="7">
        <v>1476.33</v>
      </c>
      <c r="O1473" t="s">
        <v>20</v>
      </c>
    </row>
    <row r="1474" spans="1:15" x14ac:dyDescent="0.3">
      <c r="A1474" t="s">
        <v>1499</v>
      </c>
      <c r="B1474" t="s">
        <v>15</v>
      </c>
      <c r="C1474">
        <v>25</v>
      </c>
      <c r="D1474" t="s">
        <v>20</v>
      </c>
      <c r="E1474">
        <v>71</v>
      </c>
      <c r="F1474" t="str">
        <f t="shared" ref="F1474:F1537" si="23">IF(E1474&lt;=6,"0-6 Months",
 IF(E1474&lt;=12,"7-12 Months",
 IF(E1474&lt;=24,"13-24 Months",
 IF(E1474&lt;=48,"25-48 Months","49+ Months"))))</f>
        <v>49+ Months</v>
      </c>
      <c r="G1474" t="s">
        <v>17</v>
      </c>
      <c r="H1474" t="s">
        <v>20</v>
      </c>
      <c r="I1474" t="s">
        <v>24</v>
      </c>
      <c r="J1474" t="s">
        <v>16</v>
      </c>
      <c r="K1474" t="s">
        <v>20</v>
      </c>
      <c r="L1474">
        <v>1</v>
      </c>
      <c r="M1474" s="7">
        <v>29.77</v>
      </c>
      <c r="N1474" s="7">
        <v>2190.41</v>
      </c>
      <c r="O1474" t="s">
        <v>16</v>
      </c>
    </row>
    <row r="1475" spans="1:15" x14ac:dyDescent="0.3">
      <c r="A1475" t="s">
        <v>1500</v>
      </c>
      <c r="B1475" t="s">
        <v>22</v>
      </c>
      <c r="C1475">
        <v>27</v>
      </c>
      <c r="D1475" t="s">
        <v>20</v>
      </c>
      <c r="E1475">
        <v>18</v>
      </c>
      <c r="F1475" t="str">
        <f t="shared" si="23"/>
        <v>13-24 Months</v>
      </c>
      <c r="G1475" t="s">
        <v>17</v>
      </c>
      <c r="H1475" t="s">
        <v>18</v>
      </c>
      <c r="I1475" t="s">
        <v>30</v>
      </c>
      <c r="J1475" t="s">
        <v>20</v>
      </c>
      <c r="K1475" t="s">
        <v>20</v>
      </c>
      <c r="L1475">
        <v>3</v>
      </c>
      <c r="M1475" s="7">
        <v>71.790000000000006</v>
      </c>
      <c r="N1475" s="7">
        <v>1382.41</v>
      </c>
      <c r="O1475" t="s">
        <v>16</v>
      </c>
    </row>
    <row r="1476" spans="1:15" x14ac:dyDescent="0.3">
      <c r="A1476" t="s">
        <v>1501</v>
      </c>
      <c r="B1476" t="s">
        <v>22</v>
      </c>
      <c r="C1476">
        <v>55</v>
      </c>
      <c r="D1476" t="s">
        <v>20</v>
      </c>
      <c r="E1476">
        <v>2</v>
      </c>
      <c r="F1476" t="str">
        <f t="shared" si="23"/>
        <v>0-6 Months</v>
      </c>
      <c r="G1476" t="s">
        <v>23</v>
      </c>
      <c r="H1476" t="s">
        <v>20</v>
      </c>
      <c r="I1476" t="s">
        <v>30</v>
      </c>
      <c r="J1476" t="s">
        <v>20</v>
      </c>
      <c r="K1476" t="s">
        <v>16</v>
      </c>
      <c r="L1476">
        <v>3</v>
      </c>
      <c r="M1476" s="7">
        <v>42.89</v>
      </c>
      <c r="N1476" s="7">
        <v>82.17</v>
      </c>
      <c r="O1476" t="s">
        <v>20</v>
      </c>
    </row>
    <row r="1477" spans="1:15" x14ac:dyDescent="0.3">
      <c r="A1477" t="s">
        <v>1502</v>
      </c>
      <c r="B1477" t="s">
        <v>22</v>
      </c>
      <c r="C1477">
        <v>64</v>
      </c>
      <c r="D1477" t="s">
        <v>16</v>
      </c>
      <c r="E1477">
        <v>8</v>
      </c>
      <c r="F1477" t="str">
        <f t="shared" si="23"/>
        <v>7-12 Months</v>
      </c>
      <c r="G1477" t="s">
        <v>23</v>
      </c>
      <c r="H1477" t="s">
        <v>18</v>
      </c>
      <c r="I1477" t="s">
        <v>19</v>
      </c>
      <c r="J1477" t="s">
        <v>20</v>
      </c>
      <c r="K1477" t="s">
        <v>16</v>
      </c>
      <c r="L1477">
        <v>8</v>
      </c>
      <c r="M1477" s="7">
        <v>96.6</v>
      </c>
      <c r="N1477" s="7">
        <v>744.38</v>
      </c>
      <c r="O1477" t="s">
        <v>20</v>
      </c>
    </row>
    <row r="1478" spans="1:15" x14ac:dyDescent="0.3">
      <c r="A1478" t="s">
        <v>1503</v>
      </c>
      <c r="B1478" t="s">
        <v>15</v>
      </c>
      <c r="C1478">
        <v>49</v>
      </c>
      <c r="D1478" t="s">
        <v>20</v>
      </c>
      <c r="E1478">
        <v>54</v>
      </c>
      <c r="F1478" t="str">
        <f t="shared" si="23"/>
        <v>49+ Months</v>
      </c>
      <c r="G1478" t="s">
        <v>35</v>
      </c>
      <c r="H1478" t="s">
        <v>36</v>
      </c>
      <c r="I1478" t="s">
        <v>30</v>
      </c>
      <c r="J1478" t="s">
        <v>20</v>
      </c>
      <c r="K1478" t="s">
        <v>20</v>
      </c>
      <c r="L1478">
        <v>3</v>
      </c>
      <c r="M1478" s="7">
        <v>51.61</v>
      </c>
      <c r="N1478" s="7">
        <v>2605.9899999999998</v>
      </c>
      <c r="O1478" t="s">
        <v>20</v>
      </c>
    </row>
    <row r="1479" spans="1:15" x14ac:dyDescent="0.3">
      <c r="A1479" t="s">
        <v>1504</v>
      </c>
      <c r="B1479" t="s">
        <v>22</v>
      </c>
      <c r="C1479">
        <v>65</v>
      </c>
      <c r="D1479" t="s">
        <v>16</v>
      </c>
      <c r="E1479">
        <v>38</v>
      </c>
      <c r="F1479" t="str">
        <f t="shared" si="23"/>
        <v>25-48 Months</v>
      </c>
      <c r="G1479" t="s">
        <v>23</v>
      </c>
      <c r="H1479" t="s">
        <v>20</v>
      </c>
      <c r="I1479" t="s">
        <v>27</v>
      </c>
      <c r="J1479" t="s">
        <v>20</v>
      </c>
      <c r="K1479" t="s">
        <v>16</v>
      </c>
      <c r="L1479">
        <v>4</v>
      </c>
      <c r="M1479" s="7">
        <v>32.83</v>
      </c>
      <c r="N1479" s="7">
        <v>1266.02</v>
      </c>
      <c r="O1479" t="s">
        <v>20</v>
      </c>
    </row>
    <row r="1480" spans="1:15" x14ac:dyDescent="0.3">
      <c r="A1480" t="s">
        <v>1505</v>
      </c>
      <c r="B1480" t="s">
        <v>22</v>
      </c>
      <c r="C1480">
        <v>45</v>
      </c>
      <c r="D1480" t="s">
        <v>20</v>
      </c>
      <c r="E1480">
        <v>48</v>
      </c>
      <c r="F1480" t="str">
        <f t="shared" si="23"/>
        <v>25-48 Months</v>
      </c>
      <c r="G1480" t="s">
        <v>23</v>
      </c>
      <c r="H1480" t="s">
        <v>18</v>
      </c>
      <c r="I1480" t="s">
        <v>19</v>
      </c>
      <c r="J1480" t="s">
        <v>20</v>
      </c>
      <c r="K1480" t="s">
        <v>20</v>
      </c>
      <c r="L1480">
        <v>5</v>
      </c>
      <c r="M1480" s="7">
        <v>82.43</v>
      </c>
      <c r="N1480" s="7">
        <v>3890.29</v>
      </c>
      <c r="O1480" t="s">
        <v>20</v>
      </c>
    </row>
    <row r="1481" spans="1:15" x14ac:dyDescent="0.3">
      <c r="A1481" t="s">
        <v>1506</v>
      </c>
      <c r="B1481" t="s">
        <v>22</v>
      </c>
      <c r="C1481">
        <v>34</v>
      </c>
      <c r="D1481" t="s">
        <v>20</v>
      </c>
      <c r="E1481">
        <v>27</v>
      </c>
      <c r="F1481" t="str">
        <f t="shared" si="23"/>
        <v>25-48 Months</v>
      </c>
      <c r="G1481" t="s">
        <v>23</v>
      </c>
      <c r="H1481" t="s">
        <v>18</v>
      </c>
      <c r="I1481" t="s">
        <v>19</v>
      </c>
      <c r="J1481" t="s">
        <v>20</v>
      </c>
      <c r="K1481" t="s">
        <v>20</v>
      </c>
      <c r="L1481">
        <v>3</v>
      </c>
      <c r="M1481" s="7">
        <v>82.99</v>
      </c>
      <c r="N1481" s="7">
        <v>2239.37</v>
      </c>
      <c r="O1481" t="s">
        <v>20</v>
      </c>
    </row>
    <row r="1482" spans="1:15" x14ac:dyDescent="0.3">
      <c r="A1482" t="s">
        <v>1507</v>
      </c>
      <c r="B1482" t="s">
        <v>15</v>
      </c>
      <c r="C1482">
        <v>48</v>
      </c>
      <c r="D1482" t="s">
        <v>20</v>
      </c>
      <c r="E1482">
        <v>20</v>
      </c>
      <c r="F1482" t="str">
        <f t="shared" si="23"/>
        <v>13-24 Months</v>
      </c>
      <c r="G1482" t="s">
        <v>35</v>
      </c>
      <c r="H1482" t="s">
        <v>18</v>
      </c>
      <c r="I1482" t="s">
        <v>24</v>
      </c>
      <c r="J1482" t="s">
        <v>20</v>
      </c>
      <c r="K1482" t="s">
        <v>20</v>
      </c>
      <c r="L1482">
        <v>3</v>
      </c>
      <c r="M1482" s="7">
        <v>79.13</v>
      </c>
      <c r="N1482" s="7">
        <v>1498.99</v>
      </c>
      <c r="O1482" t="s">
        <v>20</v>
      </c>
    </row>
    <row r="1483" spans="1:15" x14ac:dyDescent="0.3">
      <c r="A1483" t="s">
        <v>1508</v>
      </c>
      <c r="B1483" t="s">
        <v>15</v>
      </c>
      <c r="C1483">
        <v>25</v>
      </c>
      <c r="D1483" t="s">
        <v>20</v>
      </c>
      <c r="E1483">
        <v>12</v>
      </c>
      <c r="F1483" t="str">
        <f t="shared" si="23"/>
        <v>7-12 Months</v>
      </c>
      <c r="G1483" t="s">
        <v>23</v>
      </c>
      <c r="H1483" t="s">
        <v>18</v>
      </c>
      <c r="I1483" t="s">
        <v>30</v>
      </c>
      <c r="J1483" t="s">
        <v>16</v>
      </c>
      <c r="K1483" t="s">
        <v>20</v>
      </c>
      <c r="L1483">
        <v>4</v>
      </c>
      <c r="M1483" s="7">
        <v>84.31</v>
      </c>
      <c r="N1483" s="7">
        <v>1035.8499999999999</v>
      </c>
      <c r="O1483" t="s">
        <v>16</v>
      </c>
    </row>
    <row r="1484" spans="1:15" x14ac:dyDescent="0.3">
      <c r="A1484" t="s">
        <v>1509</v>
      </c>
      <c r="B1484" t="s">
        <v>22</v>
      </c>
      <c r="C1484">
        <v>57</v>
      </c>
      <c r="D1484" t="s">
        <v>20</v>
      </c>
      <c r="E1484">
        <v>43</v>
      </c>
      <c r="F1484" t="str">
        <f t="shared" si="23"/>
        <v>25-48 Months</v>
      </c>
      <c r="G1484" t="s">
        <v>17</v>
      </c>
      <c r="H1484" t="s">
        <v>36</v>
      </c>
      <c r="I1484" t="s">
        <v>27</v>
      </c>
      <c r="J1484" t="s">
        <v>20</v>
      </c>
      <c r="K1484" t="s">
        <v>16</v>
      </c>
      <c r="L1484">
        <v>6</v>
      </c>
      <c r="M1484" s="7">
        <v>72.069999999999993</v>
      </c>
      <c r="N1484" s="7">
        <v>3158.02</v>
      </c>
      <c r="O1484" t="s">
        <v>20</v>
      </c>
    </row>
    <row r="1485" spans="1:15" x14ac:dyDescent="0.3">
      <c r="A1485" t="s">
        <v>1510</v>
      </c>
      <c r="B1485" t="s">
        <v>15</v>
      </c>
      <c r="C1485">
        <v>42</v>
      </c>
      <c r="D1485" t="s">
        <v>20</v>
      </c>
      <c r="E1485">
        <v>61</v>
      </c>
      <c r="F1485" t="str">
        <f t="shared" si="23"/>
        <v>49+ Months</v>
      </c>
      <c r="G1485" t="s">
        <v>17</v>
      </c>
      <c r="H1485" t="s">
        <v>36</v>
      </c>
      <c r="I1485" t="s">
        <v>24</v>
      </c>
      <c r="J1485" t="s">
        <v>20</v>
      </c>
      <c r="K1485" t="s">
        <v>16</v>
      </c>
      <c r="L1485">
        <v>3</v>
      </c>
      <c r="M1485" s="7">
        <v>63.51</v>
      </c>
      <c r="N1485" s="7">
        <v>3728.31</v>
      </c>
      <c r="O1485" t="s">
        <v>20</v>
      </c>
    </row>
    <row r="1486" spans="1:15" x14ac:dyDescent="0.3">
      <c r="A1486" t="s">
        <v>1511</v>
      </c>
      <c r="B1486" t="s">
        <v>15</v>
      </c>
      <c r="C1486">
        <v>26</v>
      </c>
      <c r="D1486" t="s">
        <v>20</v>
      </c>
      <c r="E1486">
        <v>31</v>
      </c>
      <c r="F1486" t="str">
        <f t="shared" si="23"/>
        <v>25-48 Months</v>
      </c>
      <c r="G1486" t="s">
        <v>23</v>
      </c>
      <c r="H1486" t="s">
        <v>36</v>
      </c>
      <c r="I1486" t="s">
        <v>19</v>
      </c>
      <c r="J1486" t="s">
        <v>20</v>
      </c>
      <c r="K1486" t="s">
        <v>20</v>
      </c>
      <c r="L1486">
        <v>4</v>
      </c>
      <c r="M1486" s="7">
        <v>65.03</v>
      </c>
      <c r="N1486" s="7">
        <v>2004.78</v>
      </c>
      <c r="O1486" t="s">
        <v>20</v>
      </c>
    </row>
    <row r="1487" spans="1:15" x14ac:dyDescent="0.3">
      <c r="A1487" t="s">
        <v>1512</v>
      </c>
      <c r="B1487" t="s">
        <v>15</v>
      </c>
      <c r="C1487">
        <v>19</v>
      </c>
      <c r="D1487" t="s">
        <v>20</v>
      </c>
      <c r="E1487">
        <v>61</v>
      </c>
      <c r="F1487" t="str">
        <f t="shared" si="23"/>
        <v>49+ Months</v>
      </c>
      <c r="G1487" t="s">
        <v>23</v>
      </c>
      <c r="H1487" t="s">
        <v>36</v>
      </c>
      <c r="I1487" t="s">
        <v>19</v>
      </c>
      <c r="J1487" t="s">
        <v>20</v>
      </c>
      <c r="K1487" t="s">
        <v>20</v>
      </c>
      <c r="L1487">
        <v>4</v>
      </c>
      <c r="M1487" s="7">
        <v>60.04</v>
      </c>
      <c r="N1487" s="7">
        <v>3893.5</v>
      </c>
      <c r="O1487" t="s">
        <v>20</v>
      </c>
    </row>
    <row r="1488" spans="1:15" x14ac:dyDescent="0.3">
      <c r="A1488" t="s">
        <v>1513</v>
      </c>
      <c r="B1488" t="s">
        <v>15</v>
      </c>
      <c r="C1488">
        <v>32</v>
      </c>
      <c r="D1488" t="s">
        <v>20</v>
      </c>
      <c r="E1488">
        <v>67</v>
      </c>
      <c r="F1488" t="str">
        <f t="shared" si="23"/>
        <v>49+ Months</v>
      </c>
      <c r="G1488" t="s">
        <v>17</v>
      </c>
      <c r="H1488" t="s">
        <v>36</v>
      </c>
      <c r="I1488" t="s">
        <v>30</v>
      </c>
      <c r="J1488" t="s">
        <v>16</v>
      </c>
      <c r="K1488" t="s">
        <v>20</v>
      </c>
      <c r="L1488">
        <v>4</v>
      </c>
      <c r="M1488" s="7">
        <v>56.15</v>
      </c>
      <c r="N1488" s="7">
        <v>3926.68</v>
      </c>
      <c r="O1488" t="s">
        <v>20</v>
      </c>
    </row>
    <row r="1489" spans="1:15" x14ac:dyDescent="0.3">
      <c r="A1489" t="s">
        <v>1514</v>
      </c>
      <c r="B1489" t="s">
        <v>15</v>
      </c>
      <c r="C1489">
        <v>67</v>
      </c>
      <c r="D1489" t="s">
        <v>16</v>
      </c>
      <c r="E1489">
        <v>35</v>
      </c>
      <c r="F1489" t="str">
        <f t="shared" si="23"/>
        <v>25-48 Months</v>
      </c>
      <c r="G1489" t="s">
        <v>35</v>
      </c>
      <c r="H1489" t="s">
        <v>18</v>
      </c>
      <c r="I1489" t="s">
        <v>24</v>
      </c>
      <c r="J1489" t="s">
        <v>20</v>
      </c>
      <c r="K1489" t="s">
        <v>20</v>
      </c>
      <c r="L1489">
        <v>4</v>
      </c>
      <c r="M1489" s="7">
        <v>85.13</v>
      </c>
      <c r="N1489" s="7">
        <v>2849.38</v>
      </c>
      <c r="O1489" t="s">
        <v>20</v>
      </c>
    </row>
    <row r="1490" spans="1:15" x14ac:dyDescent="0.3">
      <c r="A1490" t="s">
        <v>1515</v>
      </c>
      <c r="B1490" t="s">
        <v>15</v>
      </c>
      <c r="C1490">
        <v>20</v>
      </c>
      <c r="D1490" t="s">
        <v>20</v>
      </c>
      <c r="E1490">
        <v>15</v>
      </c>
      <c r="F1490" t="str">
        <f t="shared" si="23"/>
        <v>13-24 Months</v>
      </c>
      <c r="G1490" t="s">
        <v>35</v>
      </c>
      <c r="H1490" t="s">
        <v>18</v>
      </c>
      <c r="I1490" t="s">
        <v>27</v>
      </c>
      <c r="J1490" t="s">
        <v>20</v>
      </c>
      <c r="K1490" t="s">
        <v>20</v>
      </c>
      <c r="L1490">
        <v>4</v>
      </c>
      <c r="M1490" s="7">
        <v>62.07</v>
      </c>
      <c r="N1490" s="7">
        <v>987.49</v>
      </c>
      <c r="O1490" t="s">
        <v>20</v>
      </c>
    </row>
    <row r="1491" spans="1:15" x14ac:dyDescent="0.3">
      <c r="A1491" t="s">
        <v>1516</v>
      </c>
      <c r="B1491" t="s">
        <v>15</v>
      </c>
      <c r="C1491">
        <v>66</v>
      </c>
      <c r="D1491" t="s">
        <v>16</v>
      </c>
      <c r="E1491">
        <v>16</v>
      </c>
      <c r="F1491" t="str">
        <f t="shared" si="23"/>
        <v>13-24 Months</v>
      </c>
      <c r="G1491" t="s">
        <v>17</v>
      </c>
      <c r="H1491" t="s">
        <v>20</v>
      </c>
      <c r="I1491" t="s">
        <v>24</v>
      </c>
      <c r="J1491" t="s">
        <v>20</v>
      </c>
      <c r="K1491" t="s">
        <v>16</v>
      </c>
      <c r="L1491">
        <v>6</v>
      </c>
      <c r="M1491" s="7">
        <v>57.87</v>
      </c>
      <c r="N1491" s="7">
        <v>861.82</v>
      </c>
      <c r="O1491" t="s">
        <v>16</v>
      </c>
    </row>
    <row r="1492" spans="1:15" x14ac:dyDescent="0.3">
      <c r="A1492" t="s">
        <v>1517</v>
      </c>
      <c r="B1492" t="s">
        <v>15</v>
      </c>
      <c r="C1492">
        <v>53</v>
      </c>
      <c r="D1492" t="s">
        <v>20</v>
      </c>
      <c r="E1492">
        <v>13</v>
      </c>
      <c r="F1492" t="str">
        <f t="shared" si="23"/>
        <v>13-24 Months</v>
      </c>
      <c r="G1492" t="s">
        <v>35</v>
      </c>
      <c r="H1492" t="s">
        <v>18</v>
      </c>
      <c r="I1492" t="s">
        <v>30</v>
      </c>
      <c r="J1492" t="s">
        <v>16</v>
      </c>
      <c r="K1492" t="s">
        <v>16</v>
      </c>
      <c r="L1492">
        <v>4</v>
      </c>
      <c r="M1492" s="7">
        <v>83.83</v>
      </c>
      <c r="N1492" s="7">
        <v>1074.78</v>
      </c>
      <c r="O1492" t="s">
        <v>16</v>
      </c>
    </row>
    <row r="1493" spans="1:15" x14ac:dyDescent="0.3">
      <c r="A1493" t="s">
        <v>1518</v>
      </c>
      <c r="B1493" t="s">
        <v>15</v>
      </c>
      <c r="C1493">
        <v>21</v>
      </c>
      <c r="D1493" t="s">
        <v>20</v>
      </c>
      <c r="E1493">
        <v>35</v>
      </c>
      <c r="F1493" t="str">
        <f t="shared" si="23"/>
        <v>25-48 Months</v>
      </c>
      <c r="G1493" t="s">
        <v>17</v>
      </c>
      <c r="H1493" t="s">
        <v>36</v>
      </c>
      <c r="I1493" t="s">
        <v>19</v>
      </c>
      <c r="J1493" t="s">
        <v>16</v>
      </c>
      <c r="K1493" t="s">
        <v>20</v>
      </c>
      <c r="L1493">
        <v>1</v>
      </c>
      <c r="M1493" s="7">
        <v>58.47</v>
      </c>
      <c r="N1493" s="7">
        <v>1908.97</v>
      </c>
      <c r="O1493" t="s">
        <v>20</v>
      </c>
    </row>
    <row r="1494" spans="1:15" x14ac:dyDescent="0.3">
      <c r="A1494" t="s">
        <v>1519</v>
      </c>
      <c r="B1494" t="s">
        <v>15</v>
      </c>
      <c r="C1494">
        <v>31</v>
      </c>
      <c r="D1494" t="s">
        <v>20</v>
      </c>
      <c r="E1494">
        <v>59</v>
      </c>
      <c r="F1494" t="str">
        <f t="shared" si="23"/>
        <v>49+ Months</v>
      </c>
      <c r="G1494" t="s">
        <v>17</v>
      </c>
      <c r="H1494" t="s">
        <v>18</v>
      </c>
      <c r="I1494" t="s">
        <v>30</v>
      </c>
      <c r="J1494" t="s">
        <v>20</v>
      </c>
      <c r="K1494" t="s">
        <v>16</v>
      </c>
      <c r="L1494">
        <v>4</v>
      </c>
      <c r="M1494" s="7">
        <v>71.16</v>
      </c>
      <c r="N1494" s="7">
        <v>4483.41</v>
      </c>
      <c r="O1494" t="s">
        <v>20</v>
      </c>
    </row>
    <row r="1495" spans="1:15" x14ac:dyDescent="0.3">
      <c r="A1495" t="s">
        <v>1520</v>
      </c>
      <c r="B1495" t="s">
        <v>22</v>
      </c>
      <c r="C1495">
        <v>58</v>
      </c>
      <c r="D1495" t="s">
        <v>20</v>
      </c>
      <c r="E1495">
        <v>21</v>
      </c>
      <c r="F1495" t="str">
        <f t="shared" si="23"/>
        <v>13-24 Months</v>
      </c>
      <c r="G1495" t="s">
        <v>17</v>
      </c>
      <c r="H1495" t="s">
        <v>36</v>
      </c>
      <c r="I1495" t="s">
        <v>24</v>
      </c>
      <c r="J1495" t="s">
        <v>20</v>
      </c>
      <c r="K1495" t="s">
        <v>20</v>
      </c>
      <c r="L1495">
        <v>5</v>
      </c>
      <c r="M1495" s="7">
        <v>71.13</v>
      </c>
      <c r="N1495" s="7">
        <v>1383.96</v>
      </c>
      <c r="O1495" t="s">
        <v>16</v>
      </c>
    </row>
    <row r="1496" spans="1:15" x14ac:dyDescent="0.3">
      <c r="A1496" t="s">
        <v>1521</v>
      </c>
      <c r="B1496" t="s">
        <v>22</v>
      </c>
      <c r="C1496">
        <v>58</v>
      </c>
      <c r="D1496" t="s">
        <v>20</v>
      </c>
      <c r="E1496">
        <v>54</v>
      </c>
      <c r="F1496" t="str">
        <f t="shared" si="23"/>
        <v>49+ Months</v>
      </c>
      <c r="G1496" t="s">
        <v>17</v>
      </c>
      <c r="H1496" t="s">
        <v>36</v>
      </c>
      <c r="I1496" t="s">
        <v>30</v>
      </c>
      <c r="J1496" t="s">
        <v>20</v>
      </c>
      <c r="K1496" t="s">
        <v>20</v>
      </c>
      <c r="L1496">
        <v>6</v>
      </c>
      <c r="M1496" s="7">
        <v>71.64</v>
      </c>
      <c r="N1496" s="7">
        <v>3652.69</v>
      </c>
      <c r="O1496" t="s">
        <v>16</v>
      </c>
    </row>
    <row r="1497" spans="1:15" x14ac:dyDescent="0.3">
      <c r="A1497" t="s">
        <v>1522</v>
      </c>
      <c r="B1497" t="s">
        <v>15</v>
      </c>
      <c r="C1497">
        <v>42</v>
      </c>
      <c r="D1497" t="s">
        <v>20</v>
      </c>
      <c r="E1497">
        <v>30</v>
      </c>
      <c r="F1497" t="str">
        <f t="shared" si="23"/>
        <v>25-48 Months</v>
      </c>
      <c r="G1497" t="s">
        <v>35</v>
      </c>
      <c r="H1497" t="s">
        <v>18</v>
      </c>
      <c r="I1497" t="s">
        <v>24</v>
      </c>
      <c r="J1497" t="s">
        <v>16</v>
      </c>
      <c r="K1497" t="s">
        <v>16</v>
      </c>
      <c r="L1497">
        <v>3</v>
      </c>
      <c r="M1497" s="7">
        <v>70.75</v>
      </c>
      <c r="N1497" s="7">
        <v>2263.4499999999998</v>
      </c>
      <c r="O1497" t="s">
        <v>20</v>
      </c>
    </row>
    <row r="1498" spans="1:15" x14ac:dyDescent="0.3">
      <c r="A1498" t="s">
        <v>1523</v>
      </c>
      <c r="B1498" t="s">
        <v>22</v>
      </c>
      <c r="C1498">
        <v>75</v>
      </c>
      <c r="D1498" t="s">
        <v>16</v>
      </c>
      <c r="E1498">
        <v>48</v>
      </c>
      <c r="F1498" t="str">
        <f t="shared" si="23"/>
        <v>25-48 Months</v>
      </c>
      <c r="G1498" t="s">
        <v>17</v>
      </c>
      <c r="H1498" t="s">
        <v>18</v>
      </c>
      <c r="I1498" t="s">
        <v>24</v>
      </c>
      <c r="J1498" t="s">
        <v>20</v>
      </c>
      <c r="K1498" t="s">
        <v>20</v>
      </c>
      <c r="L1498">
        <v>4</v>
      </c>
      <c r="M1498" s="7">
        <v>78.05</v>
      </c>
      <c r="N1498" s="7">
        <v>3795.65</v>
      </c>
      <c r="O1498" t="s">
        <v>20</v>
      </c>
    </row>
    <row r="1499" spans="1:15" x14ac:dyDescent="0.3">
      <c r="A1499" t="s">
        <v>1524</v>
      </c>
      <c r="B1499" t="s">
        <v>22</v>
      </c>
      <c r="C1499">
        <v>72</v>
      </c>
      <c r="D1499" t="s">
        <v>16</v>
      </c>
      <c r="E1499">
        <v>35</v>
      </c>
      <c r="F1499" t="str">
        <f t="shared" si="23"/>
        <v>25-48 Months</v>
      </c>
      <c r="G1499" t="s">
        <v>17</v>
      </c>
      <c r="H1499" t="s">
        <v>36</v>
      </c>
      <c r="I1499" t="s">
        <v>30</v>
      </c>
      <c r="J1499" t="s">
        <v>16</v>
      </c>
      <c r="K1499" t="s">
        <v>20</v>
      </c>
      <c r="L1499">
        <v>2</v>
      </c>
      <c r="M1499" s="7">
        <v>49.56</v>
      </c>
      <c r="N1499" s="7">
        <v>1816.53</v>
      </c>
      <c r="O1499" t="s">
        <v>20</v>
      </c>
    </row>
    <row r="1500" spans="1:15" x14ac:dyDescent="0.3">
      <c r="A1500" t="s">
        <v>1525</v>
      </c>
      <c r="B1500" t="s">
        <v>15</v>
      </c>
      <c r="C1500">
        <v>67</v>
      </c>
      <c r="D1500" t="s">
        <v>16</v>
      </c>
      <c r="E1500">
        <v>38</v>
      </c>
      <c r="F1500" t="str">
        <f t="shared" si="23"/>
        <v>25-48 Months</v>
      </c>
      <c r="G1500" t="s">
        <v>17</v>
      </c>
      <c r="H1500" t="s">
        <v>18</v>
      </c>
      <c r="I1500" t="s">
        <v>30</v>
      </c>
      <c r="J1500" t="s">
        <v>16</v>
      </c>
      <c r="K1500" t="s">
        <v>20</v>
      </c>
      <c r="L1500">
        <v>6</v>
      </c>
      <c r="M1500" s="7">
        <v>84.45</v>
      </c>
      <c r="N1500" s="7">
        <v>2960.8</v>
      </c>
      <c r="O1500" t="s">
        <v>16</v>
      </c>
    </row>
    <row r="1501" spans="1:15" x14ac:dyDescent="0.3">
      <c r="A1501" t="s">
        <v>1526</v>
      </c>
      <c r="B1501" t="s">
        <v>15</v>
      </c>
      <c r="C1501">
        <v>27</v>
      </c>
      <c r="D1501" t="s">
        <v>20</v>
      </c>
      <c r="E1501">
        <v>31</v>
      </c>
      <c r="F1501" t="str">
        <f t="shared" si="23"/>
        <v>25-48 Months</v>
      </c>
      <c r="G1501" t="s">
        <v>17</v>
      </c>
      <c r="H1501" t="s">
        <v>18</v>
      </c>
      <c r="I1501" t="s">
        <v>24</v>
      </c>
      <c r="J1501" t="s">
        <v>20</v>
      </c>
      <c r="K1501" t="s">
        <v>16</v>
      </c>
      <c r="L1501">
        <v>2</v>
      </c>
      <c r="M1501" s="7">
        <v>61.56</v>
      </c>
      <c r="N1501" s="7">
        <v>1883.66</v>
      </c>
      <c r="O1501" t="s">
        <v>16</v>
      </c>
    </row>
    <row r="1502" spans="1:15" x14ac:dyDescent="0.3">
      <c r="A1502" t="s">
        <v>1527</v>
      </c>
      <c r="B1502" t="s">
        <v>15</v>
      </c>
      <c r="C1502">
        <v>38</v>
      </c>
      <c r="D1502" t="s">
        <v>20</v>
      </c>
      <c r="E1502">
        <v>24</v>
      </c>
      <c r="F1502" t="str">
        <f t="shared" si="23"/>
        <v>13-24 Months</v>
      </c>
      <c r="G1502" t="s">
        <v>17</v>
      </c>
      <c r="H1502" t="s">
        <v>36</v>
      </c>
      <c r="I1502" t="s">
        <v>24</v>
      </c>
      <c r="J1502" t="s">
        <v>20</v>
      </c>
      <c r="K1502" t="s">
        <v>20</v>
      </c>
      <c r="L1502">
        <v>2</v>
      </c>
      <c r="M1502" s="7">
        <v>59.22</v>
      </c>
      <c r="N1502" s="7">
        <v>1531.45</v>
      </c>
      <c r="O1502" t="s">
        <v>16</v>
      </c>
    </row>
    <row r="1503" spans="1:15" x14ac:dyDescent="0.3">
      <c r="A1503" t="s">
        <v>1528</v>
      </c>
      <c r="B1503" t="s">
        <v>22</v>
      </c>
      <c r="C1503">
        <v>53</v>
      </c>
      <c r="D1503" t="s">
        <v>20</v>
      </c>
      <c r="E1503">
        <v>49</v>
      </c>
      <c r="F1503" t="str">
        <f t="shared" si="23"/>
        <v>49+ Months</v>
      </c>
      <c r="G1503" t="s">
        <v>23</v>
      </c>
      <c r="H1503" t="s">
        <v>18</v>
      </c>
      <c r="I1503" t="s">
        <v>27</v>
      </c>
      <c r="J1503" t="s">
        <v>16</v>
      </c>
      <c r="K1503" t="s">
        <v>20</v>
      </c>
      <c r="L1503">
        <v>5</v>
      </c>
      <c r="M1503" s="7">
        <v>76.38</v>
      </c>
      <c r="N1503" s="7">
        <v>3790.42</v>
      </c>
      <c r="O1503" t="s">
        <v>20</v>
      </c>
    </row>
    <row r="1504" spans="1:15" x14ac:dyDescent="0.3">
      <c r="A1504" t="s">
        <v>1529</v>
      </c>
      <c r="B1504" t="s">
        <v>22</v>
      </c>
      <c r="C1504">
        <v>29</v>
      </c>
      <c r="D1504" t="s">
        <v>20</v>
      </c>
      <c r="E1504">
        <v>32</v>
      </c>
      <c r="F1504" t="str">
        <f t="shared" si="23"/>
        <v>25-48 Months</v>
      </c>
      <c r="G1504" t="s">
        <v>17</v>
      </c>
      <c r="H1504" t="s">
        <v>20</v>
      </c>
      <c r="I1504" t="s">
        <v>27</v>
      </c>
      <c r="J1504" t="s">
        <v>20</v>
      </c>
      <c r="K1504" t="s">
        <v>20</v>
      </c>
      <c r="L1504">
        <v>4</v>
      </c>
      <c r="M1504" s="7">
        <v>33.65</v>
      </c>
      <c r="N1504" s="7">
        <v>1137.05</v>
      </c>
      <c r="O1504" t="s">
        <v>20</v>
      </c>
    </row>
    <row r="1505" spans="1:15" x14ac:dyDescent="0.3">
      <c r="A1505" t="s">
        <v>1530</v>
      </c>
      <c r="B1505" t="s">
        <v>15</v>
      </c>
      <c r="C1505">
        <v>44</v>
      </c>
      <c r="D1505" t="s">
        <v>20</v>
      </c>
      <c r="E1505">
        <v>55</v>
      </c>
      <c r="F1505" t="str">
        <f t="shared" si="23"/>
        <v>49+ Months</v>
      </c>
      <c r="G1505" t="s">
        <v>35</v>
      </c>
      <c r="H1505" t="s">
        <v>36</v>
      </c>
      <c r="I1505" t="s">
        <v>24</v>
      </c>
      <c r="J1505" t="s">
        <v>16</v>
      </c>
      <c r="K1505" t="s">
        <v>16</v>
      </c>
      <c r="L1505">
        <v>2</v>
      </c>
      <c r="M1505" s="7">
        <v>59.39</v>
      </c>
      <c r="N1505" s="7">
        <v>3508.72</v>
      </c>
      <c r="O1505" t="s">
        <v>20</v>
      </c>
    </row>
    <row r="1506" spans="1:15" x14ac:dyDescent="0.3">
      <c r="A1506" t="s">
        <v>1531</v>
      </c>
      <c r="B1506" t="s">
        <v>15</v>
      </c>
      <c r="C1506">
        <v>57</v>
      </c>
      <c r="D1506" t="s">
        <v>20</v>
      </c>
      <c r="E1506">
        <v>58</v>
      </c>
      <c r="F1506" t="str">
        <f t="shared" si="23"/>
        <v>49+ Months</v>
      </c>
      <c r="G1506" t="s">
        <v>35</v>
      </c>
      <c r="H1506" t="s">
        <v>18</v>
      </c>
      <c r="I1506" t="s">
        <v>30</v>
      </c>
      <c r="J1506" t="s">
        <v>16</v>
      </c>
      <c r="K1506" t="s">
        <v>20</v>
      </c>
      <c r="L1506">
        <v>5</v>
      </c>
      <c r="M1506" s="7">
        <v>73.180000000000007</v>
      </c>
      <c r="N1506" s="7">
        <v>4370.1000000000004</v>
      </c>
      <c r="O1506" t="s">
        <v>20</v>
      </c>
    </row>
    <row r="1507" spans="1:15" x14ac:dyDescent="0.3">
      <c r="A1507" t="s">
        <v>1532</v>
      </c>
      <c r="B1507" t="s">
        <v>15</v>
      </c>
      <c r="C1507">
        <v>19</v>
      </c>
      <c r="D1507" t="s">
        <v>20</v>
      </c>
      <c r="E1507">
        <v>3</v>
      </c>
      <c r="F1507" t="str">
        <f t="shared" si="23"/>
        <v>0-6 Months</v>
      </c>
      <c r="G1507" t="s">
        <v>17</v>
      </c>
      <c r="H1507" t="s">
        <v>36</v>
      </c>
      <c r="I1507" t="s">
        <v>19</v>
      </c>
      <c r="J1507" t="s">
        <v>16</v>
      </c>
      <c r="K1507" t="s">
        <v>20</v>
      </c>
      <c r="L1507">
        <v>5</v>
      </c>
      <c r="M1507" s="7">
        <v>60.88</v>
      </c>
      <c r="N1507" s="7">
        <v>177.6</v>
      </c>
      <c r="O1507" t="s">
        <v>20</v>
      </c>
    </row>
    <row r="1508" spans="1:15" x14ac:dyDescent="0.3">
      <c r="A1508" t="s">
        <v>1533</v>
      </c>
      <c r="B1508" t="s">
        <v>22</v>
      </c>
      <c r="C1508">
        <v>71</v>
      </c>
      <c r="D1508" t="s">
        <v>16</v>
      </c>
      <c r="E1508">
        <v>69</v>
      </c>
      <c r="F1508" t="str">
        <f t="shared" si="23"/>
        <v>49+ Months</v>
      </c>
      <c r="G1508" t="s">
        <v>35</v>
      </c>
      <c r="H1508" t="s">
        <v>36</v>
      </c>
      <c r="I1508" t="s">
        <v>30</v>
      </c>
      <c r="J1508" t="s">
        <v>20</v>
      </c>
      <c r="K1508" t="s">
        <v>20</v>
      </c>
      <c r="L1508">
        <v>8</v>
      </c>
      <c r="M1508" s="7">
        <v>68.040000000000006</v>
      </c>
      <c r="N1508" s="7">
        <v>4550.99</v>
      </c>
      <c r="O1508" t="s">
        <v>20</v>
      </c>
    </row>
    <row r="1509" spans="1:15" x14ac:dyDescent="0.3">
      <c r="A1509" t="s">
        <v>1534</v>
      </c>
      <c r="B1509" t="s">
        <v>22</v>
      </c>
      <c r="C1509">
        <v>30</v>
      </c>
      <c r="D1509" t="s">
        <v>20</v>
      </c>
      <c r="E1509">
        <v>10</v>
      </c>
      <c r="F1509" t="str">
        <f t="shared" si="23"/>
        <v>7-12 Months</v>
      </c>
      <c r="G1509" t="s">
        <v>17</v>
      </c>
      <c r="H1509" t="s">
        <v>18</v>
      </c>
      <c r="I1509" t="s">
        <v>27</v>
      </c>
      <c r="J1509" t="s">
        <v>16</v>
      </c>
      <c r="K1509" t="s">
        <v>20</v>
      </c>
      <c r="L1509">
        <v>2</v>
      </c>
      <c r="M1509" s="7">
        <v>82.46</v>
      </c>
      <c r="N1509" s="7">
        <v>768.04</v>
      </c>
      <c r="O1509" t="s">
        <v>16</v>
      </c>
    </row>
    <row r="1510" spans="1:15" x14ac:dyDescent="0.3">
      <c r="A1510" t="s">
        <v>1535</v>
      </c>
      <c r="B1510" t="s">
        <v>22</v>
      </c>
      <c r="C1510">
        <v>70</v>
      </c>
      <c r="D1510" t="s">
        <v>16</v>
      </c>
      <c r="E1510">
        <v>25</v>
      </c>
      <c r="F1510" t="str">
        <f t="shared" si="23"/>
        <v>25-48 Months</v>
      </c>
      <c r="G1510" t="s">
        <v>17</v>
      </c>
      <c r="H1510" t="s">
        <v>18</v>
      </c>
      <c r="I1510" t="s">
        <v>24</v>
      </c>
      <c r="J1510" t="s">
        <v>20</v>
      </c>
      <c r="K1510" t="s">
        <v>20</v>
      </c>
      <c r="L1510">
        <v>3</v>
      </c>
      <c r="M1510" s="7">
        <v>83.01</v>
      </c>
      <c r="N1510" s="7">
        <v>2051.27</v>
      </c>
      <c r="O1510" t="s">
        <v>16</v>
      </c>
    </row>
    <row r="1511" spans="1:15" x14ac:dyDescent="0.3">
      <c r="A1511" t="s">
        <v>1536</v>
      </c>
      <c r="B1511" t="s">
        <v>22</v>
      </c>
      <c r="C1511">
        <v>49</v>
      </c>
      <c r="D1511" t="s">
        <v>20</v>
      </c>
      <c r="E1511">
        <v>68</v>
      </c>
      <c r="F1511" t="str">
        <f t="shared" si="23"/>
        <v>49+ Months</v>
      </c>
      <c r="G1511" t="s">
        <v>17</v>
      </c>
      <c r="H1511" t="s">
        <v>18</v>
      </c>
      <c r="I1511" t="s">
        <v>27</v>
      </c>
      <c r="J1511" t="s">
        <v>16</v>
      </c>
      <c r="K1511" t="s">
        <v>20</v>
      </c>
      <c r="L1511">
        <v>4</v>
      </c>
      <c r="M1511" s="7">
        <v>73.25</v>
      </c>
      <c r="N1511" s="7">
        <v>5312.05</v>
      </c>
      <c r="O1511" t="s">
        <v>20</v>
      </c>
    </row>
    <row r="1512" spans="1:15" x14ac:dyDescent="0.3">
      <c r="A1512" t="s">
        <v>1537</v>
      </c>
      <c r="B1512" t="s">
        <v>15</v>
      </c>
      <c r="C1512">
        <v>48</v>
      </c>
      <c r="D1512" t="s">
        <v>20</v>
      </c>
      <c r="E1512">
        <v>61</v>
      </c>
      <c r="F1512" t="str">
        <f t="shared" si="23"/>
        <v>49+ Months</v>
      </c>
      <c r="G1512" t="s">
        <v>17</v>
      </c>
      <c r="H1512" t="s">
        <v>18</v>
      </c>
      <c r="I1512" t="s">
        <v>19</v>
      </c>
      <c r="J1512" t="s">
        <v>16</v>
      </c>
      <c r="K1512" t="s">
        <v>16</v>
      </c>
      <c r="L1512">
        <v>4</v>
      </c>
      <c r="M1512" s="7">
        <v>72.02</v>
      </c>
      <c r="N1512" s="7">
        <v>4377.8</v>
      </c>
      <c r="O1512" t="s">
        <v>20</v>
      </c>
    </row>
    <row r="1513" spans="1:15" x14ac:dyDescent="0.3">
      <c r="A1513" t="s">
        <v>1538</v>
      </c>
      <c r="B1513" t="s">
        <v>15</v>
      </c>
      <c r="C1513">
        <v>33</v>
      </c>
      <c r="D1513" t="s">
        <v>20</v>
      </c>
      <c r="E1513">
        <v>29</v>
      </c>
      <c r="F1513" t="str">
        <f t="shared" si="23"/>
        <v>25-48 Months</v>
      </c>
      <c r="G1513" t="s">
        <v>17</v>
      </c>
      <c r="H1513" t="s">
        <v>18</v>
      </c>
      <c r="I1513" t="s">
        <v>30</v>
      </c>
      <c r="J1513" t="s">
        <v>16</v>
      </c>
      <c r="K1513" t="s">
        <v>20</v>
      </c>
      <c r="L1513">
        <v>2</v>
      </c>
      <c r="M1513" s="7">
        <v>76.37</v>
      </c>
      <c r="N1513" s="7">
        <v>2360.37</v>
      </c>
      <c r="O1513" t="s">
        <v>20</v>
      </c>
    </row>
    <row r="1514" spans="1:15" x14ac:dyDescent="0.3">
      <c r="A1514" t="s">
        <v>1539</v>
      </c>
      <c r="B1514" t="s">
        <v>15</v>
      </c>
      <c r="C1514">
        <v>49</v>
      </c>
      <c r="D1514" t="s">
        <v>20</v>
      </c>
      <c r="E1514">
        <v>19</v>
      </c>
      <c r="F1514" t="str">
        <f t="shared" si="23"/>
        <v>13-24 Months</v>
      </c>
      <c r="G1514" t="s">
        <v>23</v>
      </c>
      <c r="H1514" t="s">
        <v>18</v>
      </c>
      <c r="I1514" t="s">
        <v>30</v>
      </c>
      <c r="J1514" t="s">
        <v>20</v>
      </c>
      <c r="K1514" t="s">
        <v>16</v>
      </c>
      <c r="L1514">
        <v>3</v>
      </c>
      <c r="M1514" s="7">
        <v>78.03</v>
      </c>
      <c r="N1514" s="7">
        <v>1557.8</v>
      </c>
      <c r="O1514" t="s">
        <v>20</v>
      </c>
    </row>
    <row r="1515" spans="1:15" x14ac:dyDescent="0.3">
      <c r="A1515" t="s">
        <v>1540</v>
      </c>
      <c r="B1515" t="s">
        <v>15</v>
      </c>
      <c r="C1515">
        <v>49</v>
      </c>
      <c r="D1515" t="s">
        <v>20</v>
      </c>
      <c r="E1515">
        <v>43</v>
      </c>
      <c r="F1515" t="str">
        <f t="shared" si="23"/>
        <v>25-48 Months</v>
      </c>
      <c r="G1515" t="s">
        <v>17</v>
      </c>
      <c r="H1515" t="s">
        <v>18</v>
      </c>
      <c r="I1515" t="s">
        <v>27</v>
      </c>
      <c r="J1515" t="s">
        <v>20</v>
      </c>
      <c r="K1515" t="s">
        <v>20</v>
      </c>
      <c r="L1515">
        <v>6</v>
      </c>
      <c r="M1515" s="7">
        <v>84.52</v>
      </c>
      <c r="N1515" s="7">
        <v>3915.91</v>
      </c>
      <c r="O1515" t="s">
        <v>20</v>
      </c>
    </row>
    <row r="1516" spans="1:15" x14ac:dyDescent="0.3">
      <c r="A1516" t="s">
        <v>1541</v>
      </c>
      <c r="B1516" t="s">
        <v>22</v>
      </c>
      <c r="C1516">
        <v>51</v>
      </c>
      <c r="D1516" t="s">
        <v>20</v>
      </c>
      <c r="E1516">
        <v>66</v>
      </c>
      <c r="F1516" t="str">
        <f t="shared" si="23"/>
        <v>49+ Months</v>
      </c>
      <c r="G1516" t="s">
        <v>23</v>
      </c>
      <c r="H1516" t="s">
        <v>36</v>
      </c>
      <c r="I1516" t="s">
        <v>24</v>
      </c>
      <c r="J1516" t="s">
        <v>20</v>
      </c>
      <c r="K1516" t="s">
        <v>20</v>
      </c>
      <c r="L1516">
        <v>2</v>
      </c>
      <c r="M1516" s="7">
        <v>47.87</v>
      </c>
      <c r="N1516" s="7">
        <v>3385.73</v>
      </c>
      <c r="O1516" t="s">
        <v>20</v>
      </c>
    </row>
    <row r="1517" spans="1:15" x14ac:dyDescent="0.3">
      <c r="A1517" t="s">
        <v>1542</v>
      </c>
      <c r="B1517" t="s">
        <v>22</v>
      </c>
      <c r="C1517">
        <v>28</v>
      </c>
      <c r="D1517" t="s">
        <v>20</v>
      </c>
      <c r="E1517">
        <v>61</v>
      </c>
      <c r="F1517" t="str">
        <f t="shared" si="23"/>
        <v>49+ Months</v>
      </c>
      <c r="G1517" t="s">
        <v>17</v>
      </c>
      <c r="H1517" t="s">
        <v>36</v>
      </c>
      <c r="I1517" t="s">
        <v>24</v>
      </c>
      <c r="J1517" t="s">
        <v>20</v>
      </c>
      <c r="K1517" t="s">
        <v>16</v>
      </c>
      <c r="L1517">
        <v>6</v>
      </c>
      <c r="M1517" s="7">
        <v>65.36</v>
      </c>
      <c r="N1517" s="7">
        <v>4118.68</v>
      </c>
      <c r="O1517" t="s">
        <v>20</v>
      </c>
    </row>
    <row r="1518" spans="1:15" x14ac:dyDescent="0.3">
      <c r="A1518" t="s">
        <v>1543</v>
      </c>
      <c r="B1518" t="s">
        <v>15</v>
      </c>
      <c r="C1518">
        <v>27</v>
      </c>
      <c r="D1518" t="s">
        <v>20</v>
      </c>
      <c r="E1518">
        <v>43</v>
      </c>
      <c r="F1518" t="str">
        <f t="shared" si="23"/>
        <v>25-48 Months</v>
      </c>
      <c r="G1518" t="s">
        <v>23</v>
      </c>
      <c r="H1518" t="s">
        <v>36</v>
      </c>
      <c r="I1518" t="s">
        <v>24</v>
      </c>
      <c r="J1518" t="s">
        <v>20</v>
      </c>
      <c r="K1518" t="s">
        <v>20</v>
      </c>
      <c r="L1518">
        <v>2</v>
      </c>
      <c r="M1518" s="7">
        <v>57.31</v>
      </c>
      <c r="N1518" s="7">
        <v>2610.6999999999998</v>
      </c>
      <c r="O1518" t="s">
        <v>20</v>
      </c>
    </row>
    <row r="1519" spans="1:15" x14ac:dyDescent="0.3">
      <c r="A1519" t="s">
        <v>1544</v>
      </c>
      <c r="B1519" t="s">
        <v>15</v>
      </c>
      <c r="C1519">
        <v>32</v>
      </c>
      <c r="D1519" t="s">
        <v>20</v>
      </c>
      <c r="E1519">
        <v>25</v>
      </c>
      <c r="F1519" t="str">
        <f t="shared" si="23"/>
        <v>25-48 Months</v>
      </c>
      <c r="G1519" t="s">
        <v>17</v>
      </c>
      <c r="H1519" t="s">
        <v>36</v>
      </c>
      <c r="I1519" t="s">
        <v>27</v>
      </c>
      <c r="J1519" t="s">
        <v>20</v>
      </c>
      <c r="K1519" t="s">
        <v>20</v>
      </c>
      <c r="L1519">
        <v>5</v>
      </c>
      <c r="M1519" s="7">
        <v>73.989999999999995</v>
      </c>
      <c r="N1519" s="7">
        <v>1923.17</v>
      </c>
      <c r="O1519" t="s">
        <v>16</v>
      </c>
    </row>
    <row r="1520" spans="1:15" x14ac:dyDescent="0.3">
      <c r="A1520" t="s">
        <v>1545</v>
      </c>
      <c r="B1520" t="s">
        <v>22</v>
      </c>
      <c r="C1520">
        <v>34</v>
      </c>
      <c r="D1520" t="s">
        <v>20</v>
      </c>
      <c r="E1520">
        <v>20</v>
      </c>
      <c r="F1520" t="str">
        <f t="shared" si="23"/>
        <v>13-24 Months</v>
      </c>
      <c r="G1520" t="s">
        <v>17</v>
      </c>
      <c r="H1520" t="s">
        <v>20</v>
      </c>
      <c r="I1520" t="s">
        <v>30</v>
      </c>
      <c r="J1520" t="s">
        <v>16</v>
      </c>
      <c r="K1520" t="s">
        <v>16</v>
      </c>
      <c r="L1520">
        <v>7</v>
      </c>
      <c r="M1520" s="7">
        <v>65.760000000000005</v>
      </c>
      <c r="N1520" s="7">
        <v>1358</v>
      </c>
      <c r="O1520" t="s">
        <v>20</v>
      </c>
    </row>
    <row r="1521" spans="1:15" x14ac:dyDescent="0.3">
      <c r="A1521" t="s">
        <v>1546</v>
      </c>
      <c r="B1521" t="s">
        <v>15</v>
      </c>
      <c r="C1521">
        <v>57</v>
      </c>
      <c r="D1521" t="s">
        <v>20</v>
      </c>
      <c r="E1521">
        <v>48</v>
      </c>
      <c r="F1521" t="str">
        <f t="shared" si="23"/>
        <v>25-48 Months</v>
      </c>
      <c r="G1521" t="s">
        <v>17</v>
      </c>
      <c r="H1521" t="s">
        <v>36</v>
      </c>
      <c r="I1521" t="s">
        <v>30</v>
      </c>
      <c r="J1521" t="s">
        <v>20</v>
      </c>
      <c r="K1521" t="s">
        <v>20</v>
      </c>
      <c r="L1521">
        <v>4</v>
      </c>
      <c r="M1521" s="7">
        <v>53.86</v>
      </c>
      <c r="N1521" s="7">
        <v>2674.45</v>
      </c>
      <c r="O1521" t="s">
        <v>20</v>
      </c>
    </row>
    <row r="1522" spans="1:15" x14ac:dyDescent="0.3">
      <c r="A1522" t="s">
        <v>1547</v>
      </c>
      <c r="B1522" t="s">
        <v>22</v>
      </c>
      <c r="C1522">
        <v>35</v>
      </c>
      <c r="D1522" t="s">
        <v>20</v>
      </c>
      <c r="E1522">
        <v>24</v>
      </c>
      <c r="F1522" t="str">
        <f t="shared" si="23"/>
        <v>13-24 Months</v>
      </c>
      <c r="G1522" t="s">
        <v>17</v>
      </c>
      <c r="H1522" t="s">
        <v>36</v>
      </c>
      <c r="I1522" t="s">
        <v>24</v>
      </c>
      <c r="J1522" t="s">
        <v>20</v>
      </c>
      <c r="K1522" t="s">
        <v>20</v>
      </c>
      <c r="L1522">
        <v>4</v>
      </c>
      <c r="M1522" s="7">
        <v>59.41</v>
      </c>
      <c r="N1522" s="7">
        <v>1476.27</v>
      </c>
      <c r="O1522" t="s">
        <v>20</v>
      </c>
    </row>
    <row r="1523" spans="1:15" x14ac:dyDescent="0.3">
      <c r="A1523" t="s">
        <v>1548</v>
      </c>
      <c r="B1523" t="s">
        <v>15</v>
      </c>
      <c r="C1523">
        <v>72</v>
      </c>
      <c r="D1523" t="s">
        <v>16</v>
      </c>
      <c r="E1523">
        <v>11</v>
      </c>
      <c r="F1523" t="str">
        <f t="shared" si="23"/>
        <v>7-12 Months</v>
      </c>
      <c r="G1523" t="s">
        <v>17</v>
      </c>
      <c r="H1523" t="s">
        <v>18</v>
      </c>
      <c r="I1523" t="s">
        <v>27</v>
      </c>
      <c r="J1523" t="s">
        <v>20</v>
      </c>
      <c r="K1523" t="s">
        <v>20</v>
      </c>
      <c r="L1523">
        <v>4</v>
      </c>
      <c r="M1523" s="7">
        <v>88.4</v>
      </c>
      <c r="N1523" s="7">
        <v>953.64</v>
      </c>
      <c r="O1523" t="s">
        <v>20</v>
      </c>
    </row>
    <row r="1524" spans="1:15" x14ac:dyDescent="0.3">
      <c r="A1524" t="s">
        <v>1549</v>
      </c>
      <c r="B1524" t="s">
        <v>15</v>
      </c>
      <c r="C1524">
        <v>26</v>
      </c>
      <c r="D1524" t="s">
        <v>20</v>
      </c>
      <c r="E1524">
        <v>55</v>
      </c>
      <c r="F1524" t="str">
        <f t="shared" si="23"/>
        <v>49+ Months</v>
      </c>
      <c r="G1524" t="s">
        <v>35</v>
      </c>
      <c r="H1524" t="s">
        <v>20</v>
      </c>
      <c r="I1524" t="s">
        <v>27</v>
      </c>
      <c r="J1524" t="s">
        <v>20</v>
      </c>
      <c r="K1524" t="s">
        <v>20</v>
      </c>
      <c r="L1524">
        <v>4</v>
      </c>
      <c r="M1524" s="7">
        <v>34.909999999999997</v>
      </c>
      <c r="N1524" s="7">
        <v>1896.57</v>
      </c>
      <c r="O1524" t="s">
        <v>20</v>
      </c>
    </row>
    <row r="1525" spans="1:15" x14ac:dyDescent="0.3">
      <c r="A1525" t="s">
        <v>1550</v>
      </c>
      <c r="B1525" t="s">
        <v>15</v>
      </c>
      <c r="C1525">
        <v>42</v>
      </c>
      <c r="D1525" t="s">
        <v>20</v>
      </c>
      <c r="E1525">
        <v>28</v>
      </c>
      <c r="F1525" t="str">
        <f t="shared" si="23"/>
        <v>25-48 Months</v>
      </c>
      <c r="G1525" t="s">
        <v>17</v>
      </c>
      <c r="H1525" t="s">
        <v>18</v>
      </c>
      <c r="I1525" t="s">
        <v>30</v>
      </c>
      <c r="J1525" t="s">
        <v>20</v>
      </c>
      <c r="K1525" t="s">
        <v>20</v>
      </c>
      <c r="L1525">
        <v>7</v>
      </c>
      <c r="M1525" s="7">
        <v>86.23</v>
      </c>
      <c r="N1525" s="7">
        <v>2334.89</v>
      </c>
      <c r="O1525" t="s">
        <v>16</v>
      </c>
    </row>
    <row r="1526" spans="1:15" x14ac:dyDescent="0.3">
      <c r="A1526" t="s">
        <v>1551</v>
      </c>
      <c r="B1526" t="s">
        <v>15</v>
      </c>
      <c r="C1526">
        <v>57</v>
      </c>
      <c r="D1526" t="s">
        <v>20</v>
      </c>
      <c r="E1526">
        <v>69</v>
      </c>
      <c r="F1526" t="str">
        <f t="shared" si="23"/>
        <v>49+ Months</v>
      </c>
      <c r="G1526" t="s">
        <v>23</v>
      </c>
      <c r="H1526" t="s">
        <v>18</v>
      </c>
      <c r="I1526" t="s">
        <v>24</v>
      </c>
      <c r="J1526" t="s">
        <v>20</v>
      </c>
      <c r="K1526" t="s">
        <v>20</v>
      </c>
      <c r="L1526">
        <v>8</v>
      </c>
      <c r="M1526" s="7">
        <v>100.58</v>
      </c>
      <c r="N1526" s="7">
        <v>6549.45</v>
      </c>
      <c r="O1526" t="s">
        <v>20</v>
      </c>
    </row>
    <row r="1527" spans="1:15" x14ac:dyDescent="0.3">
      <c r="A1527" t="s">
        <v>1552</v>
      </c>
      <c r="B1527" t="s">
        <v>15</v>
      </c>
      <c r="C1527">
        <v>31</v>
      </c>
      <c r="D1527" t="s">
        <v>20</v>
      </c>
      <c r="E1527">
        <v>63</v>
      </c>
      <c r="F1527" t="str">
        <f t="shared" si="23"/>
        <v>49+ Months</v>
      </c>
      <c r="G1527" t="s">
        <v>23</v>
      </c>
      <c r="H1527" t="s">
        <v>36</v>
      </c>
      <c r="I1527" t="s">
        <v>24</v>
      </c>
      <c r="J1527" t="s">
        <v>20</v>
      </c>
      <c r="K1527" t="s">
        <v>20</v>
      </c>
      <c r="L1527">
        <v>5</v>
      </c>
      <c r="M1527" s="7">
        <v>59.72</v>
      </c>
      <c r="N1527" s="7">
        <v>3737.34</v>
      </c>
      <c r="O1527" t="s">
        <v>16</v>
      </c>
    </row>
    <row r="1528" spans="1:15" x14ac:dyDescent="0.3">
      <c r="A1528" t="s">
        <v>1553</v>
      </c>
      <c r="B1528" t="s">
        <v>15</v>
      </c>
      <c r="C1528">
        <v>75</v>
      </c>
      <c r="D1528" t="s">
        <v>16</v>
      </c>
      <c r="E1528">
        <v>59</v>
      </c>
      <c r="F1528" t="str">
        <f t="shared" si="23"/>
        <v>49+ Months</v>
      </c>
      <c r="G1528" t="s">
        <v>35</v>
      </c>
      <c r="H1528" t="s">
        <v>18</v>
      </c>
      <c r="I1528" t="s">
        <v>30</v>
      </c>
      <c r="J1528" t="s">
        <v>20</v>
      </c>
      <c r="K1528" t="s">
        <v>20</v>
      </c>
      <c r="L1528">
        <v>3</v>
      </c>
      <c r="M1528" s="7">
        <v>64.67</v>
      </c>
      <c r="N1528" s="7">
        <v>4059.69</v>
      </c>
      <c r="O1528" t="s">
        <v>20</v>
      </c>
    </row>
    <row r="1529" spans="1:15" x14ac:dyDescent="0.3">
      <c r="A1529" t="s">
        <v>1554</v>
      </c>
      <c r="B1529" t="s">
        <v>15</v>
      </c>
      <c r="C1529">
        <v>42</v>
      </c>
      <c r="D1529" t="s">
        <v>20</v>
      </c>
      <c r="E1529">
        <v>5</v>
      </c>
      <c r="F1529" t="str">
        <f t="shared" si="23"/>
        <v>0-6 Months</v>
      </c>
      <c r="G1529" t="s">
        <v>17</v>
      </c>
      <c r="H1529" t="s">
        <v>18</v>
      </c>
      <c r="I1529" t="s">
        <v>30</v>
      </c>
      <c r="J1529" t="s">
        <v>20</v>
      </c>
      <c r="K1529" t="s">
        <v>20</v>
      </c>
      <c r="L1529">
        <v>7</v>
      </c>
      <c r="M1529" s="7">
        <v>85.21</v>
      </c>
      <c r="N1529" s="7">
        <v>436.36</v>
      </c>
      <c r="O1529" t="s">
        <v>16</v>
      </c>
    </row>
    <row r="1530" spans="1:15" x14ac:dyDescent="0.3">
      <c r="A1530" t="s">
        <v>1555</v>
      </c>
      <c r="B1530" t="s">
        <v>22</v>
      </c>
      <c r="C1530">
        <v>67</v>
      </c>
      <c r="D1530" t="s">
        <v>16</v>
      </c>
      <c r="E1530">
        <v>51</v>
      </c>
      <c r="F1530" t="str">
        <f t="shared" si="23"/>
        <v>49+ Months</v>
      </c>
      <c r="G1530" t="s">
        <v>17</v>
      </c>
      <c r="H1530" t="s">
        <v>36</v>
      </c>
      <c r="I1530" t="s">
        <v>24</v>
      </c>
      <c r="J1530" t="s">
        <v>20</v>
      </c>
      <c r="K1530" t="s">
        <v>20</v>
      </c>
      <c r="L1530">
        <v>7</v>
      </c>
      <c r="M1530" s="7">
        <v>77.930000000000007</v>
      </c>
      <c r="N1530" s="7">
        <v>3692.2</v>
      </c>
      <c r="O1530" t="s">
        <v>20</v>
      </c>
    </row>
    <row r="1531" spans="1:15" x14ac:dyDescent="0.3">
      <c r="A1531" t="s">
        <v>1556</v>
      </c>
      <c r="B1531" t="s">
        <v>22</v>
      </c>
      <c r="C1531">
        <v>39</v>
      </c>
      <c r="D1531" t="s">
        <v>20</v>
      </c>
      <c r="E1531">
        <v>21</v>
      </c>
      <c r="F1531" t="str">
        <f t="shared" si="23"/>
        <v>13-24 Months</v>
      </c>
      <c r="G1531" t="s">
        <v>35</v>
      </c>
      <c r="H1531" t="s">
        <v>36</v>
      </c>
      <c r="I1531" t="s">
        <v>30</v>
      </c>
      <c r="J1531" t="s">
        <v>20</v>
      </c>
      <c r="K1531" t="s">
        <v>20</v>
      </c>
      <c r="L1531">
        <v>5</v>
      </c>
      <c r="M1531" s="7">
        <v>64.739999999999995</v>
      </c>
      <c r="N1531" s="7">
        <v>1427.23</v>
      </c>
      <c r="O1531" t="s">
        <v>20</v>
      </c>
    </row>
    <row r="1532" spans="1:15" x14ac:dyDescent="0.3">
      <c r="A1532" t="s">
        <v>1557</v>
      </c>
      <c r="B1532" t="s">
        <v>22</v>
      </c>
      <c r="C1532">
        <v>69</v>
      </c>
      <c r="D1532" t="s">
        <v>16</v>
      </c>
      <c r="E1532">
        <v>12</v>
      </c>
      <c r="F1532" t="str">
        <f t="shared" si="23"/>
        <v>7-12 Months</v>
      </c>
      <c r="G1532" t="s">
        <v>23</v>
      </c>
      <c r="H1532" t="s">
        <v>36</v>
      </c>
      <c r="I1532" t="s">
        <v>24</v>
      </c>
      <c r="J1532" t="s">
        <v>20</v>
      </c>
      <c r="K1532" t="s">
        <v>20</v>
      </c>
      <c r="L1532">
        <v>5</v>
      </c>
      <c r="M1532" s="7">
        <v>52.06</v>
      </c>
      <c r="N1532" s="7">
        <v>668.24</v>
      </c>
      <c r="O1532" t="s">
        <v>20</v>
      </c>
    </row>
    <row r="1533" spans="1:15" x14ac:dyDescent="0.3">
      <c r="A1533" t="s">
        <v>1558</v>
      </c>
      <c r="B1533" t="s">
        <v>22</v>
      </c>
      <c r="C1533">
        <v>47</v>
      </c>
      <c r="D1533" t="s">
        <v>20</v>
      </c>
      <c r="E1533">
        <v>50</v>
      </c>
      <c r="F1533" t="str">
        <f t="shared" si="23"/>
        <v>49+ Months</v>
      </c>
      <c r="G1533" t="s">
        <v>17</v>
      </c>
      <c r="H1533" t="s">
        <v>20</v>
      </c>
      <c r="I1533" t="s">
        <v>27</v>
      </c>
      <c r="J1533" t="s">
        <v>16</v>
      </c>
      <c r="K1533" t="s">
        <v>20</v>
      </c>
      <c r="L1533">
        <v>2</v>
      </c>
      <c r="M1533" s="7">
        <v>28.74</v>
      </c>
      <c r="N1533" s="7">
        <v>1512.74</v>
      </c>
      <c r="O1533" t="s">
        <v>20</v>
      </c>
    </row>
    <row r="1534" spans="1:15" x14ac:dyDescent="0.3">
      <c r="A1534" t="s">
        <v>1559</v>
      </c>
      <c r="B1534" t="s">
        <v>22</v>
      </c>
      <c r="C1534">
        <v>37</v>
      </c>
      <c r="D1534" t="s">
        <v>20</v>
      </c>
      <c r="E1534">
        <v>4</v>
      </c>
      <c r="F1534" t="str">
        <f t="shared" si="23"/>
        <v>0-6 Months</v>
      </c>
      <c r="G1534" t="s">
        <v>17</v>
      </c>
      <c r="H1534" t="s">
        <v>18</v>
      </c>
      <c r="I1534" t="s">
        <v>30</v>
      </c>
      <c r="J1534" t="s">
        <v>20</v>
      </c>
      <c r="K1534" t="s">
        <v>20</v>
      </c>
      <c r="L1534">
        <v>2</v>
      </c>
      <c r="M1534" s="7">
        <v>83.76</v>
      </c>
      <c r="N1534" s="7">
        <v>347.24</v>
      </c>
      <c r="O1534" t="s">
        <v>20</v>
      </c>
    </row>
    <row r="1535" spans="1:15" x14ac:dyDescent="0.3">
      <c r="A1535" t="s">
        <v>1560</v>
      </c>
      <c r="B1535" t="s">
        <v>15</v>
      </c>
      <c r="C1535">
        <v>38</v>
      </c>
      <c r="D1535" t="s">
        <v>20</v>
      </c>
      <c r="E1535">
        <v>42</v>
      </c>
      <c r="F1535" t="str">
        <f t="shared" si="23"/>
        <v>25-48 Months</v>
      </c>
      <c r="G1535" t="s">
        <v>17</v>
      </c>
      <c r="H1535" t="s">
        <v>18</v>
      </c>
      <c r="I1535" t="s">
        <v>24</v>
      </c>
      <c r="J1535" t="s">
        <v>16</v>
      </c>
      <c r="K1535" t="s">
        <v>20</v>
      </c>
      <c r="L1535">
        <v>5</v>
      </c>
      <c r="M1535" s="7">
        <v>82.51</v>
      </c>
      <c r="N1535" s="7">
        <v>3271.42</v>
      </c>
      <c r="O1535" t="s">
        <v>20</v>
      </c>
    </row>
    <row r="1536" spans="1:15" x14ac:dyDescent="0.3">
      <c r="A1536" t="s">
        <v>1561</v>
      </c>
      <c r="B1536" t="s">
        <v>15</v>
      </c>
      <c r="C1536">
        <v>61</v>
      </c>
      <c r="D1536" t="s">
        <v>16</v>
      </c>
      <c r="E1536">
        <v>38</v>
      </c>
      <c r="F1536" t="str">
        <f t="shared" si="23"/>
        <v>25-48 Months</v>
      </c>
      <c r="G1536" t="s">
        <v>23</v>
      </c>
      <c r="H1536" t="s">
        <v>36</v>
      </c>
      <c r="I1536" t="s">
        <v>30</v>
      </c>
      <c r="J1536" t="s">
        <v>20</v>
      </c>
      <c r="K1536" t="s">
        <v>20</v>
      </c>
      <c r="L1536">
        <v>6</v>
      </c>
      <c r="M1536" s="7">
        <v>65.3</v>
      </c>
      <c r="N1536" s="7">
        <v>2421.4499999999998</v>
      </c>
      <c r="O1536" t="s">
        <v>20</v>
      </c>
    </row>
    <row r="1537" spans="1:15" x14ac:dyDescent="0.3">
      <c r="A1537" t="s">
        <v>1562</v>
      </c>
      <c r="B1537" t="s">
        <v>22</v>
      </c>
      <c r="C1537">
        <v>49</v>
      </c>
      <c r="D1537" t="s">
        <v>20</v>
      </c>
      <c r="E1537">
        <v>25</v>
      </c>
      <c r="F1537" t="str">
        <f t="shared" si="23"/>
        <v>25-48 Months</v>
      </c>
      <c r="G1537" t="s">
        <v>23</v>
      </c>
      <c r="H1537" t="s">
        <v>18</v>
      </c>
      <c r="I1537" t="s">
        <v>19</v>
      </c>
      <c r="J1537" t="s">
        <v>20</v>
      </c>
      <c r="K1537" t="s">
        <v>20</v>
      </c>
      <c r="L1537">
        <v>4</v>
      </c>
      <c r="M1537" s="7">
        <v>79.06</v>
      </c>
      <c r="N1537" s="7">
        <v>1997.15</v>
      </c>
      <c r="O1537" t="s">
        <v>20</v>
      </c>
    </row>
    <row r="1538" spans="1:15" x14ac:dyDescent="0.3">
      <c r="A1538" t="s">
        <v>1563</v>
      </c>
      <c r="B1538" t="s">
        <v>15</v>
      </c>
      <c r="C1538">
        <v>68</v>
      </c>
      <c r="D1538" t="s">
        <v>16</v>
      </c>
      <c r="E1538">
        <v>14</v>
      </c>
      <c r="F1538" t="str">
        <f t="shared" ref="F1538:F1601" si="24">IF(E1538&lt;=6,"0-6 Months",
 IF(E1538&lt;=12,"7-12 Months",
 IF(E1538&lt;=24,"13-24 Months",
 IF(E1538&lt;=48,"25-48 Months","49+ Months"))))</f>
        <v>13-24 Months</v>
      </c>
      <c r="G1538" t="s">
        <v>17</v>
      </c>
      <c r="H1538" t="s">
        <v>36</v>
      </c>
      <c r="I1538" t="s">
        <v>24</v>
      </c>
      <c r="J1538" t="s">
        <v>20</v>
      </c>
      <c r="K1538" t="s">
        <v>16</v>
      </c>
      <c r="L1538">
        <v>4</v>
      </c>
      <c r="M1538" s="7">
        <v>60.44</v>
      </c>
      <c r="N1538" s="7">
        <v>788.87</v>
      </c>
      <c r="O1538" t="s">
        <v>20</v>
      </c>
    </row>
    <row r="1539" spans="1:15" x14ac:dyDescent="0.3">
      <c r="A1539" t="s">
        <v>1564</v>
      </c>
      <c r="B1539" t="s">
        <v>22</v>
      </c>
      <c r="C1539">
        <v>63</v>
      </c>
      <c r="D1539" t="s">
        <v>16</v>
      </c>
      <c r="E1539">
        <v>32</v>
      </c>
      <c r="F1539" t="str">
        <f t="shared" si="24"/>
        <v>25-48 Months</v>
      </c>
      <c r="G1539" t="s">
        <v>23</v>
      </c>
      <c r="H1539" t="s">
        <v>18</v>
      </c>
      <c r="I1539" t="s">
        <v>27</v>
      </c>
      <c r="J1539" t="s">
        <v>20</v>
      </c>
      <c r="K1539" t="s">
        <v>20</v>
      </c>
      <c r="L1539">
        <v>8</v>
      </c>
      <c r="M1539" s="7">
        <v>92.26</v>
      </c>
      <c r="N1539" s="7">
        <v>2766.33</v>
      </c>
      <c r="O1539" t="s">
        <v>20</v>
      </c>
    </row>
    <row r="1540" spans="1:15" x14ac:dyDescent="0.3">
      <c r="A1540" t="s">
        <v>1565</v>
      </c>
      <c r="B1540" t="s">
        <v>22</v>
      </c>
      <c r="C1540">
        <v>66</v>
      </c>
      <c r="D1540" t="s">
        <v>16</v>
      </c>
      <c r="E1540">
        <v>11</v>
      </c>
      <c r="F1540" t="str">
        <f t="shared" si="24"/>
        <v>7-12 Months</v>
      </c>
      <c r="G1540" t="s">
        <v>23</v>
      </c>
      <c r="H1540" t="s">
        <v>36</v>
      </c>
      <c r="I1540" t="s">
        <v>24</v>
      </c>
      <c r="J1540" t="s">
        <v>20</v>
      </c>
      <c r="K1540" t="s">
        <v>20</v>
      </c>
      <c r="L1540">
        <v>6</v>
      </c>
      <c r="M1540" s="7">
        <v>76.38</v>
      </c>
      <c r="N1540" s="7">
        <v>898.56</v>
      </c>
      <c r="O1540" t="s">
        <v>20</v>
      </c>
    </row>
    <row r="1541" spans="1:15" x14ac:dyDescent="0.3">
      <c r="A1541" t="s">
        <v>1566</v>
      </c>
      <c r="B1541" t="s">
        <v>15</v>
      </c>
      <c r="C1541">
        <v>73</v>
      </c>
      <c r="D1541" t="s">
        <v>16</v>
      </c>
      <c r="E1541">
        <v>61</v>
      </c>
      <c r="F1541" t="str">
        <f t="shared" si="24"/>
        <v>49+ Months</v>
      </c>
      <c r="G1541" t="s">
        <v>17</v>
      </c>
      <c r="H1541" t="s">
        <v>36</v>
      </c>
      <c r="I1541" t="s">
        <v>24</v>
      </c>
      <c r="J1541" t="s">
        <v>16</v>
      </c>
      <c r="K1541" t="s">
        <v>20</v>
      </c>
      <c r="L1541">
        <v>2</v>
      </c>
      <c r="M1541" s="7">
        <v>47.7</v>
      </c>
      <c r="N1541" s="7">
        <v>3004.06</v>
      </c>
      <c r="O1541" t="s">
        <v>20</v>
      </c>
    </row>
    <row r="1542" spans="1:15" x14ac:dyDescent="0.3">
      <c r="A1542" t="s">
        <v>1567</v>
      </c>
      <c r="B1542" t="s">
        <v>15</v>
      </c>
      <c r="C1542">
        <v>38</v>
      </c>
      <c r="D1542" t="s">
        <v>20</v>
      </c>
      <c r="E1542">
        <v>18</v>
      </c>
      <c r="F1542" t="str">
        <f t="shared" si="24"/>
        <v>13-24 Months</v>
      </c>
      <c r="G1542" t="s">
        <v>23</v>
      </c>
      <c r="H1542" t="s">
        <v>36</v>
      </c>
      <c r="I1542" t="s">
        <v>24</v>
      </c>
      <c r="J1542" t="s">
        <v>20</v>
      </c>
      <c r="K1542" t="s">
        <v>20</v>
      </c>
      <c r="L1542">
        <v>4</v>
      </c>
      <c r="M1542" s="7">
        <v>65.959999999999994</v>
      </c>
      <c r="N1542" s="7">
        <v>1144.55</v>
      </c>
      <c r="O1542" t="s">
        <v>20</v>
      </c>
    </row>
    <row r="1543" spans="1:15" x14ac:dyDescent="0.3">
      <c r="A1543" t="s">
        <v>1568</v>
      </c>
      <c r="B1543" t="s">
        <v>15</v>
      </c>
      <c r="C1543">
        <v>52</v>
      </c>
      <c r="D1543" t="s">
        <v>20</v>
      </c>
      <c r="E1543">
        <v>27</v>
      </c>
      <c r="F1543" t="str">
        <f t="shared" si="24"/>
        <v>25-48 Months</v>
      </c>
      <c r="G1543" t="s">
        <v>35</v>
      </c>
      <c r="H1543" t="s">
        <v>36</v>
      </c>
      <c r="I1543" t="s">
        <v>24</v>
      </c>
      <c r="J1543" t="s">
        <v>20</v>
      </c>
      <c r="K1543" t="s">
        <v>20</v>
      </c>
      <c r="L1543">
        <v>4</v>
      </c>
      <c r="M1543" s="7">
        <v>71.760000000000005</v>
      </c>
      <c r="N1543" s="7">
        <v>1884</v>
      </c>
      <c r="O1543" t="s">
        <v>20</v>
      </c>
    </row>
    <row r="1544" spans="1:15" x14ac:dyDescent="0.3">
      <c r="A1544" t="s">
        <v>1569</v>
      </c>
      <c r="B1544" t="s">
        <v>22</v>
      </c>
      <c r="C1544">
        <v>75</v>
      </c>
      <c r="D1544" t="s">
        <v>16</v>
      </c>
      <c r="E1544">
        <v>55</v>
      </c>
      <c r="F1544" t="str">
        <f t="shared" si="24"/>
        <v>49+ Months</v>
      </c>
      <c r="G1544" t="s">
        <v>17</v>
      </c>
      <c r="H1544" t="s">
        <v>36</v>
      </c>
      <c r="I1544" t="s">
        <v>24</v>
      </c>
      <c r="J1544" t="s">
        <v>20</v>
      </c>
      <c r="K1544" t="s">
        <v>20</v>
      </c>
      <c r="L1544">
        <v>1</v>
      </c>
      <c r="M1544" s="7">
        <v>49.64</v>
      </c>
      <c r="N1544" s="7">
        <v>2679.72</v>
      </c>
      <c r="O1544" t="s">
        <v>20</v>
      </c>
    </row>
    <row r="1545" spans="1:15" x14ac:dyDescent="0.3">
      <c r="A1545" t="s">
        <v>1570</v>
      </c>
      <c r="B1545" t="s">
        <v>15</v>
      </c>
      <c r="C1545">
        <v>49</v>
      </c>
      <c r="D1545" t="s">
        <v>20</v>
      </c>
      <c r="E1545">
        <v>54</v>
      </c>
      <c r="F1545" t="str">
        <f t="shared" si="24"/>
        <v>49+ Months</v>
      </c>
      <c r="G1545" t="s">
        <v>35</v>
      </c>
      <c r="H1545" t="s">
        <v>18</v>
      </c>
      <c r="I1545" t="s">
        <v>24</v>
      </c>
      <c r="J1545" t="s">
        <v>20</v>
      </c>
      <c r="K1545" t="s">
        <v>20</v>
      </c>
      <c r="L1545">
        <v>4</v>
      </c>
      <c r="M1545" s="7">
        <v>71.67</v>
      </c>
      <c r="N1545" s="7">
        <v>3607.05</v>
      </c>
      <c r="O1545" t="s">
        <v>20</v>
      </c>
    </row>
    <row r="1546" spans="1:15" x14ac:dyDescent="0.3">
      <c r="A1546" t="s">
        <v>1571</v>
      </c>
      <c r="B1546" t="s">
        <v>22</v>
      </c>
      <c r="C1546">
        <v>47</v>
      </c>
      <c r="D1546" t="s">
        <v>20</v>
      </c>
      <c r="E1546">
        <v>21</v>
      </c>
      <c r="F1546" t="str">
        <f t="shared" si="24"/>
        <v>13-24 Months</v>
      </c>
      <c r="G1546" t="s">
        <v>17</v>
      </c>
      <c r="H1546" t="s">
        <v>18</v>
      </c>
      <c r="I1546" t="s">
        <v>30</v>
      </c>
      <c r="J1546" t="s">
        <v>20</v>
      </c>
      <c r="K1546" t="s">
        <v>20</v>
      </c>
      <c r="L1546">
        <v>4</v>
      </c>
      <c r="M1546" s="7">
        <v>80.319999999999993</v>
      </c>
      <c r="N1546" s="7">
        <v>1751.27</v>
      </c>
      <c r="O1546" t="s">
        <v>16</v>
      </c>
    </row>
    <row r="1547" spans="1:15" x14ac:dyDescent="0.3">
      <c r="A1547" t="s">
        <v>1572</v>
      </c>
      <c r="B1547" t="s">
        <v>22</v>
      </c>
      <c r="C1547">
        <v>72</v>
      </c>
      <c r="D1547" t="s">
        <v>16</v>
      </c>
      <c r="E1547">
        <v>44</v>
      </c>
      <c r="F1547" t="str">
        <f t="shared" si="24"/>
        <v>25-48 Months</v>
      </c>
      <c r="G1547" t="s">
        <v>17</v>
      </c>
      <c r="H1547" t="s">
        <v>18</v>
      </c>
      <c r="I1547" t="s">
        <v>24</v>
      </c>
      <c r="J1547" t="s">
        <v>16</v>
      </c>
      <c r="K1547" t="s">
        <v>20</v>
      </c>
      <c r="L1547">
        <v>5</v>
      </c>
      <c r="M1547" s="7">
        <v>79.05</v>
      </c>
      <c r="N1547" s="7">
        <v>3298.35</v>
      </c>
      <c r="O1547" t="s">
        <v>16</v>
      </c>
    </row>
    <row r="1548" spans="1:15" x14ac:dyDescent="0.3">
      <c r="A1548" t="s">
        <v>1573</v>
      </c>
      <c r="B1548" t="s">
        <v>22</v>
      </c>
      <c r="C1548">
        <v>56</v>
      </c>
      <c r="D1548" t="s">
        <v>20</v>
      </c>
      <c r="E1548">
        <v>5</v>
      </c>
      <c r="F1548" t="str">
        <f t="shared" si="24"/>
        <v>0-6 Months</v>
      </c>
      <c r="G1548" t="s">
        <v>17</v>
      </c>
      <c r="H1548" t="s">
        <v>18</v>
      </c>
      <c r="I1548" t="s">
        <v>30</v>
      </c>
      <c r="J1548" t="s">
        <v>20</v>
      </c>
      <c r="K1548" t="s">
        <v>20</v>
      </c>
      <c r="L1548">
        <v>7</v>
      </c>
      <c r="M1548" s="7">
        <v>97.29</v>
      </c>
      <c r="N1548" s="7">
        <v>510.2</v>
      </c>
      <c r="O1548" t="s">
        <v>16</v>
      </c>
    </row>
    <row r="1549" spans="1:15" x14ac:dyDescent="0.3">
      <c r="A1549" t="s">
        <v>1574</v>
      </c>
      <c r="B1549" t="s">
        <v>15</v>
      </c>
      <c r="C1549">
        <v>66</v>
      </c>
      <c r="D1549" t="s">
        <v>16</v>
      </c>
      <c r="E1549">
        <v>41</v>
      </c>
      <c r="F1549" t="str">
        <f t="shared" si="24"/>
        <v>25-48 Months</v>
      </c>
      <c r="G1549" t="s">
        <v>17</v>
      </c>
      <c r="H1549" t="s">
        <v>18</v>
      </c>
      <c r="I1549" t="s">
        <v>24</v>
      </c>
      <c r="J1549" t="s">
        <v>16</v>
      </c>
      <c r="K1549" t="s">
        <v>20</v>
      </c>
      <c r="L1549">
        <v>4</v>
      </c>
      <c r="M1549" s="7">
        <v>80.45</v>
      </c>
      <c r="N1549" s="7">
        <v>3480.98</v>
      </c>
      <c r="O1549" t="s">
        <v>20</v>
      </c>
    </row>
    <row r="1550" spans="1:15" x14ac:dyDescent="0.3">
      <c r="A1550" t="s">
        <v>1575</v>
      </c>
      <c r="B1550" t="s">
        <v>15</v>
      </c>
      <c r="C1550">
        <v>29</v>
      </c>
      <c r="D1550" t="s">
        <v>20</v>
      </c>
      <c r="E1550">
        <v>59</v>
      </c>
      <c r="F1550" t="str">
        <f t="shared" si="24"/>
        <v>49+ Months</v>
      </c>
      <c r="G1550" t="s">
        <v>17</v>
      </c>
      <c r="H1550" t="s">
        <v>36</v>
      </c>
      <c r="I1550" t="s">
        <v>24</v>
      </c>
      <c r="J1550" t="s">
        <v>20</v>
      </c>
      <c r="K1550" t="s">
        <v>20</v>
      </c>
      <c r="L1550">
        <v>3</v>
      </c>
      <c r="M1550" s="7">
        <v>54.17</v>
      </c>
      <c r="N1550" s="7">
        <v>3266.82</v>
      </c>
      <c r="O1550" t="s">
        <v>20</v>
      </c>
    </row>
    <row r="1551" spans="1:15" x14ac:dyDescent="0.3">
      <c r="A1551" t="s">
        <v>1576</v>
      </c>
      <c r="B1551" t="s">
        <v>22</v>
      </c>
      <c r="C1551">
        <v>58</v>
      </c>
      <c r="D1551" t="s">
        <v>20</v>
      </c>
      <c r="E1551">
        <v>54</v>
      </c>
      <c r="F1551" t="str">
        <f t="shared" si="24"/>
        <v>49+ Months</v>
      </c>
      <c r="G1551" t="s">
        <v>17</v>
      </c>
      <c r="H1551" t="s">
        <v>18</v>
      </c>
      <c r="I1551" t="s">
        <v>24</v>
      </c>
      <c r="J1551" t="s">
        <v>20</v>
      </c>
      <c r="K1551" t="s">
        <v>16</v>
      </c>
      <c r="L1551">
        <v>1</v>
      </c>
      <c r="M1551" s="7">
        <v>59.94</v>
      </c>
      <c r="N1551" s="7">
        <v>3376.51</v>
      </c>
      <c r="O1551" t="s">
        <v>20</v>
      </c>
    </row>
    <row r="1552" spans="1:15" x14ac:dyDescent="0.3">
      <c r="A1552" t="s">
        <v>1577</v>
      </c>
      <c r="B1552" t="s">
        <v>15</v>
      </c>
      <c r="C1552">
        <v>64</v>
      </c>
      <c r="D1552" t="s">
        <v>16</v>
      </c>
      <c r="E1552">
        <v>22</v>
      </c>
      <c r="F1552" t="str">
        <f t="shared" si="24"/>
        <v>13-24 Months</v>
      </c>
      <c r="G1552" t="s">
        <v>35</v>
      </c>
      <c r="H1552" t="s">
        <v>36</v>
      </c>
      <c r="I1552" t="s">
        <v>27</v>
      </c>
      <c r="J1552" t="s">
        <v>16</v>
      </c>
      <c r="K1552" t="s">
        <v>16</v>
      </c>
      <c r="L1552">
        <v>5</v>
      </c>
      <c r="M1552" s="7">
        <v>49.97</v>
      </c>
      <c r="N1552" s="7">
        <v>1041.6199999999999</v>
      </c>
      <c r="O1552" t="s">
        <v>20</v>
      </c>
    </row>
    <row r="1553" spans="1:15" x14ac:dyDescent="0.3">
      <c r="A1553" t="s">
        <v>1578</v>
      </c>
      <c r="B1553" t="s">
        <v>15</v>
      </c>
      <c r="C1553">
        <v>35</v>
      </c>
      <c r="D1553" t="s">
        <v>20</v>
      </c>
      <c r="E1553">
        <v>65</v>
      </c>
      <c r="F1553" t="str">
        <f t="shared" si="24"/>
        <v>49+ Months</v>
      </c>
      <c r="G1553" t="s">
        <v>17</v>
      </c>
      <c r="H1553" t="s">
        <v>20</v>
      </c>
      <c r="I1553" t="s">
        <v>30</v>
      </c>
      <c r="J1553" t="s">
        <v>20</v>
      </c>
      <c r="K1553" t="s">
        <v>20</v>
      </c>
      <c r="L1553">
        <v>4</v>
      </c>
      <c r="M1553" s="7">
        <v>35.32</v>
      </c>
      <c r="N1553" s="7">
        <v>2323.69</v>
      </c>
      <c r="O1553" t="s">
        <v>20</v>
      </c>
    </row>
    <row r="1554" spans="1:15" x14ac:dyDescent="0.3">
      <c r="A1554" t="s">
        <v>1579</v>
      </c>
      <c r="B1554" t="s">
        <v>15</v>
      </c>
      <c r="C1554">
        <v>38</v>
      </c>
      <c r="D1554" t="s">
        <v>20</v>
      </c>
      <c r="E1554">
        <v>64</v>
      </c>
      <c r="F1554" t="str">
        <f t="shared" si="24"/>
        <v>49+ Months</v>
      </c>
      <c r="G1554" t="s">
        <v>23</v>
      </c>
      <c r="H1554" t="s">
        <v>18</v>
      </c>
      <c r="I1554" t="s">
        <v>27</v>
      </c>
      <c r="J1554" t="s">
        <v>20</v>
      </c>
      <c r="K1554" t="s">
        <v>20</v>
      </c>
      <c r="L1554">
        <v>8</v>
      </c>
      <c r="M1554" s="7">
        <v>99.56</v>
      </c>
      <c r="N1554" s="7">
        <v>6552.09</v>
      </c>
      <c r="O1554" t="s">
        <v>20</v>
      </c>
    </row>
    <row r="1555" spans="1:15" x14ac:dyDescent="0.3">
      <c r="A1555" t="s">
        <v>1580</v>
      </c>
      <c r="B1555" t="s">
        <v>22</v>
      </c>
      <c r="C1555">
        <v>30</v>
      </c>
      <c r="D1555" t="s">
        <v>20</v>
      </c>
      <c r="E1555">
        <v>71</v>
      </c>
      <c r="F1555" t="str">
        <f t="shared" si="24"/>
        <v>49+ Months</v>
      </c>
      <c r="G1555" t="s">
        <v>17</v>
      </c>
      <c r="H1555" t="s">
        <v>18</v>
      </c>
      <c r="I1555" t="s">
        <v>24</v>
      </c>
      <c r="J1555" t="s">
        <v>20</v>
      </c>
      <c r="K1555" t="s">
        <v>20</v>
      </c>
      <c r="L1555">
        <v>3</v>
      </c>
      <c r="M1555" s="7">
        <v>83.28</v>
      </c>
      <c r="N1555" s="7">
        <v>6065.73</v>
      </c>
      <c r="O1555" t="s">
        <v>20</v>
      </c>
    </row>
    <row r="1556" spans="1:15" x14ac:dyDescent="0.3">
      <c r="A1556" t="s">
        <v>1581</v>
      </c>
      <c r="B1556" t="s">
        <v>22</v>
      </c>
      <c r="C1556">
        <v>38</v>
      </c>
      <c r="D1556" t="s">
        <v>20</v>
      </c>
      <c r="E1556">
        <v>4</v>
      </c>
      <c r="F1556" t="str">
        <f t="shared" si="24"/>
        <v>0-6 Months</v>
      </c>
      <c r="G1556" t="s">
        <v>35</v>
      </c>
      <c r="H1556" t="s">
        <v>18</v>
      </c>
      <c r="I1556" t="s">
        <v>27</v>
      </c>
      <c r="J1556" t="s">
        <v>16</v>
      </c>
      <c r="K1556" t="s">
        <v>20</v>
      </c>
      <c r="L1556">
        <v>4</v>
      </c>
      <c r="M1556" s="7">
        <v>76.83</v>
      </c>
      <c r="N1556" s="7">
        <v>288.5</v>
      </c>
      <c r="O1556" t="s">
        <v>16</v>
      </c>
    </row>
    <row r="1557" spans="1:15" x14ac:dyDescent="0.3">
      <c r="A1557" t="s">
        <v>1582</v>
      </c>
      <c r="B1557" t="s">
        <v>15</v>
      </c>
      <c r="C1557">
        <v>25</v>
      </c>
      <c r="D1557" t="s">
        <v>20</v>
      </c>
      <c r="E1557">
        <v>65</v>
      </c>
      <c r="F1557" t="str">
        <f t="shared" si="24"/>
        <v>49+ Months</v>
      </c>
      <c r="G1557" t="s">
        <v>23</v>
      </c>
      <c r="H1557" t="s">
        <v>36</v>
      </c>
      <c r="I1557" t="s">
        <v>24</v>
      </c>
      <c r="J1557" t="s">
        <v>16</v>
      </c>
      <c r="K1557" t="s">
        <v>16</v>
      </c>
      <c r="L1557">
        <v>3</v>
      </c>
      <c r="M1557" s="7">
        <v>48.39</v>
      </c>
      <c r="N1557" s="7">
        <v>3067.03</v>
      </c>
      <c r="O1557" t="s">
        <v>20</v>
      </c>
    </row>
    <row r="1558" spans="1:15" x14ac:dyDescent="0.3">
      <c r="A1558" t="s">
        <v>1583</v>
      </c>
      <c r="B1558" t="s">
        <v>22</v>
      </c>
      <c r="C1558">
        <v>63</v>
      </c>
      <c r="D1558" t="s">
        <v>16</v>
      </c>
      <c r="E1558">
        <v>15</v>
      </c>
      <c r="F1558" t="str">
        <f t="shared" si="24"/>
        <v>13-24 Months</v>
      </c>
      <c r="G1558" t="s">
        <v>17</v>
      </c>
      <c r="H1558" t="s">
        <v>18</v>
      </c>
      <c r="I1558" t="s">
        <v>24</v>
      </c>
      <c r="J1558" t="s">
        <v>20</v>
      </c>
      <c r="K1558" t="s">
        <v>16</v>
      </c>
      <c r="L1558">
        <v>5</v>
      </c>
      <c r="M1558" s="7">
        <v>84.33</v>
      </c>
      <c r="N1558" s="7">
        <v>1229.54</v>
      </c>
      <c r="O1558" t="s">
        <v>16</v>
      </c>
    </row>
    <row r="1559" spans="1:15" x14ac:dyDescent="0.3">
      <c r="A1559" t="s">
        <v>1584</v>
      </c>
      <c r="B1559" t="s">
        <v>15</v>
      </c>
      <c r="C1559">
        <v>57</v>
      </c>
      <c r="D1559" t="s">
        <v>20</v>
      </c>
      <c r="E1559">
        <v>22</v>
      </c>
      <c r="F1559" t="str">
        <f t="shared" si="24"/>
        <v>13-24 Months</v>
      </c>
      <c r="G1559" t="s">
        <v>23</v>
      </c>
      <c r="H1559" t="s">
        <v>18</v>
      </c>
      <c r="I1559" t="s">
        <v>30</v>
      </c>
      <c r="J1559" t="s">
        <v>16</v>
      </c>
      <c r="K1559" t="s">
        <v>20</v>
      </c>
      <c r="L1559">
        <v>6</v>
      </c>
      <c r="M1559" s="7">
        <v>91.82</v>
      </c>
      <c r="N1559" s="7">
        <v>2043.48</v>
      </c>
      <c r="O1559" t="s">
        <v>16</v>
      </c>
    </row>
    <row r="1560" spans="1:15" x14ac:dyDescent="0.3">
      <c r="A1560" t="s">
        <v>1585</v>
      </c>
      <c r="B1560" t="s">
        <v>15</v>
      </c>
      <c r="C1560">
        <v>63</v>
      </c>
      <c r="D1560" t="s">
        <v>16</v>
      </c>
      <c r="E1560">
        <v>47</v>
      </c>
      <c r="F1560" t="str">
        <f t="shared" si="24"/>
        <v>25-48 Months</v>
      </c>
      <c r="G1560" t="s">
        <v>17</v>
      </c>
      <c r="H1560" t="s">
        <v>36</v>
      </c>
      <c r="I1560" t="s">
        <v>19</v>
      </c>
      <c r="J1560" t="s">
        <v>20</v>
      </c>
      <c r="K1560" t="s">
        <v>16</v>
      </c>
      <c r="L1560">
        <v>6</v>
      </c>
      <c r="M1560" s="7">
        <v>72.44</v>
      </c>
      <c r="N1560" s="7">
        <v>3549.17</v>
      </c>
      <c r="O1560" t="s">
        <v>20</v>
      </c>
    </row>
    <row r="1561" spans="1:15" x14ac:dyDescent="0.3">
      <c r="A1561" t="s">
        <v>1586</v>
      </c>
      <c r="B1561" t="s">
        <v>15</v>
      </c>
      <c r="C1561">
        <v>24</v>
      </c>
      <c r="D1561" t="s">
        <v>20</v>
      </c>
      <c r="E1561">
        <v>46</v>
      </c>
      <c r="F1561" t="str">
        <f t="shared" si="24"/>
        <v>25-48 Months</v>
      </c>
      <c r="G1561" t="s">
        <v>23</v>
      </c>
      <c r="H1561" t="s">
        <v>18</v>
      </c>
      <c r="I1561" t="s">
        <v>27</v>
      </c>
      <c r="J1561" t="s">
        <v>20</v>
      </c>
      <c r="K1561" t="s">
        <v>20</v>
      </c>
      <c r="L1561">
        <v>5</v>
      </c>
      <c r="M1561" s="7">
        <v>84.36</v>
      </c>
      <c r="N1561" s="7">
        <v>3924.39</v>
      </c>
      <c r="O1561" t="s">
        <v>20</v>
      </c>
    </row>
    <row r="1562" spans="1:15" x14ac:dyDescent="0.3">
      <c r="A1562" t="s">
        <v>1587</v>
      </c>
      <c r="B1562" t="s">
        <v>15</v>
      </c>
      <c r="C1562">
        <v>40</v>
      </c>
      <c r="D1562" t="s">
        <v>20</v>
      </c>
      <c r="E1562">
        <v>14</v>
      </c>
      <c r="F1562" t="str">
        <f t="shared" si="24"/>
        <v>13-24 Months</v>
      </c>
      <c r="G1562" t="s">
        <v>17</v>
      </c>
      <c r="H1562" t="s">
        <v>36</v>
      </c>
      <c r="I1562" t="s">
        <v>24</v>
      </c>
      <c r="J1562" t="s">
        <v>16</v>
      </c>
      <c r="K1562" t="s">
        <v>20</v>
      </c>
      <c r="L1562">
        <v>1</v>
      </c>
      <c r="M1562" s="7">
        <v>61.49</v>
      </c>
      <c r="N1562" s="7">
        <v>895.96</v>
      </c>
      <c r="O1562" t="s">
        <v>20</v>
      </c>
    </row>
    <row r="1563" spans="1:15" x14ac:dyDescent="0.3">
      <c r="A1563" t="s">
        <v>1588</v>
      </c>
      <c r="B1563" t="s">
        <v>22</v>
      </c>
      <c r="C1563">
        <v>61</v>
      </c>
      <c r="D1563" t="s">
        <v>16</v>
      </c>
      <c r="E1563">
        <v>50</v>
      </c>
      <c r="F1563" t="str">
        <f t="shared" si="24"/>
        <v>49+ Months</v>
      </c>
      <c r="G1563" t="s">
        <v>23</v>
      </c>
      <c r="H1563" t="s">
        <v>36</v>
      </c>
      <c r="I1563" t="s">
        <v>27</v>
      </c>
      <c r="J1563" t="s">
        <v>20</v>
      </c>
      <c r="K1563" t="s">
        <v>20</v>
      </c>
      <c r="L1563">
        <v>8</v>
      </c>
      <c r="M1563" s="7">
        <v>83.88</v>
      </c>
      <c r="N1563" s="7">
        <v>3924.89</v>
      </c>
      <c r="O1563" t="s">
        <v>20</v>
      </c>
    </row>
    <row r="1564" spans="1:15" x14ac:dyDescent="0.3">
      <c r="A1564" t="s">
        <v>1589</v>
      </c>
      <c r="B1564" t="s">
        <v>22</v>
      </c>
      <c r="C1564">
        <v>49</v>
      </c>
      <c r="D1564" t="s">
        <v>20</v>
      </c>
      <c r="E1564">
        <v>20</v>
      </c>
      <c r="F1564" t="str">
        <f t="shared" si="24"/>
        <v>13-24 Months</v>
      </c>
      <c r="G1564" t="s">
        <v>23</v>
      </c>
      <c r="H1564" t="s">
        <v>36</v>
      </c>
      <c r="I1564" t="s">
        <v>30</v>
      </c>
      <c r="J1564" t="s">
        <v>20</v>
      </c>
      <c r="K1564" t="s">
        <v>16</v>
      </c>
      <c r="L1564">
        <v>4</v>
      </c>
      <c r="M1564" s="7">
        <v>50.44</v>
      </c>
      <c r="N1564" s="7">
        <v>1069.83</v>
      </c>
      <c r="O1564" t="s">
        <v>16</v>
      </c>
    </row>
    <row r="1565" spans="1:15" x14ac:dyDescent="0.3">
      <c r="A1565" t="s">
        <v>1590</v>
      </c>
      <c r="B1565" t="s">
        <v>22</v>
      </c>
      <c r="C1565">
        <v>28</v>
      </c>
      <c r="D1565" t="s">
        <v>20</v>
      </c>
      <c r="E1565">
        <v>50</v>
      </c>
      <c r="F1565" t="str">
        <f t="shared" si="24"/>
        <v>49+ Months</v>
      </c>
      <c r="G1565" t="s">
        <v>17</v>
      </c>
      <c r="H1565" t="s">
        <v>18</v>
      </c>
      <c r="I1565" t="s">
        <v>30</v>
      </c>
      <c r="J1565" t="s">
        <v>20</v>
      </c>
      <c r="K1565" t="s">
        <v>16</v>
      </c>
      <c r="L1565">
        <v>5</v>
      </c>
      <c r="M1565" s="7">
        <v>72.73</v>
      </c>
      <c r="N1565" s="7">
        <v>3657.81</v>
      </c>
      <c r="O1565" t="s">
        <v>20</v>
      </c>
    </row>
    <row r="1566" spans="1:15" x14ac:dyDescent="0.3">
      <c r="A1566" t="s">
        <v>1591</v>
      </c>
      <c r="B1566" t="s">
        <v>15</v>
      </c>
      <c r="C1566">
        <v>39</v>
      </c>
      <c r="D1566" t="s">
        <v>20</v>
      </c>
      <c r="E1566">
        <v>33</v>
      </c>
      <c r="F1566" t="str">
        <f t="shared" si="24"/>
        <v>25-48 Months</v>
      </c>
      <c r="G1566" t="s">
        <v>17</v>
      </c>
      <c r="H1566" t="s">
        <v>20</v>
      </c>
      <c r="I1566" t="s">
        <v>24</v>
      </c>
      <c r="J1566" t="s">
        <v>20</v>
      </c>
      <c r="K1566" t="s">
        <v>20</v>
      </c>
      <c r="L1566">
        <v>5</v>
      </c>
      <c r="M1566" s="7">
        <v>37.090000000000003</v>
      </c>
      <c r="N1566" s="7">
        <v>1133.4000000000001</v>
      </c>
      <c r="O1566" t="s">
        <v>20</v>
      </c>
    </row>
    <row r="1567" spans="1:15" x14ac:dyDescent="0.3">
      <c r="A1567" t="s">
        <v>1592</v>
      </c>
      <c r="B1567" t="s">
        <v>15</v>
      </c>
      <c r="C1567">
        <v>39</v>
      </c>
      <c r="D1567" t="s">
        <v>20</v>
      </c>
      <c r="E1567">
        <v>59</v>
      </c>
      <c r="F1567" t="str">
        <f t="shared" si="24"/>
        <v>49+ Months</v>
      </c>
      <c r="G1567" t="s">
        <v>35</v>
      </c>
      <c r="H1567" t="s">
        <v>36</v>
      </c>
      <c r="I1567" t="s">
        <v>24</v>
      </c>
      <c r="J1567" t="s">
        <v>20</v>
      </c>
      <c r="K1567" t="s">
        <v>20</v>
      </c>
      <c r="L1567">
        <v>4</v>
      </c>
      <c r="M1567" s="7">
        <v>67.180000000000007</v>
      </c>
      <c r="N1567" s="7">
        <v>4054.44</v>
      </c>
      <c r="O1567" t="s">
        <v>20</v>
      </c>
    </row>
    <row r="1568" spans="1:15" x14ac:dyDescent="0.3">
      <c r="A1568" t="s">
        <v>1593</v>
      </c>
      <c r="B1568" t="s">
        <v>15</v>
      </c>
      <c r="C1568">
        <v>60</v>
      </c>
      <c r="D1568" t="s">
        <v>16</v>
      </c>
      <c r="E1568">
        <v>43</v>
      </c>
      <c r="F1568" t="str">
        <f t="shared" si="24"/>
        <v>25-48 Months</v>
      </c>
      <c r="G1568" t="s">
        <v>17</v>
      </c>
      <c r="H1568" t="s">
        <v>18</v>
      </c>
      <c r="I1568" t="s">
        <v>27</v>
      </c>
      <c r="J1568" t="s">
        <v>20</v>
      </c>
      <c r="K1568" t="s">
        <v>16</v>
      </c>
      <c r="L1568">
        <v>6</v>
      </c>
      <c r="M1568" s="7">
        <v>75.040000000000006</v>
      </c>
      <c r="N1568" s="7">
        <v>3235.68</v>
      </c>
      <c r="O1568" t="s">
        <v>20</v>
      </c>
    </row>
    <row r="1569" spans="1:15" x14ac:dyDescent="0.3">
      <c r="A1569" t="s">
        <v>1594</v>
      </c>
      <c r="B1569" t="s">
        <v>22</v>
      </c>
      <c r="C1569">
        <v>42</v>
      </c>
      <c r="D1569" t="s">
        <v>20</v>
      </c>
      <c r="E1569">
        <v>12</v>
      </c>
      <c r="F1569" t="str">
        <f t="shared" si="24"/>
        <v>7-12 Months</v>
      </c>
      <c r="G1569" t="s">
        <v>17</v>
      </c>
      <c r="H1569" t="s">
        <v>18</v>
      </c>
      <c r="I1569" t="s">
        <v>19</v>
      </c>
      <c r="J1569" t="s">
        <v>20</v>
      </c>
      <c r="K1569" t="s">
        <v>20</v>
      </c>
      <c r="L1569">
        <v>5</v>
      </c>
      <c r="M1569" s="7">
        <v>86.2</v>
      </c>
      <c r="N1569" s="7">
        <v>988.12</v>
      </c>
      <c r="O1569" t="s">
        <v>16</v>
      </c>
    </row>
    <row r="1570" spans="1:15" x14ac:dyDescent="0.3">
      <c r="A1570" t="s">
        <v>1595</v>
      </c>
      <c r="B1570" t="s">
        <v>15</v>
      </c>
      <c r="C1570">
        <v>39</v>
      </c>
      <c r="D1570" t="s">
        <v>20</v>
      </c>
      <c r="E1570">
        <v>40</v>
      </c>
      <c r="F1570" t="str">
        <f t="shared" si="24"/>
        <v>25-48 Months</v>
      </c>
      <c r="G1570" t="s">
        <v>17</v>
      </c>
      <c r="H1570" t="s">
        <v>18</v>
      </c>
      <c r="I1570" t="s">
        <v>30</v>
      </c>
      <c r="J1570" t="s">
        <v>16</v>
      </c>
      <c r="K1570" t="s">
        <v>16</v>
      </c>
      <c r="L1570">
        <v>5</v>
      </c>
      <c r="M1570" s="7">
        <v>81.81</v>
      </c>
      <c r="N1570" s="7">
        <v>3410.85</v>
      </c>
      <c r="O1570" t="s">
        <v>20</v>
      </c>
    </row>
    <row r="1571" spans="1:15" x14ac:dyDescent="0.3">
      <c r="A1571" t="s">
        <v>1596</v>
      </c>
      <c r="B1571" t="s">
        <v>22</v>
      </c>
      <c r="C1571">
        <v>45</v>
      </c>
      <c r="D1571" t="s">
        <v>20</v>
      </c>
      <c r="E1571">
        <v>20</v>
      </c>
      <c r="F1571" t="str">
        <f t="shared" si="24"/>
        <v>13-24 Months</v>
      </c>
      <c r="G1571" t="s">
        <v>17</v>
      </c>
      <c r="H1571" t="s">
        <v>20</v>
      </c>
      <c r="I1571" t="s">
        <v>27</v>
      </c>
      <c r="J1571" t="s">
        <v>20</v>
      </c>
      <c r="K1571" t="s">
        <v>20</v>
      </c>
      <c r="L1571">
        <v>2</v>
      </c>
      <c r="M1571" s="7">
        <v>24.29</v>
      </c>
      <c r="N1571" s="7">
        <v>519.5</v>
      </c>
      <c r="O1571" t="s">
        <v>20</v>
      </c>
    </row>
    <row r="1572" spans="1:15" x14ac:dyDescent="0.3">
      <c r="A1572" t="s">
        <v>1597</v>
      </c>
      <c r="B1572" t="s">
        <v>22</v>
      </c>
      <c r="C1572">
        <v>46</v>
      </c>
      <c r="D1572" t="s">
        <v>20</v>
      </c>
      <c r="E1572">
        <v>38</v>
      </c>
      <c r="F1572" t="str">
        <f t="shared" si="24"/>
        <v>25-48 Months</v>
      </c>
      <c r="G1572" t="s">
        <v>35</v>
      </c>
      <c r="H1572" t="s">
        <v>20</v>
      </c>
      <c r="I1572" t="s">
        <v>24</v>
      </c>
      <c r="J1572" t="s">
        <v>20</v>
      </c>
      <c r="K1572" t="s">
        <v>16</v>
      </c>
      <c r="L1572">
        <v>1</v>
      </c>
      <c r="M1572" s="7">
        <v>30.74</v>
      </c>
      <c r="N1572" s="7">
        <v>1134.98</v>
      </c>
      <c r="O1572" t="s">
        <v>16</v>
      </c>
    </row>
    <row r="1573" spans="1:15" x14ac:dyDescent="0.3">
      <c r="A1573" t="s">
        <v>1598</v>
      </c>
      <c r="B1573" t="s">
        <v>22</v>
      </c>
      <c r="C1573">
        <v>30</v>
      </c>
      <c r="D1573" t="s">
        <v>20</v>
      </c>
      <c r="E1573">
        <v>3</v>
      </c>
      <c r="F1573" t="str">
        <f t="shared" si="24"/>
        <v>0-6 Months</v>
      </c>
      <c r="G1573" t="s">
        <v>17</v>
      </c>
      <c r="H1573" t="s">
        <v>36</v>
      </c>
      <c r="I1573" t="s">
        <v>30</v>
      </c>
      <c r="J1573" t="s">
        <v>20</v>
      </c>
      <c r="K1573" t="s">
        <v>20</v>
      </c>
      <c r="L1573">
        <v>4</v>
      </c>
      <c r="M1573" s="7">
        <v>57.76</v>
      </c>
      <c r="N1573" s="7">
        <v>173.11</v>
      </c>
      <c r="O1573" t="s">
        <v>20</v>
      </c>
    </row>
    <row r="1574" spans="1:15" x14ac:dyDescent="0.3">
      <c r="A1574" t="s">
        <v>1599</v>
      </c>
      <c r="B1574" t="s">
        <v>22</v>
      </c>
      <c r="C1574">
        <v>35</v>
      </c>
      <c r="D1574" t="s">
        <v>20</v>
      </c>
      <c r="E1574">
        <v>28</v>
      </c>
      <c r="F1574" t="str">
        <f t="shared" si="24"/>
        <v>25-48 Months</v>
      </c>
      <c r="G1574" t="s">
        <v>17</v>
      </c>
      <c r="H1574" t="s">
        <v>20</v>
      </c>
      <c r="I1574" t="s">
        <v>30</v>
      </c>
      <c r="J1574" t="s">
        <v>20</v>
      </c>
      <c r="K1574" t="s">
        <v>20</v>
      </c>
      <c r="L1574">
        <v>3</v>
      </c>
      <c r="M1574" s="7">
        <v>42.65</v>
      </c>
      <c r="N1574" s="7">
        <v>1123.1500000000001</v>
      </c>
      <c r="O1574" t="s">
        <v>20</v>
      </c>
    </row>
    <row r="1575" spans="1:15" x14ac:dyDescent="0.3">
      <c r="A1575" t="s">
        <v>1600</v>
      </c>
      <c r="B1575" t="s">
        <v>22</v>
      </c>
      <c r="C1575">
        <v>19</v>
      </c>
      <c r="D1575" t="s">
        <v>20</v>
      </c>
      <c r="E1575">
        <v>56</v>
      </c>
      <c r="F1575" t="str">
        <f t="shared" si="24"/>
        <v>49+ Months</v>
      </c>
      <c r="G1575" t="s">
        <v>23</v>
      </c>
      <c r="H1575" t="s">
        <v>18</v>
      </c>
      <c r="I1575" t="s">
        <v>24</v>
      </c>
      <c r="J1575" t="s">
        <v>20</v>
      </c>
      <c r="K1575" t="s">
        <v>16</v>
      </c>
      <c r="L1575">
        <v>4</v>
      </c>
      <c r="M1575" s="7">
        <v>67.61</v>
      </c>
      <c r="N1575" s="7">
        <v>4046.53</v>
      </c>
      <c r="O1575" t="s">
        <v>20</v>
      </c>
    </row>
    <row r="1576" spans="1:15" x14ac:dyDescent="0.3">
      <c r="A1576" t="s">
        <v>1601</v>
      </c>
      <c r="B1576" t="s">
        <v>22</v>
      </c>
      <c r="C1576">
        <v>46</v>
      </c>
      <c r="D1576" t="s">
        <v>20</v>
      </c>
      <c r="E1576">
        <v>13</v>
      </c>
      <c r="F1576" t="str">
        <f t="shared" si="24"/>
        <v>13-24 Months</v>
      </c>
      <c r="G1576" t="s">
        <v>35</v>
      </c>
      <c r="H1576" t="s">
        <v>18</v>
      </c>
      <c r="I1576" t="s">
        <v>24</v>
      </c>
      <c r="J1576" t="s">
        <v>20</v>
      </c>
      <c r="K1576" t="s">
        <v>20</v>
      </c>
      <c r="L1576">
        <v>6</v>
      </c>
      <c r="M1576" s="7">
        <v>80.75</v>
      </c>
      <c r="N1576" s="7">
        <v>1019.31</v>
      </c>
      <c r="O1576" t="s">
        <v>20</v>
      </c>
    </row>
    <row r="1577" spans="1:15" x14ac:dyDescent="0.3">
      <c r="A1577" t="s">
        <v>1602</v>
      </c>
      <c r="B1577" t="s">
        <v>15</v>
      </c>
      <c r="C1577">
        <v>38</v>
      </c>
      <c r="D1577" t="s">
        <v>20</v>
      </c>
      <c r="E1577">
        <v>66</v>
      </c>
      <c r="F1577" t="str">
        <f t="shared" si="24"/>
        <v>49+ Months</v>
      </c>
      <c r="G1577" t="s">
        <v>17</v>
      </c>
      <c r="H1577" t="s">
        <v>20</v>
      </c>
      <c r="I1577" t="s">
        <v>19</v>
      </c>
      <c r="J1577" t="s">
        <v>16</v>
      </c>
      <c r="K1577" t="s">
        <v>20</v>
      </c>
      <c r="L1577">
        <v>2</v>
      </c>
      <c r="M1577" s="7">
        <v>26.89</v>
      </c>
      <c r="N1577" s="7">
        <v>1688.07</v>
      </c>
      <c r="O1577" t="s">
        <v>20</v>
      </c>
    </row>
    <row r="1578" spans="1:15" x14ac:dyDescent="0.3">
      <c r="A1578" t="s">
        <v>1603</v>
      </c>
      <c r="B1578" t="s">
        <v>15</v>
      </c>
      <c r="C1578">
        <v>32</v>
      </c>
      <c r="D1578" t="s">
        <v>20</v>
      </c>
      <c r="E1578">
        <v>37</v>
      </c>
      <c r="F1578" t="str">
        <f t="shared" si="24"/>
        <v>25-48 Months</v>
      </c>
      <c r="G1578" t="s">
        <v>17</v>
      </c>
      <c r="H1578" t="s">
        <v>36</v>
      </c>
      <c r="I1578" t="s">
        <v>19</v>
      </c>
      <c r="J1578" t="s">
        <v>16</v>
      </c>
      <c r="K1578" t="s">
        <v>20</v>
      </c>
      <c r="L1578">
        <v>3</v>
      </c>
      <c r="M1578" s="7">
        <v>59.63</v>
      </c>
      <c r="N1578" s="7">
        <v>2198.6999999999998</v>
      </c>
      <c r="O1578" t="s">
        <v>20</v>
      </c>
    </row>
    <row r="1579" spans="1:15" x14ac:dyDescent="0.3">
      <c r="A1579" t="s">
        <v>1604</v>
      </c>
      <c r="B1579" t="s">
        <v>22</v>
      </c>
      <c r="C1579">
        <v>69</v>
      </c>
      <c r="D1579" t="s">
        <v>16</v>
      </c>
      <c r="E1579">
        <v>49</v>
      </c>
      <c r="F1579" t="str">
        <f t="shared" si="24"/>
        <v>49+ Months</v>
      </c>
      <c r="G1579" t="s">
        <v>35</v>
      </c>
      <c r="H1579" t="s">
        <v>36</v>
      </c>
      <c r="I1579" t="s">
        <v>30</v>
      </c>
      <c r="J1579" t="s">
        <v>16</v>
      </c>
      <c r="K1579" t="s">
        <v>16</v>
      </c>
      <c r="L1579">
        <v>5</v>
      </c>
      <c r="M1579" s="7">
        <v>61.34</v>
      </c>
      <c r="N1579" s="7">
        <v>2786.02</v>
      </c>
      <c r="O1579" t="s">
        <v>20</v>
      </c>
    </row>
    <row r="1580" spans="1:15" x14ac:dyDescent="0.3">
      <c r="A1580" t="s">
        <v>1605</v>
      </c>
      <c r="B1580" t="s">
        <v>22</v>
      </c>
      <c r="C1580">
        <v>44</v>
      </c>
      <c r="D1580" t="s">
        <v>20</v>
      </c>
      <c r="E1580">
        <v>66</v>
      </c>
      <c r="F1580" t="str">
        <f t="shared" si="24"/>
        <v>49+ Months</v>
      </c>
      <c r="G1580" t="s">
        <v>23</v>
      </c>
      <c r="H1580" t="s">
        <v>36</v>
      </c>
      <c r="I1580" t="s">
        <v>24</v>
      </c>
      <c r="J1580" t="s">
        <v>20</v>
      </c>
      <c r="K1580" t="s">
        <v>20</v>
      </c>
      <c r="L1580">
        <v>5</v>
      </c>
      <c r="M1580" s="7">
        <v>71.27</v>
      </c>
      <c r="N1580" s="7">
        <v>4517.8</v>
      </c>
      <c r="O1580" t="s">
        <v>20</v>
      </c>
    </row>
    <row r="1581" spans="1:15" x14ac:dyDescent="0.3">
      <c r="A1581" t="s">
        <v>1606</v>
      </c>
      <c r="B1581" t="s">
        <v>15</v>
      </c>
      <c r="C1581">
        <v>67</v>
      </c>
      <c r="D1581" t="s">
        <v>16</v>
      </c>
      <c r="E1581">
        <v>36</v>
      </c>
      <c r="F1581" t="str">
        <f t="shared" si="24"/>
        <v>25-48 Months</v>
      </c>
      <c r="G1581" t="s">
        <v>17</v>
      </c>
      <c r="H1581" t="s">
        <v>20</v>
      </c>
      <c r="I1581" t="s">
        <v>27</v>
      </c>
      <c r="J1581" t="s">
        <v>20</v>
      </c>
      <c r="K1581" t="s">
        <v>16</v>
      </c>
      <c r="L1581">
        <v>1</v>
      </c>
      <c r="M1581" s="7">
        <v>26.21</v>
      </c>
      <c r="N1581" s="7">
        <v>878.29</v>
      </c>
      <c r="O1581" t="s">
        <v>20</v>
      </c>
    </row>
    <row r="1582" spans="1:15" x14ac:dyDescent="0.3">
      <c r="A1582" t="s">
        <v>1607</v>
      </c>
      <c r="B1582" t="s">
        <v>22</v>
      </c>
      <c r="C1582">
        <v>48</v>
      </c>
      <c r="D1582" t="s">
        <v>20</v>
      </c>
      <c r="E1582">
        <v>54</v>
      </c>
      <c r="F1582" t="str">
        <f t="shared" si="24"/>
        <v>49+ Months</v>
      </c>
      <c r="G1582" t="s">
        <v>17</v>
      </c>
      <c r="H1582" t="s">
        <v>36</v>
      </c>
      <c r="I1582" t="s">
        <v>24</v>
      </c>
      <c r="J1582" t="s">
        <v>20</v>
      </c>
      <c r="K1582" t="s">
        <v>20</v>
      </c>
      <c r="L1582">
        <v>4</v>
      </c>
      <c r="M1582" s="7">
        <v>60.54</v>
      </c>
      <c r="N1582" s="7">
        <v>3074.25</v>
      </c>
      <c r="O1582" t="s">
        <v>20</v>
      </c>
    </row>
    <row r="1583" spans="1:15" x14ac:dyDescent="0.3">
      <c r="A1583" t="s">
        <v>1608</v>
      </c>
      <c r="B1583" t="s">
        <v>22</v>
      </c>
      <c r="C1583">
        <v>32</v>
      </c>
      <c r="D1583" t="s">
        <v>20</v>
      </c>
      <c r="E1583">
        <v>26</v>
      </c>
      <c r="F1583" t="str">
        <f t="shared" si="24"/>
        <v>25-48 Months</v>
      </c>
      <c r="G1583" t="s">
        <v>17</v>
      </c>
      <c r="H1583" t="s">
        <v>20</v>
      </c>
      <c r="I1583" t="s">
        <v>30</v>
      </c>
      <c r="J1583" t="s">
        <v>20</v>
      </c>
      <c r="K1583" t="s">
        <v>20</v>
      </c>
      <c r="L1583">
        <v>3</v>
      </c>
      <c r="M1583" s="7">
        <v>47.39</v>
      </c>
      <c r="N1583" s="7">
        <v>1155.68</v>
      </c>
      <c r="O1583" t="s">
        <v>16</v>
      </c>
    </row>
    <row r="1584" spans="1:15" x14ac:dyDescent="0.3">
      <c r="A1584" t="s">
        <v>1609</v>
      </c>
      <c r="B1584" t="s">
        <v>15</v>
      </c>
      <c r="C1584">
        <v>68</v>
      </c>
      <c r="D1584" t="s">
        <v>16</v>
      </c>
      <c r="E1584">
        <v>72</v>
      </c>
      <c r="F1584" t="str">
        <f t="shared" si="24"/>
        <v>49+ Months</v>
      </c>
      <c r="G1584" t="s">
        <v>17</v>
      </c>
      <c r="H1584" t="s">
        <v>36</v>
      </c>
      <c r="I1584" t="s">
        <v>30</v>
      </c>
      <c r="J1584" t="s">
        <v>20</v>
      </c>
      <c r="K1584" t="s">
        <v>20</v>
      </c>
      <c r="L1584">
        <v>4</v>
      </c>
      <c r="M1584" s="7">
        <v>46.59</v>
      </c>
      <c r="N1584" s="7">
        <v>3554.36</v>
      </c>
      <c r="O1584" t="s">
        <v>20</v>
      </c>
    </row>
    <row r="1585" spans="1:15" x14ac:dyDescent="0.3">
      <c r="A1585" t="s">
        <v>1610</v>
      </c>
      <c r="B1585" t="s">
        <v>22</v>
      </c>
      <c r="C1585">
        <v>40</v>
      </c>
      <c r="D1585" t="s">
        <v>20</v>
      </c>
      <c r="E1585">
        <v>40</v>
      </c>
      <c r="F1585" t="str">
        <f t="shared" si="24"/>
        <v>25-48 Months</v>
      </c>
      <c r="G1585" t="s">
        <v>17</v>
      </c>
      <c r="H1585" t="s">
        <v>18</v>
      </c>
      <c r="I1585" t="s">
        <v>24</v>
      </c>
      <c r="J1585" t="s">
        <v>20</v>
      </c>
      <c r="K1585" t="s">
        <v>20</v>
      </c>
      <c r="L1585">
        <v>5</v>
      </c>
      <c r="M1585" s="7">
        <v>83.2</v>
      </c>
      <c r="N1585" s="7">
        <v>3557.2</v>
      </c>
      <c r="O1585" t="s">
        <v>20</v>
      </c>
    </row>
    <row r="1586" spans="1:15" x14ac:dyDescent="0.3">
      <c r="A1586" t="s">
        <v>1611</v>
      </c>
      <c r="B1586" t="s">
        <v>22</v>
      </c>
      <c r="C1586">
        <v>41</v>
      </c>
      <c r="D1586" t="s">
        <v>20</v>
      </c>
      <c r="E1586">
        <v>43</v>
      </c>
      <c r="F1586" t="str">
        <f t="shared" si="24"/>
        <v>25-48 Months</v>
      </c>
      <c r="G1586" t="s">
        <v>35</v>
      </c>
      <c r="H1586" t="s">
        <v>20</v>
      </c>
      <c r="I1586" t="s">
        <v>24</v>
      </c>
      <c r="J1586" t="s">
        <v>20</v>
      </c>
      <c r="K1586" t="s">
        <v>20</v>
      </c>
      <c r="L1586">
        <v>4</v>
      </c>
      <c r="M1586" s="7">
        <v>40.78</v>
      </c>
      <c r="N1586" s="7">
        <v>1746.39</v>
      </c>
      <c r="O1586" t="s">
        <v>20</v>
      </c>
    </row>
    <row r="1587" spans="1:15" x14ac:dyDescent="0.3">
      <c r="A1587" t="s">
        <v>1612</v>
      </c>
      <c r="B1587" t="s">
        <v>22</v>
      </c>
      <c r="C1587">
        <v>61</v>
      </c>
      <c r="D1587" t="s">
        <v>16</v>
      </c>
      <c r="E1587">
        <v>22</v>
      </c>
      <c r="F1587" t="str">
        <f t="shared" si="24"/>
        <v>13-24 Months</v>
      </c>
      <c r="G1587" t="s">
        <v>17</v>
      </c>
      <c r="H1587" t="s">
        <v>18</v>
      </c>
      <c r="I1587" t="s">
        <v>27</v>
      </c>
      <c r="J1587" t="s">
        <v>20</v>
      </c>
      <c r="K1587" t="s">
        <v>20</v>
      </c>
      <c r="L1587">
        <v>5</v>
      </c>
      <c r="M1587" s="7">
        <v>77.489999999999995</v>
      </c>
      <c r="N1587" s="7">
        <v>1740.35</v>
      </c>
      <c r="O1587" t="s">
        <v>16</v>
      </c>
    </row>
    <row r="1588" spans="1:15" x14ac:dyDescent="0.3">
      <c r="A1588" t="s">
        <v>1613</v>
      </c>
      <c r="B1588" t="s">
        <v>15</v>
      </c>
      <c r="C1588">
        <v>30</v>
      </c>
      <c r="D1588" t="s">
        <v>20</v>
      </c>
      <c r="E1588">
        <v>20</v>
      </c>
      <c r="F1588" t="str">
        <f t="shared" si="24"/>
        <v>13-24 Months</v>
      </c>
      <c r="G1588" t="s">
        <v>23</v>
      </c>
      <c r="H1588" t="s">
        <v>20</v>
      </c>
      <c r="I1588" t="s">
        <v>27</v>
      </c>
      <c r="J1588" t="s">
        <v>16</v>
      </c>
      <c r="K1588" t="s">
        <v>16</v>
      </c>
      <c r="L1588">
        <v>3</v>
      </c>
      <c r="M1588" s="7">
        <v>35.85</v>
      </c>
      <c r="N1588" s="7">
        <v>739.47</v>
      </c>
      <c r="O1588" t="s">
        <v>20</v>
      </c>
    </row>
    <row r="1589" spans="1:15" x14ac:dyDescent="0.3">
      <c r="A1589" t="s">
        <v>1614</v>
      </c>
      <c r="B1589" t="s">
        <v>15</v>
      </c>
      <c r="C1589">
        <v>39</v>
      </c>
      <c r="D1589" t="s">
        <v>20</v>
      </c>
      <c r="E1589">
        <v>8</v>
      </c>
      <c r="F1589" t="str">
        <f t="shared" si="24"/>
        <v>7-12 Months</v>
      </c>
      <c r="G1589" t="s">
        <v>17</v>
      </c>
      <c r="H1589" t="s">
        <v>36</v>
      </c>
      <c r="I1589" t="s">
        <v>24</v>
      </c>
      <c r="J1589" t="s">
        <v>16</v>
      </c>
      <c r="K1589" t="s">
        <v>16</v>
      </c>
      <c r="L1589">
        <v>4</v>
      </c>
      <c r="M1589" s="7">
        <v>61.19</v>
      </c>
      <c r="N1589" s="7">
        <v>481.01</v>
      </c>
      <c r="O1589" t="s">
        <v>16</v>
      </c>
    </row>
    <row r="1590" spans="1:15" x14ac:dyDescent="0.3">
      <c r="A1590" t="s">
        <v>1615</v>
      </c>
      <c r="B1590" t="s">
        <v>15</v>
      </c>
      <c r="C1590">
        <v>60</v>
      </c>
      <c r="D1590" t="s">
        <v>16</v>
      </c>
      <c r="E1590">
        <v>29</v>
      </c>
      <c r="F1590" t="str">
        <f t="shared" si="24"/>
        <v>25-48 Months</v>
      </c>
      <c r="G1590" t="s">
        <v>23</v>
      </c>
      <c r="H1590" t="s">
        <v>36</v>
      </c>
      <c r="I1590" t="s">
        <v>19</v>
      </c>
      <c r="J1590" t="s">
        <v>20</v>
      </c>
      <c r="K1590" t="s">
        <v>20</v>
      </c>
      <c r="L1590">
        <v>5</v>
      </c>
      <c r="M1590" s="7">
        <v>57.78</v>
      </c>
      <c r="N1590" s="7">
        <v>1640.82</v>
      </c>
      <c r="O1590" t="s">
        <v>20</v>
      </c>
    </row>
    <row r="1591" spans="1:15" x14ac:dyDescent="0.3">
      <c r="A1591" t="s">
        <v>1616</v>
      </c>
      <c r="B1591" t="s">
        <v>22</v>
      </c>
      <c r="C1591">
        <v>54</v>
      </c>
      <c r="D1591" t="s">
        <v>20</v>
      </c>
      <c r="E1591">
        <v>40</v>
      </c>
      <c r="F1591" t="str">
        <f t="shared" si="24"/>
        <v>25-48 Months</v>
      </c>
      <c r="G1591" t="s">
        <v>23</v>
      </c>
      <c r="H1591" t="s">
        <v>36</v>
      </c>
      <c r="I1591" t="s">
        <v>19</v>
      </c>
      <c r="J1591" t="s">
        <v>20</v>
      </c>
      <c r="K1591" t="s">
        <v>20</v>
      </c>
      <c r="L1591">
        <v>6</v>
      </c>
      <c r="M1591" s="7">
        <v>67.39</v>
      </c>
      <c r="N1591" s="7">
        <v>2771.32</v>
      </c>
      <c r="O1591" t="s">
        <v>20</v>
      </c>
    </row>
    <row r="1592" spans="1:15" x14ac:dyDescent="0.3">
      <c r="A1592" t="s">
        <v>1617</v>
      </c>
      <c r="B1592" t="s">
        <v>22</v>
      </c>
      <c r="C1592">
        <v>50</v>
      </c>
      <c r="D1592" t="s">
        <v>20</v>
      </c>
      <c r="E1592">
        <v>30</v>
      </c>
      <c r="F1592" t="str">
        <f t="shared" si="24"/>
        <v>25-48 Months</v>
      </c>
      <c r="G1592" t="s">
        <v>17</v>
      </c>
      <c r="H1592" t="s">
        <v>18</v>
      </c>
      <c r="I1592" t="s">
        <v>24</v>
      </c>
      <c r="J1592" t="s">
        <v>20</v>
      </c>
      <c r="K1592" t="s">
        <v>16</v>
      </c>
      <c r="L1592">
        <v>5</v>
      </c>
      <c r="M1592" s="7">
        <v>75.86</v>
      </c>
      <c r="N1592" s="7">
        <v>2230.91</v>
      </c>
      <c r="O1592" t="s">
        <v>16</v>
      </c>
    </row>
    <row r="1593" spans="1:15" x14ac:dyDescent="0.3">
      <c r="A1593" t="s">
        <v>1618</v>
      </c>
      <c r="B1593" t="s">
        <v>15</v>
      </c>
      <c r="C1593">
        <v>73</v>
      </c>
      <c r="D1593" t="s">
        <v>16</v>
      </c>
      <c r="E1593">
        <v>55</v>
      </c>
      <c r="F1593" t="str">
        <f t="shared" si="24"/>
        <v>49+ Months</v>
      </c>
      <c r="G1593" t="s">
        <v>17</v>
      </c>
      <c r="H1593" t="s">
        <v>18</v>
      </c>
      <c r="I1593" t="s">
        <v>30</v>
      </c>
      <c r="J1593" t="s">
        <v>20</v>
      </c>
      <c r="K1593" t="s">
        <v>20</v>
      </c>
      <c r="L1593">
        <v>4</v>
      </c>
      <c r="M1593" s="7">
        <v>77.569999999999993</v>
      </c>
      <c r="N1593" s="7">
        <v>4321.6499999999996</v>
      </c>
      <c r="O1593" t="s">
        <v>20</v>
      </c>
    </row>
    <row r="1594" spans="1:15" x14ac:dyDescent="0.3">
      <c r="A1594" t="s">
        <v>1619</v>
      </c>
      <c r="B1594" t="s">
        <v>22</v>
      </c>
      <c r="C1594">
        <v>20</v>
      </c>
      <c r="D1594" t="s">
        <v>20</v>
      </c>
      <c r="E1594">
        <v>16</v>
      </c>
      <c r="F1594" t="str">
        <f t="shared" si="24"/>
        <v>13-24 Months</v>
      </c>
      <c r="G1594" t="s">
        <v>17</v>
      </c>
      <c r="H1594" t="s">
        <v>20</v>
      </c>
      <c r="I1594" t="s">
        <v>27</v>
      </c>
      <c r="J1594" t="s">
        <v>16</v>
      </c>
      <c r="K1594" t="s">
        <v>20</v>
      </c>
      <c r="L1594">
        <v>4</v>
      </c>
      <c r="M1594" s="7">
        <v>47.5</v>
      </c>
      <c r="N1594" s="7">
        <v>761.85</v>
      </c>
      <c r="O1594" t="s">
        <v>20</v>
      </c>
    </row>
    <row r="1595" spans="1:15" x14ac:dyDescent="0.3">
      <c r="A1595" t="s">
        <v>1620</v>
      </c>
      <c r="B1595" t="s">
        <v>22</v>
      </c>
      <c r="C1595">
        <v>71</v>
      </c>
      <c r="D1595" t="s">
        <v>16</v>
      </c>
      <c r="E1595">
        <v>46</v>
      </c>
      <c r="F1595" t="str">
        <f t="shared" si="24"/>
        <v>25-48 Months</v>
      </c>
      <c r="G1595" t="s">
        <v>35</v>
      </c>
      <c r="H1595" t="s">
        <v>20</v>
      </c>
      <c r="I1595" t="s">
        <v>24</v>
      </c>
      <c r="J1595" t="s">
        <v>20</v>
      </c>
      <c r="K1595" t="s">
        <v>20</v>
      </c>
      <c r="L1595">
        <v>4</v>
      </c>
      <c r="M1595" s="7">
        <v>47.83</v>
      </c>
      <c r="N1595" s="7">
        <v>2208.79</v>
      </c>
      <c r="O1595" t="s">
        <v>20</v>
      </c>
    </row>
    <row r="1596" spans="1:15" x14ac:dyDescent="0.3">
      <c r="A1596" t="s">
        <v>1621</v>
      </c>
      <c r="B1596" t="s">
        <v>22</v>
      </c>
      <c r="C1596">
        <v>36</v>
      </c>
      <c r="D1596" t="s">
        <v>20</v>
      </c>
      <c r="E1596">
        <v>62</v>
      </c>
      <c r="F1596" t="str">
        <f t="shared" si="24"/>
        <v>49+ Months</v>
      </c>
      <c r="G1596" t="s">
        <v>35</v>
      </c>
      <c r="H1596" t="s">
        <v>18</v>
      </c>
      <c r="I1596" t="s">
        <v>27</v>
      </c>
      <c r="J1596" t="s">
        <v>20</v>
      </c>
      <c r="K1596" t="s">
        <v>16</v>
      </c>
      <c r="L1596">
        <v>2</v>
      </c>
      <c r="M1596" s="7">
        <v>79.209999999999994</v>
      </c>
      <c r="N1596" s="7">
        <v>5169.82</v>
      </c>
      <c r="O1596" t="s">
        <v>20</v>
      </c>
    </row>
    <row r="1597" spans="1:15" x14ac:dyDescent="0.3">
      <c r="A1597" t="s">
        <v>1622</v>
      </c>
      <c r="B1597" t="s">
        <v>22</v>
      </c>
      <c r="C1597">
        <v>40</v>
      </c>
      <c r="D1597" t="s">
        <v>20</v>
      </c>
      <c r="E1597">
        <v>7</v>
      </c>
      <c r="F1597" t="str">
        <f t="shared" si="24"/>
        <v>7-12 Months</v>
      </c>
      <c r="G1597" t="s">
        <v>17</v>
      </c>
      <c r="H1597" t="s">
        <v>20</v>
      </c>
      <c r="I1597" t="s">
        <v>24</v>
      </c>
      <c r="J1597" t="s">
        <v>16</v>
      </c>
      <c r="K1597" t="s">
        <v>20</v>
      </c>
      <c r="L1597">
        <v>5</v>
      </c>
      <c r="M1597" s="7">
        <v>44.29</v>
      </c>
      <c r="N1597" s="7">
        <v>320.14999999999998</v>
      </c>
      <c r="O1597" t="s">
        <v>16</v>
      </c>
    </row>
    <row r="1598" spans="1:15" x14ac:dyDescent="0.3">
      <c r="A1598" t="s">
        <v>1623</v>
      </c>
      <c r="B1598" t="s">
        <v>22</v>
      </c>
      <c r="C1598">
        <v>46</v>
      </c>
      <c r="D1598" t="s">
        <v>20</v>
      </c>
      <c r="E1598">
        <v>45</v>
      </c>
      <c r="F1598" t="str">
        <f t="shared" si="24"/>
        <v>25-48 Months</v>
      </c>
      <c r="G1598" t="s">
        <v>17</v>
      </c>
      <c r="H1598" t="s">
        <v>20</v>
      </c>
      <c r="I1598" t="s">
        <v>30</v>
      </c>
      <c r="J1598" t="s">
        <v>20</v>
      </c>
      <c r="K1598" t="s">
        <v>16</v>
      </c>
      <c r="L1598">
        <v>7</v>
      </c>
      <c r="M1598" s="7">
        <v>50.71</v>
      </c>
      <c r="N1598" s="7">
        <v>2450.15</v>
      </c>
      <c r="O1598" t="s">
        <v>20</v>
      </c>
    </row>
    <row r="1599" spans="1:15" x14ac:dyDescent="0.3">
      <c r="A1599" t="s">
        <v>1624</v>
      </c>
      <c r="B1599" t="s">
        <v>15</v>
      </c>
      <c r="C1599">
        <v>47</v>
      </c>
      <c r="D1599" t="s">
        <v>20</v>
      </c>
      <c r="E1599">
        <v>59</v>
      </c>
      <c r="F1599" t="str">
        <f t="shared" si="24"/>
        <v>49+ Months</v>
      </c>
      <c r="G1599" t="s">
        <v>17</v>
      </c>
      <c r="H1599" t="s">
        <v>36</v>
      </c>
      <c r="I1599" t="s">
        <v>19</v>
      </c>
      <c r="J1599" t="s">
        <v>20</v>
      </c>
      <c r="K1599" t="s">
        <v>16</v>
      </c>
      <c r="L1599">
        <v>1</v>
      </c>
      <c r="M1599" s="7">
        <v>52.17</v>
      </c>
      <c r="N1599" s="7">
        <v>3221.33</v>
      </c>
      <c r="O1599" t="s">
        <v>20</v>
      </c>
    </row>
    <row r="1600" spans="1:15" x14ac:dyDescent="0.3">
      <c r="A1600" t="s">
        <v>1625</v>
      </c>
      <c r="B1600" t="s">
        <v>22</v>
      </c>
      <c r="C1600">
        <v>56</v>
      </c>
      <c r="D1600" t="s">
        <v>20</v>
      </c>
      <c r="E1600">
        <v>56</v>
      </c>
      <c r="F1600" t="str">
        <f t="shared" si="24"/>
        <v>49+ Months</v>
      </c>
      <c r="G1600" t="s">
        <v>23</v>
      </c>
      <c r="H1600" t="s">
        <v>18</v>
      </c>
      <c r="I1600" t="s">
        <v>19</v>
      </c>
      <c r="J1600" t="s">
        <v>20</v>
      </c>
      <c r="K1600" t="s">
        <v>20</v>
      </c>
      <c r="L1600">
        <v>3</v>
      </c>
      <c r="M1600" s="7">
        <v>83.17</v>
      </c>
      <c r="N1600" s="7">
        <v>4393.5600000000004</v>
      </c>
      <c r="O1600" t="s">
        <v>20</v>
      </c>
    </row>
    <row r="1601" spans="1:15" x14ac:dyDescent="0.3">
      <c r="A1601" t="s">
        <v>1626</v>
      </c>
      <c r="B1601" t="s">
        <v>15</v>
      </c>
      <c r="C1601">
        <v>61</v>
      </c>
      <c r="D1601" t="s">
        <v>16</v>
      </c>
      <c r="E1601">
        <v>48</v>
      </c>
      <c r="F1601" t="str">
        <f t="shared" si="24"/>
        <v>25-48 Months</v>
      </c>
      <c r="G1601" t="s">
        <v>17</v>
      </c>
      <c r="H1601" t="s">
        <v>20</v>
      </c>
      <c r="I1601" t="s">
        <v>19</v>
      </c>
      <c r="J1601" t="s">
        <v>16</v>
      </c>
      <c r="K1601" t="s">
        <v>16</v>
      </c>
      <c r="L1601">
        <v>7</v>
      </c>
      <c r="M1601" s="7">
        <v>53.58</v>
      </c>
      <c r="N1601" s="7">
        <v>2669.97</v>
      </c>
      <c r="O1601" t="s">
        <v>20</v>
      </c>
    </row>
    <row r="1602" spans="1:15" x14ac:dyDescent="0.3">
      <c r="A1602" t="s">
        <v>1627</v>
      </c>
      <c r="B1602" t="s">
        <v>22</v>
      </c>
      <c r="C1602">
        <v>64</v>
      </c>
      <c r="D1602" t="s">
        <v>16</v>
      </c>
      <c r="E1602">
        <v>27</v>
      </c>
      <c r="F1602" t="str">
        <f t="shared" ref="F1602:F1665" si="25">IF(E1602&lt;=6,"0-6 Months",
 IF(E1602&lt;=12,"7-12 Months",
 IF(E1602&lt;=24,"13-24 Months",
 IF(E1602&lt;=48,"25-48 Months","49+ Months"))))</f>
        <v>25-48 Months</v>
      </c>
      <c r="G1602" t="s">
        <v>17</v>
      </c>
      <c r="H1602" t="s">
        <v>36</v>
      </c>
      <c r="I1602" t="s">
        <v>24</v>
      </c>
      <c r="J1602" t="s">
        <v>20</v>
      </c>
      <c r="K1602" t="s">
        <v>16</v>
      </c>
      <c r="L1602">
        <v>5</v>
      </c>
      <c r="M1602" s="7">
        <v>73.59</v>
      </c>
      <c r="N1602" s="7">
        <v>2039.59</v>
      </c>
      <c r="O1602" t="s">
        <v>20</v>
      </c>
    </row>
    <row r="1603" spans="1:15" x14ac:dyDescent="0.3">
      <c r="A1603" t="s">
        <v>1628</v>
      </c>
      <c r="B1603" t="s">
        <v>15</v>
      </c>
      <c r="C1603">
        <v>42</v>
      </c>
      <c r="D1603" t="s">
        <v>20</v>
      </c>
      <c r="E1603">
        <v>53</v>
      </c>
      <c r="F1603" t="str">
        <f t="shared" si="25"/>
        <v>49+ Months</v>
      </c>
      <c r="G1603" t="s">
        <v>17</v>
      </c>
      <c r="H1603" t="s">
        <v>20</v>
      </c>
      <c r="I1603" t="s">
        <v>30</v>
      </c>
      <c r="J1603" t="s">
        <v>20</v>
      </c>
      <c r="K1603" t="s">
        <v>16</v>
      </c>
      <c r="L1603">
        <v>2</v>
      </c>
      <c r="M1603" s="7">
        <v>37.97</v>
      </c>
      <c r="N1603" s="7">
        <v>2059.4299999999998</v>
      </c>
      <c r="O1603" t="s">
        <v>20</v>
      </c>
    </row>
    <row r="1604" spans="1:15" x14ac:dyDescent="0.3">
      <c r="A1604" t="s">
        <v>1629</v>
      </c>
      <c r="B1604" t="s">
        <v>22</v>
      </c>
      <c r="C1604">
        <v>54</v>
      </c>
      <c r="D1604" t="s">
        <v>20</v>
      </c>
      <c r="E1604">
        <v>35</v>
      </c>
      <c r="F1604" t="str">
        <f t="shared" si="25"/>
        <v>25-48 Months</v>
      </c>
      <c r="G1604" t="s">
        <v>17</v>
      </c>
      <c r="H1604" t="s">
        <v>20</v>
      </c>
      <c r="I1604" t="s">
        <v>30</v>
      </c>
      <c r="J1604" t="s">
        <v>16</v>
      </c>
      <c r="K1604" t="s">
        <v>20</v>
      </c>
      <c r="L1604">
        <v>6</v>
      </c>
      <c r="M1604" s="7">
        <v>45</v>
      </c>
      <c r="N1604" s="7">
        <v>1570.15</v>
      </c>
      <c r="O1604" t="s">
        <v>20</v>
      </c>
    </row>
    <row r="1605" spans="1:15" x14ac:dyDescent="0.3">
      <c r="A1605" t="s">
        <v>1630</v>
      </c>
      <c r="B1605" t="s">
        <v>15</v>
      </c>
      <c r="C1605">
        <v>64</v>
      </c>
      <c r="D1605" t="s">
        <v>16</v>
      </c>
      <c r="E1605">
        <v>51</v>
      </c>
      <c r="F1605" t="str">
        <f t="shared" si="25"/>
        <v>49+ Months</v>
      </c>
      <c r="G1605" t="s">
        <v>23</v>
      </c>
      <c r="H1605" t="s">
        <v>20</v>
      </c>
      <c r="I1605" t="s">
        <v>24</v>
      </c>
      <c r="J1605" t="s">
        <v>20</v>
      </c>
      <c r="K1605" t="s">
        <v>16</v>
      </c>
      <c r="L1605">
        <v>4</v>
      </c>
      <c r="M1605" s="7">
        <v>37.85</v>
      </c>
      <c r="N1605" s="7">
        <v>1795.21</v>
      </c>
      <c r="O1605" t="s">
        <v>20</v>
      </c>
    </row>
    <row r="1606" spans="1:15" x14ac:dyDescent="0.3">
      <c r="A1606" t="s">
        <v>1631</v>
      </c>
      <c r="B1606" t="s">
        <v>22</v>
      </c>
      <c r="C1606">
        <v>25</v>
      </c>
      <c r="D1606" t="s">
        <v>20</v>
      </c>
      <c r="E1606">
        <v>37</v>
      </c>
      <c r="F1606" t="str">
        <f t="shared" si="25"/>
        <v>25-48 Months</v>
      </c>
      <c r="G1606" t="s">
        <v>17</v>
      </c>
      <c r="H1606" t="s">
        <v>36</v>
      </c>
      <c r="I1606" t="s">
        <v>27</v>
      </c>
      <c r="J1606" t="s">
        <v>20</v>
      </c>
      <c r="K1606" t="s">
        <v>16</v>
      </c>
      <c r="L1606">
        <v>5</v>
      </c>
      <c r="M1606" s="7">
        <v>62.72</v>
      </c>
      <c r="N1606" s="7">
        <v>2488.2800000000002</v>
      </c>
      <c r="O1606" t="s">
        <v>20</v>
      </c>
    </row>
    <row r="1607" spans="1:15" x14ac:dyDescent="0.3">
      <c r="A1607" t="s">
        <v>1632</v>
      </c>
      <c r="B1607" t="s">
        <v>15</v>
      </c>
      <c r="C1607">
        <v>59</v>
      </c>
      <c r="D1607" t="s">
        <v>20</v>
      </c>
      <c r="E1607">
        <v>57</v>
      </c>
      <c r="F1607" t="str">
        <f t="shared" si="25"/>
        <v>49+ Months</v>
      </c>
      <c r="G1607" t="s">
        <v>23</v>
      </c>
      <c r="H1607" t="s">
        <v>18</v>
      </c>
      <c r="I1607" t="s">
        <v>24</v>
      </c>
      <c r="J1607" t="s">
        <v>20</v>
      </c>
      <c r="K1607" t="s">
        <v>20</v>
      </c>
      <c r="L1607">
        <v>3</v>
      </c>
      <c r="M1607" s="7">
        <v>64.010000000000005</v>
      </c>
      <c r="N1607" s="7">
        <v>3854.01</v>
      </c>
      <c r="O1607" t="s">
        <v>20</v>
      </c>
    </row>
    <row r="1608" spans="1:15" x14ac:dyDescent="0.3">
      <c r="A1608" t="s">
        <v>1633</v>
      </c>
      <c r="B1608" t="s">
        <v>22</v>
      </c>
      <c r="C1608">
        <v>75</v>
      </c>
      <c r="D1608" t="s">
        <v>16</v>
      </c>
      <c r="E1608">
        <v>8</v>
      </c>
      <c r="F1608" t="str">
        <f t="shared" si="25"/>
        <v>7-12 Months</v>
      </c>
      <c r="G1608" t="s">
        <v>17</v>
      </c>
      <c r="H1608" t="s">
        <v>18</v>
      </c>
      <c r="I1608" t="s">
        <v>30</v>
      </c>
      <c r="J1608" t="s">
        <v>20</v>
      </c>
      <c r="K1608" t="s">
        <v>20</v>
      </c>
      <c r="L1608">
        <v>4</v>
      </c>
      <c r="M1608" s="7">
        <v>75.13</v>
      </c>
      <c r="N1608" s="7">
        <v>599.77</v>
      </c>
      <c r="O1608" t="s">
        <v>16</v>
      </c>
    </row>
    <row r="1609" spans="1:15" x14ac:dyDescent="0.3">
      <c r="A1609" t="s">
        <v>1634</v>
      </c>
      <c r="B1609" t="s">
        <v>15</v>
      </c>
      <c r="C1609">
        <v>33</v>
      </c>
      <c r="D1609" t="s">
        <v>20</v>
      </c>
      <c r="E1609">
        <v>20</v>
      </c>
      <c r="F1609" t="str">
        <f t="shared" si="25"/>
        <v>13-24 Months</v>
      </c>
      <c r="G1609" t="s">
        <v>17</v>
      </c>
      <c r="H1609" t="s">
        <v>18</v>
      </c>
      <c r="I1609" t="s">
        <v>24</v>
      </c>
      <c r="J1609" t="s">
        <v>16</v>
      </c>
      <c r="K1609" t="s">
        <v>20</v>
      </c>
      <c r="L1609">
        <v>7</v>
      </c>
      <c r="M1609" s="7">
        <v>98.99</v>
      </c>
      <c r="N1609" s="7">
        <v>1871.65</v>
      </c>
      <c r="O1609" t="s">
        <v>16</v>
      </c>
    </row>
    <row r="1610" spans="1:15" x14ac:dyDescent="0.3">
      <c r="A1610" t="s">
        <v>1635</v>
      </c>
      <c r="B1610" t="s">
        <v>22</v>
      </c>
      <c r="C1610">
        <v>25</v>
      </c>
      <c r="D1610" t="s">
        <v>20</v>
      </c>
      <c r="E1610">
        <v>53</v>
      </c>
      <c r="F1610" t="str">
        <f t="shared" si="25"/>
        <v>49+ Months</v>
      </c>
      <c r="G1610" t="s">
        <v>23</v>
      </c>
      <c r="H1610" t="s">
        <v>18</v>
      </c>
      <c r="I1610" t="s">
        <v>24</v>
      </c>
      <c r="J1610" t="s">
        <v>20</v>
      </c>
      <c r="K1610" t="s">
        <v>20</v>
      </c>
      <c r="L1610">
        <v>6</v>
      </c>
      <c r="M1610" s="7">
        <v>96.42</v>
      </c>
      <c r="N1610" s="7">
        <v>5375.56</v>
      </c>
      <c r="O1610" t="s">
        <v>16</v>
      </c>
    </row>
    <row r="1611" spans="1:15" x14ac:dyDescent="0.3">
      <c r="A1611" t="s">
        <v>1636</v>
      </c>
      <c r="B1611" t="s">
        <v>15</v>
      </c>
      <c r="C1611">
        <v>18</v>
      </c>
      <c r="D1611" t="s">
        <v>20</v>
      </c>
      <c r="E1611">
        <v>12</v>
      </c>
      <c r="F1611" t="str">
        <f t="shared" si="25"/>
        <v>7-12 Months</v>
      </c>
      <c r="G1611" t="s">
        <v>35</v>
      </c>
      <c r="H1611" t="s">
        <v>36</v>
      </c>
      <c r="I1611" t="s">
        <v>24</v>
      </c>
      <c r="J1611" t="s">
        <v>20</v>
      </c>
      <c r="K1611" t="s">
        <v>20</v>
      </c>
      <c r="L1611">
        <v>5</v>
      </c>
      <c r="M1611" s="7">
        <v>65</v>
      </c>
      <c r="N1611" s="7">
        <v>771.35</v>
      </c>
      <c r="O1611" t="s">
        <v>16</v>
      </c>
    </row>
    <row r="1612" spans="1:15" x14ac:dyDescent="0.3">
      <c r="A1612" t="s">
        <v>1637</v>
      </c>
      <c r="B1612" t="s">
        <v>15</v>
      </c>
      <c r="C1612">
        <v>61</v>
      </c>
      <c r="D1612" t="s">
        <v>16</v>
      </c>
      <c r="E1612">
        <v>49</v>
      </c>
      <c r="F1612" t="str">
        <f t="shared" si="25"/>
        <v>49+ Months</v>
      </c>
      <c r="G1612" t="s">
        <v>23</v>
      </c>
      <c r="H1612" t="s">
        <v>36</v>
      </c>
      <c r="I1612" t="s">
        <v>30</v>
      </c>
      <c r="J1612" t="s">
        <v>16</v>
      </c>
      <c r="K1612" t="s">
        <v>20</v>
      </c>
      <c r="L1612">
        <v>2</v>
      </c>
      <c r="M1612" s="7">
        <v>54.18</v>
      </c>
      <c r="N1612" s="7">
        <v>2608.14</v>
      </c>
      <c r="O1612" t="s">
        <v>20</v>
      </c>
    </row>
    <row r="1613" spans="1:15" x14ac:dyDescent="0.3">
      <c r="A1613" t="s">
        <v>1638</v>
      </c>
      <c r="B1613" t="s">
        <v>22</v>
      </c>
      <c r="C1613">
        <v>22</v>
      </c>
      <c r="D1613" t="s">
        <v>20</v>
      </c>
      <c r="E1613">
        <v>17</v>
      </c>
      <c r="F1613" t="str">
        <f t="shared" si="25"/>
        <v>13-24 Months</v>
      </c>
      <c r="G1613" t="s">
        <v>17</v>
      </c>
      <c r="H1613" t="s">
        <v>20</v>
      </c>
      <c r="I1613" t="s">
        <v>30</v>
      </c>
      <c r="J1613" t="s">
        <v>20</v>
      </c>
      <c r="K1613" t="s">
        <v>16</v>
      </c>
      <c r="L1613">
        <v>3</v>
      </c>
      <c r="M1613" s="7">
        <v>34.83</v>
      </c>
      <c r="N1613" s="7">
        <v>607.78</v>
      </c>
      <c r="O1613" t="s">
        <v>20</v>
      </c>
    </row>
    <row r="1614" spans="1:15" x14ac:dyDescent="0.3">
      <c r="A1614" t="s">
        <v>1639</v>
      </c>
      <c r="B1614" t="s">
        <v>22</v>
      </c>
      <c r="C1614">
        <v>20</v>
      </c>
      <c r="D1614" t="s">
        <v>20</v>
      </c>
      <c r="E1614">
        <v>64</v>
      </c>
      <c r="F1614" t="str">
        <f t="shared" si="25"/>
        <v>49+ Months</v>
      </c>
      <c r="G1614" t="s">
        <v>17</v>
      </c>
      <c r="H1614" t="s">
        <v>18</v>
      </c>
      <c r="I1614" t="s">
        <v>19</v>
      </c>
      <c r="J1614" t="s">
        <v>20</v>
      </c>
      <c r="K1614" t="s">
        <v>20</v>
      </c>
      <c r="L1614">
        <v>3</v>
      </c>
      <c r="M1614" s="7">
        <v>70.52</v>
      </c>
      <c r="N1614" s="7">
        <v>4700.08</v>
      </c>
      <c r="O1614" t="s">
        <v>20</v>
      </c>
    </row>
    <row r="1615" spans="1:15" x14ac:dyDescent="0.3">
      <c r="A1615" t="s">
        <v>1640</v>
      </c>
      <c r="B1615" t="s">
        <v>15</v>
      </c>
      <c r="C1615">
        <v>18</v>
      </c>
      <c r="D1615" t="s">
        <v>20</v>
      </c>
      <c r="E1615">
        <v>42</v>
      </c>
      <c r="F1615" t="str">
        <f t="shared" si="25"/>
        <v>25-48 Months</v>
      </c>
      <c r="G1615" t="s">
        <v>35</v>
      </c>
      <c r="H1615" t="s">
        <v>36</v>
      </c>
      <c r="I1615" t="s">
        <v>24</v>
      </c>
      <c r="J1615" t="s">
        <v>20</v>
      </c>
      <c r="K1615" t="s">
        <v>20</v>
      </c>
      <c r="L1615">
        <v>6</v>
      </c>
      <c r="M1615" s="7">
        <v>70.989999999999995</v>
      </c>
      <c r="N1615" s="7">
        <v>2773.03</v>
      </c>
      <c r="O1615" t="s">
        <v>20</v>
      </c>
    </row>
    <row r="1616" spans="1:15" x14ac:dyDescent="0.3">
      <c r="A1616" t="s">
        <v>1641</v>
      </c>
      <c r="B1616" t="s">
        <v>22</v>
      </c>
      <c r="C1616">
        <v>21</v>
      </c>
      <c r="D1616" t="s">
        <v>20</v>
      </c>
      <c r="E1616">
        <v>29</v>
      </c>
      <c r="F1616" t="str">
        <f t="shared" si="25"/>
        <v>25-48 Months</v>
      </c>
      <c r="G1616" t="s">
        <v>17</v>
      </c>
      <c r="H1616" t="s">
        <v>18</v>
      </c>
      <c r="I1616" t="s">
        <v>19</v>
      </c>
      <c r="J1616" t="s">
        <v>20</v>
      </c>
      <c r="K1616" t="s">
        <v>16</v>
      </c>
      <c r="L1616">
        <v>1</v>
      </c>
      <c r="M1616" s="7">
        <v>63.92</v>
      </c>
      <c r="N1616" s="7">
        <v>1933.03</v>
      </c>
      <c r="O1616" t="s">
        <v>16</v>
      </c>
    </row>
    <row r="1617" spans="1:15" x14ac:dyDescent="0.3">
      <c r="A1617" t="s">
        <v>1642</v>
      </c>
      <c r="B1617" t="s">
        <v>15</v>
      </c>
      <c r="C1617">
        <v>57</v>
      </c>
      <c r="D1617" t="s">
        <v>20</v>
      </c>
      <c r="E1617">
        <v>19</v>
      </c>
      <c r="F1617" t="str">
        <f t="shared" si="25"/>
        <v>13-24 Months</v>
      </c>
      <c r="G1617" t="s">
        <v>17</v>
      </c>
      <c r="H1617" t="s">
        <v>18</v>
      </c>
      <c r="I1617" t="s">
        <v>30</v>
      </c>
      <c r="J1617" t="s">
        <v>16</v>
      </c>
      <c r="K1617" t="s">
        <v>20</v>
      </c>
      <c r="L1617">
        <v>3</v>
      </c>
      <c r="M1617" s="7">
        <v>86.83</v>
      </c>
      <c r="N1617" s="7">
        <v>1711.52</v>
      </c>
      <c r="O1617" t="s">
        <v>20</v>
      </c>
    </row>
    <row r="1618" spans="1:15" x14ac:dyDescent="0.3">
      <c r="A1618" t="s">
        <v>1643</v>
      </c>
      <c r="B1618" t="s">
        <v>15</v>
      </c>
      <c r="C1618">
        <v>52</v>
      </c>
      <c r="D1618" t="s">
        <v>20</v>
      </c>
      <c r="E1618">
        <v>11</v>
      </c>
      <c r="F1618" t="str">
        <f t="shared" si="25"/>
        <v>7-12 Months</v>
      </c>
      <c r="G1618" t="s">
        <v>35</v>
      </c>
      <c r="H1618" t="s">
        <v>18</v>
      </c>
      <c r="I1618" t="s">
        <v>30</v>
      </c>
      <c r="J1618" t="s">
        <v>20</v>
      </c>
      <c r="K1618" t="s">
        <v>16</v>
      </c>
      <c r="L1618">
        <v>1</v>
      </c>
      <c r="M1618" s="7">
        <v>69.86</v>
      </c>
      <c r="N1618" s="7">
        <v>779.43</v>
      </c>
      <c r="O1618" t="s">
        <v>20</v>
      </c>
    </row>
    <row r="1619" spans="1:15" x14ac:dyDescent="0.3">
      <c r="A1619" t="s">
        <v>1644</v>
      </c>
      <c r="B1619" t="s">
        <v>15</v>
      </c>
      <c r="C1619">
        <v>49</v>
      </c>
      <c r="D1619" t="s">
        <v>20</v>
      </c>
      <c r="E1619">
        <v>50</v>
      </c>
      <c r="F1619" t="str">
        <f t="shared" si="25"/>
        <v>49+ Months</v>
      </c>
      <c r="G1619" t="s">
        <v>35</v>
      </c>
      <c r="H1619" t="s">
        <v>36</v>
      </c>
      <c r="I1619" t="s">
        <v>24</v>
      </c>
      <c r="J1619" t="s">
        <v>16</v>
      </c>
      <c r="K1619" t="s">
        <v>20</v>
      </c>
      <c r="L1619">
        <v>6</v>
      </c>
      <c r="M1619" s="7">
        <v>70.12</v>
      </c>
      <c r="N1619" s="7">
        <v>3415.36</v>
      </c>
      <c r="O1619" t="s">
        <v>20</v>
      </c>
    </row>
    <row r="1620" spans="1:15" x14ac:dyDescent="0.3">
      <c r="A1620" t="s">
        <v>1645</v>
      </c>
      <c r="B1620" t="s">
        <v>22</v>
      </c>
      <c r="C1620">
        <v>59</v>
      </c>
      <c r="D1620" t="s">
        <v>20</v>
      </c>
      <c r="E1620">
        <v>71</v>
      </c>
      <c r="F1620" t="str">
        <f t="shared" si="25"/>
        <v>49+ Months</v>
      </c>
      <c r="G1620" t="s">
        <v>35</v>
      </c>
      <c r="H1620" t="s">
        <v>18</v>
      </c>
      <c r="I1620" t="s">
        <v>24</v>
      </c>
      <c r="J1620" t="s">
        <v>16</v>
      </c>
      <c r="K1620" t="s">
        <v>20</v>
      </c>
      <c r="L1620">
        <v>3</v>
      </c>
      <c r="M1620" s="7">
        <v>67.58</v>
      </c>
      <c r="N1620" s="7">
        <v>4540.8500000000004</v>
      </c>
      <c r="O1620" t="s">
        <v>20</v>
      </c>
    </row>
    <row r="1621" spans="1:15" x14ac:dyDescent="0.3">
      <c r="A1621" t="s">
        <v>1646</v>
      </c>
      <c r="B1621" t="s">
        <v>15</v>
      </c>
      <c r="C1621">
        <v>51</v>
      </c>
      <c r="D1621" t="s">
        <v>20</v>
      </c>
      <c r="E1621">
        <v>58</v>
      </c>
      <c r="F1621" t="str">
        <f t="shared" si="25"/>
        <v>49+ Months</v>
      </c>
      <c r="G1621" t="s">
        <v>35</v>
      </c>
      <c r="H1621" t="s">
        <v>36</v>
      </c>
      <c r="I1621" t="s">
        <v>30</v>
      </c>
      <c r="J1621" t="s">
        <v>20</v>
      </c>
      <c r="K1621" t="s">
        <v>20</v>
      </c>
      <c r="L1621">
        <v>5</v>
      </c>
      <c r="M1621" s="7">
        <v>46.77</v>
      </c>
      <c r="N1621" s="7">
        <v>2540.1999999999998</v>
      </c>
      <c r="O1621" t="s">
        <v>20</v>
      </c>
    </row>
    <row r="1622" spans="1:15" x14ac:dyDescent="0.3">
      <c r="A1622" t="s">
        <v>1647</v>
      </c>
      <c r="B1622" t="s">
        <v>15</v>
      </c>
      <c r="C1622">
        <v>60</v>
      </c>
      <c r="D1622" t="s">
        <v>16</v>
      </c>
      <c r="E1622">
        <v>34</v>
      </c>
      <c r="F1622" t="str">
        <f t="shared" si="25"/>
        <v>25-48 Months</v>
      </c>
      <c r="G1622" t="s">
        <v>35</v>
      </c>
      <c r="H1622" t="s">
        <v>18</v>
      </c>
      <c r="I1622" t="s">
        <v>24</v>
      </c>
      <c r="J1622" t="s">
        <v>20</v>
      </c>
      <c r="K1622" t="s">
        <v>16</v>
      </c>
      <c r="L1622">
        <v>5</v>
      </c>
      <c r="M1622" s="7">
        <v>86.12</v>
      </c>
      <c r="N1622" s="7">
        <v>2694.39</v>
      </c>
      <c r="O1622" t="s">
        <v>20</v>
      </c>
    </row>
    <row r="1623" spans="1:15" x14ac:dyDescent="0.3">
      <c r="A1623" t="s">
        <v>1648</v>
      </c>
      <c r="B1623" t="s">
        <v>22</v>
      </c>
      <c r="C1623">
        <v>42</v>
      </c>
      <c r="D1623" t="s">
        <v>20</v>
      </c>
      <c r="E1623">
        <v>20</v>
      </c>
      <c r="F1623" t="str">
        <f t="shared" si="25"/>
        <v>13-24 Months</v>
      </c>
      <c r="G1623" t="s">
        <v>17</v>
      </c>
      <c r="H1623" t="s">
        <v>20</v>
      </c>
      <c r="I1623" t="s">
        <v>24</v>
      </c>
      <c r="J1623" t="s">
        <v>20</v>
      </c>
      <c r="K1623" t="s">
        <v>16</v>
      </c>
      <c r="L1623">
        <v>3</v>
      </c>
      <c r="M1623" s="7">
        <v>33.520000000000003</v>
      </c>
      <c r="N1623" s="7">
        <v>638.91</v>
      </c>
      <c r="O1623" t="s">
        <v>20</v>
      </c>
    </row>
    <row r="1624" spans="1:15" x14ac:dyDescent="0.3">
      <c r="A1624" t="s">
        <v>1649</v>
      </c>
      <c r="B1624" t="s">
        <v>22</v>
      </c>
      <c r="C1624">
        <v>27</v>
      </c>
      <c r="D1624" t="s">
        <v>20</v>
      </c>
      <c r="E1624">
        <v>50</v>
      </c>
      <c r="F1624" t="str">
        <f t="shared" si="25"/>
        <v>49+ Months</v>
      </c>
      <c r="G1624" t="s">
        <v>17</v>
      </c>
      <c r="H1624" t="s">
        <v>20</v>
      </c>
      <c r="I1624" t="s">
        <v>24</v>
      </c>
      <c r="J1624" t="s">
        <v>16</v>
      </c>
      <c r="K1624" t="s">
        <v>16</v>
      </c>
      <c r="L1624">
        <v>4</v>
      </c>
      <c r="M1624" s="7">
        <v>47.89</v>
      </c>
      <c r="N1624" s="7">
        <v>2360.5300000000002</v>
      </c>
      <c r="O1624" t="s">
        <v>20</v>
      </c>
    </row>
    <row r="1625" spans="1:15" x14ac:dyDescent="0.3">
      <c r="A1625" t="s">
        <v>1650</v>
      </c>
      <c r="B1625" t="s">
        <v>22</v>
      </c>
      <c r="C1625">
        <v>38</v>
      </c>
      <c r="D1625" t="s">
        <v>20</v>
      </c>
      <c r="E1625">
        <v>10</v>
      </c>
      <c r="F1625" t="str">
        <f t="shared" si="25"/>
        <v>7-12 Months</v>
      </c>
      <c r="G1625" t="s">
        <v>23</v>
      </c>
      <c r="H1625" t="s">
        <v>20</v>
      </c>
      <c r="I1625" t="s">
        <v>19</v>
      </c>
      <c r="J1625" t="s">
        <v>20</v>
      </c>
      <c r="K1625" t="s">
        <v>16</v>
      </c>
      <c r="L1625">
        <v>4</v>
      </c>
      <c r="M1625" s="7">
        <v>34.61</v>
      </c>
      <c r="N1625" s="7">
        <v>331.9</v>
      </c>
      <c r="O1625" t="s">
        <v>20</v>
      </c>
    </row>
    <row r="1626" spans="1:15" x14ac:dyDescent="0.3">
      <c r="A1626" t="s">
        <v>1651</v>
      </c>
      <c r="B1626" t="s">
        <v>22</v>
      </c>
      <c r="C1626">
        <v>63</v>
      </c>
      <c r="D1626" t="s">
        <v>16</v>
      </c>
      <c r="E1626">
        <v>32</v>
      </c>
      <c r="F1626" t="str">
        <f t="shared" si="25"/>
        <v>25-48 Months</v>
      </c>
      <c r="G1626" t="s">
        <v>17</v>
      </c>
      <c r="H1626" t="s">
        <v>20</v>
      </c>
      <c r="I1626" t="s">
        <v>19</v>
      </c>
      <c r="J1626" t="s">
        <v>20</v>
      </c>
      <c r="K1626" t="s">
        <v>20</v>
      </c>
      <c r="L1626">
        <v>4</v>
      </c>
      <c r="M1626" s="7">
        <v>37.28</v>
      </c>
      <c r="N1626" s="7">
        <v>1156.5</v>
      </c>
      <c r="O1626" t="s">
        <v>20</v>
      </c>
    </row>
    <row r="1627" spans="1:15" x14ac:dyDescent="0.3">
      <c r="A1627" t="s">
        <v>1652</v>
      </c>
      <c r="B1627" t="s">
        <v>15</v>
      </c>
      <c r="C1627">
        <v>56</v>
      </c>
      <c r="D1627" t="s">
        <v>20</v>
      </c>
      <c r="E1627">
        <v>52</v>
      </c>
      <c r="F1627" t="str">
        <f t="shared" si="25"/>
        <v>49+ Months</v>
      </c>
      <c r="G1627" t="s">
        <v>17</v>
      </c>
      <c r="H1627" t="s">
        <v>20</v>
      </c>
      <c r="I1627" t="s">
        <v>30</v>
      </c>
      <c r="J1627" t="s">
        <v>20</v>
      </c>
      <c r="K1627" t="s">
        <v>20</v>
      </c>
      <c r="L1627">
        <v>2</v>
      </c>
      <c r="M1627" s="7">
        <v>40.840000000000003</v>
      </c>
      <c r="N1627" s="7">
        <v>2086.46</v>
      </c>
      <c r="O1627" t="s">
        <v>20</v>
      </c>
    </row>
    <row r="1628" spans="1:15" x14ac:dyDescent="0.3">
      <c r="A1628" t="s">
        <v>1653</v>
      </c>
      <c r="B1628" t="s">
        <v>15</v>
      </c>
      <c r="C1628">
        <v>44</v>
      </c>
      <c r="D1628" t="s">
        <v>20</v>
      </c>
      <c r="E1628">
        <v>15</v>
      </c>
      <c r="F1628" t="str">
        <f t="shared" si="25"/>
        <v>13-24 Months</v>
      </c>
      <c r="G1628" t="s">
        <v>17</v>
      </c>
      <c r="H1628" t="s">
        <v>20</v>
      </c>
      <c r="I1628" t="s">
        <v>24</v>
      </c>
      <c r="J1628" t="s">
        <v>20</v>
      </c>
      <c r="K1628" t="s">
        <v>20</v>
      </c>
      <c r="L1628">
        <v>3</v>
      </c>
      <c r="M1628" s="7">
        <v>40.06</v>
      </c>
      <c r="N1628" s="7">
        <v>582.47</v>
      </c>
      <c r="O1628" t="s">
        <v>20</v>
      </c>
    </row>
    <row r="1629" spans="1:15" x14ac:dyDescent="0.3">
      <c r="A1629" t="s">
        <v>1654</v>
      </c>
      <c r="B1629" t="s">
        <v>15</v>
      </c>
      <c r="C1629">
        <v>44</v>
      </c>
      <c r="D1629" t="s">
        <v>20</v>
      </c>
      <c r="E1629">
        <v>3</v>
      </c>
      <c r="F1629" t="str">
        <f t="shared" si="25"/>
        <v>0-6 Months</v>
      </c>
      <c r="G1629" t="s">
        <v>17</v>
      </c>
      <c r="H1629" t="s">
        <v>36</v>
      </c>
      <c r="I1629" t="s">
        <v>30</v>
      </c>
      <c r="J1629" t="s">
        <v>20</v>
      </c>
      <c r="K1629" t="s">
        <v>20</v>
      </c>
      <c r="L1629">
        <v>6</v>
      </c>
      <c r="M1629" s="7">
        <v>59.99</v>
      </c>
      <c r="N1629" s="7">
        <v>186.44</v>
      </c>
      <c r="O1629" t="s">
        <v>20</v>
      </c>
    </row>
    <row r="1630" spans="1:15" x14ac:dyDescent="0.3">
      <c r="A1630" t="s">
        <v>1655</v>
      </c>
      <c r="B1630" t="s">
        <v>15</v>
      </c>
      <c r="C1630">
        <v>19</v>
      </c>
      <c r="D1630" t="s">
        <v>20</v>
      </c>
      <c r="E1630">
        <v>37</v>
      </c>
      <c r="F1630" t="str">
        <f t="shared" si="25"/>
        <v>25-48 Months</v>
      </c>
      <c r="G1630" t="s">
        <v>23</v>
      </c>
      <c r="H1630" t="s">
        <v>18</v>
      </c>
      <c r="I1630" t="s">
        <v>24</v>
      </c>
      <c r="J1630" t="s">
        <v>20</v>
      </c>
      <c r="K1630" t="s">
        <v>20</v>
      </c>
      <c r="L1630">
        <v>6</v>
      </c>
      <c r="M1630" s="7">
        <v>87.24</v>
      </c>
      <c r="N1630" s="7">
        <v>3223.61</v>
      </c>
      <c r="O1630" t="s">
        <v>20</v>
      </c>
    </row>
    <row r="1631" spans="1:15" x14ac:dyDescent="0.3">
      <c r="A1631" t="s">
        <v>1656</v>
      </c>
      <c r="B1631" t="s">
        <v>22</v>
      </c>
      <c r="C1631">
        <v>58</v>
      </c>
      <c r="D1631" t="s">
        <v>20</v>
      </c>
      <c r="E1631">
        <v>40</v>
      </c>
      <c r="F1631" t="str">
        <f t="shared" si="25"/>
        <v>25-48 Months</v>
      </c>
      <c r="G1631" t="s">
        <v>17</v>
      </c>
      <c r="H1631" t="s">
        <v>18</v>
      </c>
      <c r="I1631" t="s">
        <v>27</v>
      </c>
      <c r="J1631" t="s">
        <v>16</v>
      </c>
      <c r="K1631" t="s">
        <v>20</v>
      </c>
      <c r="L1631">
        <v>2</v>
      </c>
      <c r="M1631" s="7">
        <v>84.33</v>
      </c>
      <c r="N1631" s="7">
        <v>3113.78</v>
      </c>
      <c r="O1631" t="s">
        <v>20</v>
      </c>
    </row>
    <row r="1632" spans="1:15" x14ac:dyDescent="0.3">
      <c r="A1632" t="s">
        <v>1657</v>
      </c>
      <c r="B1632" t="s">
        <v>15</v>
      </c>
      <c r="C1632">
        <v>65</v>
      </c>
      <c r="D1632" t="s">
        <v>16</v>
      </c>
      <c r="E1632">
        <v>72</v>
      </c>
      <c r="F1632" t="str">
        <f t="shared" si="25"/>
        <v>49+ Months</v>
      </c>
      <c r="G1632" t="s">
        <v>17</v>
      </c>
      <c r="H1632" t="s">
        <v>18</v>
      </c>
      <c r="I1632" t="s">
        <v>30</v>
      </c>
      <c r="J1632" t="s">
        <v>20</v>
      </c>
      <c r="K1632" t="s">
        <v>16</v>
      </c>
      <c r="L1632">
        <v>4</v>
      </c>
      <c r="M1632" s="7">
        <v>80.010000000000005</v>
      </c>
      <c r="N1632" s="7">
        <v>5508.79</v>
      </c>
      <c r="O1632" t="s">
        <v>20</v>
      </c>
    </row>
    <row r="1633" spans="1:15" x14ac:dyDescent="0.3">
      <c r="A1633" t="s">
        <v>1658</v>
      </c>
      <c r="B1633" t="s">
        <v>15</v>
      </c>
      <c r="C1633">
        <v>30</v>
      </c>
      <c r="D1633" t="s">
        <v>20</v>
      </c>
      <c r="E1633">
        <v>40</v>
      </c>
      <c r="F1633" t="str">
        <f t="shared" si="25"/>
        <v>25-48 Months</v>
      </c>
      <c r="G1633" t="s">
        <v>17</v>
      </c>
      <c r="H1633" t="s">
        <v>36</v>
      </c>
      <c r="I1633" t="s">
        <v>30</v>
      </c>
      <c r="J1633" t="s">
        <v>20</v>
      </c>
      <c r="K1633" t="s">
        <v>20</v>
      </c>
      <c r="L1633">
        <v>6</v>
      </c>
      <c r="M1633" s="7">
        <v>65.959999999999994</v>
      </c>
      <c r="N1633" s="7">
        <v>2726.91</v>
      </c>
      <c r="O1633" t="s">
        <v>20</v>
      </c>
    </row>
    <row r="1634" spans="1:15" x14ac:dyDescent="0.3">
      <c r="A1634" t="s">
        <v>1659</v>
      </c>
      <c r="B1634" t="s">
        <v>22</v>
      </c>
      <c r="C1634">
        <v>26</v>
      </c>
      <c r="D1634" t="s">
        <v>20</v>
      </c>
      <c r="E1634">
        <v>56</v>
      </c>
      <c r="F1634" t="str">
        <f t="shared" si="25"/>
        <v>49+ Months</v>
      </c>
      <c r="G1634" t="s">
        <v>23</v>
      </c>
      <c r="H1634" t="s">
        <v>36</v>
      </c>
      <c r="I1634" t="s">
        <v>24</v>
      </c>
      <c r="J1634" t="s">
        <v>20</v>
      </c>
      <c r="K1634" t="s">
        <v>20</v>
      </c>
      <c r="L1634">
        <v>4</v>
      </c>
      <c r="M1634" s="7">
        <v>65.27</v>
      </c>
      <c r="N1634" s="7">
        <v>3538.7</v>
      </c>
      <c r="O1634" t="s">
        <v>20</v>
      </c>
    </row>
    <row r="1635" spans="1:15" x14ac:dyDescent="0.3">
      <c r="A1635" t="s">
        <v>1660</v>
      </c>
      <c r="B1635" t="s">
        <v>15</v>
      </c>
      <c r="C1635">
        <v>69</v>
      </c>
      <c r="D1635" t="s">
        <v>16</v>
      </c>
      <c r="E1635">
        <v>23</v>
      </c>
      <c r="F1635" t="str">
        <f t="shared" si="25"/>
        <v>13-24 Months</v>
      </c>
      <c r="G1635" t="s">
        <v>17</v>
      </c>
      <c r="H1635" t="s">
        <v>20</v>
      </c>
      <c r="I1635" t="s">
        <v>24</v>
      </c>
      <c r="J1635" t="s">
        <v>16</v>
      </c>
      <c r="K1635" t="s">
        <v>20</v>
      </c>
      <c r="L1635">
        <v>4</v>
      </c>
      <c r="M1635" s="7">
        <v>43.47</v>
      </c>
      <c r="N1635" s="7">
        <v>1067.02</v>
      </c>
      <c r="O1635" t="s">
        <v>16</v>
      </c>
    </row>
    <row r="1636" spans="1:15" x14ac:dyDescent="0.3">
      <c r="A1636" t="s">
        <v>1661</v>
      </c>
      <c r="B1636" t="s">
        <v>15</v>
      </c>
      <c r="C1636">
        <v>53</v>
      </c>
      <c r="D1636" t="s">
        <v>20</v>
      </c>
      <c r="E1636">
        <v>11</v>
      </c>
      <c r="F1636" t="str">
        <f t="shared" si="25"/>
        <v>7-12 Months</v>
      </c>
      <c r="G1636" t="s">
        <v>17</v>
      </c>
      <c r="H1636" t="s">
        <v>20</v>
      </c>
      <c r="I1636" t="s">
        <v>19</v>
      </c>
      <c r="J1636" t="s">
        <v>20</v>
      </c>
      <c r="K1636" t="s">
        <v>20</v>
      </c>
      <c r="L1636">
        <v>4</v>
      </c>
      <c r="M1636" s="7">
        <v>51.11</v>
      </c>
      <c r="N1636" s="7">
        <v>581.34</v>
      </c>
      <c r="O1636" t="s">
        <v>20</v>
      </c>
    </row>
    <row r="1637" spans="1:15" x14ac:dyDescent="0.3">
      <c r="A1637" t="s">
        <v>1662</v>
      </c>
      <c r="B1637" t="s">
        <v>15</v>
      </c>
      <c r="C1637">
        <v>39</v>
      </c>
      <c r="D1637" t="s">
        <v>20</v>
      </c>
      <c r="E1637">
        <v>64</v>
      </c>
      <c r="F1637" t="str">
        <f t="shared" si="25"/>
        <v>49+ Months</v>
      </c>
      <c r="G1637" t="s">
        <v>23</v>
      </c>
      <c r="H1637" t="s">
        <v>18</v>
      </c>
      <c r="I1637" t="s">
        <v>30</v>
      </c>
      <c r="J1637" t="s">
        <v>20</v>
      </c>
      <c r="K1637" t="s">
        <v>20</v>
      </c>
      <c r="L1637">
        <v>5</v>
      </c>
      <c r="M1637" s="7">
        <v>88.29</v>
      </c>
      <c r="N1637" s="7">
        <v>5460.64</v>
      </c>
      <c r="O1637" t="s">
        <v>20</v>
      </c>
    </row>
    <row r="1638" spans="1:15" x14ac:dyDescent="0.3">
      <c r="A1638" t="s">
        <v>1663</v>
      </c>
      <c r="B1638" t="s">
        <v>15</v>
      </c>
      <c r="C1638">
        <v>59</v>
      </c>
      <c r="D1638" t="s">
        <v>20</v>
      </c>
      <c r="E1638">
        <v>8</v>
      </c>
      <c r="F1638" t="str">
        <f t="shared" si="25"/>
        <v>7-12 Months</v>
      </c>
      <c r="G1638" t="s">
        <v>17</v>
      </c>
      <c r="H1638" t="s">
        <v>36</v>
      </c>
      <c r="I1638" t="s">
        <v>24</v>
      </c>
      <c r="J1638" t="s">
        <v>20</v>
      </c>
      <c r="K1638" t="s">
        <v>16</v>
      </c>
      <c r="L1638">
        <v>5</v>
      </c>
      <c r="M1638" s="7">
        <v>69.349999999999994</v>
      </c>
      <c r="N1638" s="7">
        <v>556.26</v>
      </c>
      <c r="O1638" t="s">
        <v>16</v>
      </c>
    </row>
    <row r="1639" spans="1:15" x14ac:dyDescent="0.3">
      <c r="A1639" t="s">
        <v>1664</v>
      </c>
      <c r="B1639" t="s">
        <v>15</v>
      </c>
      <c r="C1639">
        <v>43</v>
      </c>
      <c r="D1639" t="s">
        <v>20</v>
      </c>
      <c r="E1639">
        <v>56</v>
      </c>
      <c r="F1639" t="str">
        <f t="shared" si="25"/>
        <v>49+ Months</v>
      </c>
      <c r="G1639" t="s">
        <v>17</v>
      </c>
      <c r="H1639" t="s">
        <v>20</v>
      </c>
      <c r="I1639" t="s">
        <v>27</v>
      </c>
      <c r="J1639" t="s">
        <v>20</v>
      </c>
      <c r="K1639" t="s">
        <v>20</v>
      </c>
      <c r="L1639">
        <v>2</v>
      </c>
      <c r="M1639" s="7">
        <v>43.45</v>
      </c>
      <c r="N1639" s="7">
        <v>2498.31</v>
      </c>
      <c r="O1639" t="s">
        <v>20</v>
      </c>
    </row>
    <row r="1640" spans="1:15" x14ac:dyDescent="0.3">
      <c r="A1640" t="s">
        <v>1665</v>
      </c>
      <c r="B1640" t="s">
        <v>15</v>
      </c>
      <c r="C1640">
        <v>75</v>
      </c>
      <c r="D1640" t="s">
        <v>16</v>
      </c>
      <c r="E1640">
        <v>60</v>
      </c>
      <c r="F1640" t="str">
        <f t="shared" si="25"/>
        <v>49+ Months</v>
      </c>
      <c r="G1640" t="s">
        <v>17</v>
      </c>
      <c r="H1640" t="s">
        <v>18</v>
      </c>
      <c r="I1640" t="s">
        <v>27</v>
      </c>
      <c r="J1640" t="s">
        <v>20</v>
      </c>
      <c r="K1640" t="s">
        <v>16</v>
      </c>
      <c r="L1640">
        <v>3</v>
      </c>
      <c r="M1640" s="7">
        <v>72.91</v>
      </c>
      <c r="N1640" s="7">
        <v>4159.9799999999996</v>
      </c>
      <c r="O1640" t="s">
        <v>20</v>
      </c>
    </row>
    <row r="1641" spans="1:15" x14ac:dyDescent="0.3">
      <c r="A1641" t="s">
        <v>1666</v>
      </c>
      <c r="B1641" t="s">
        <v>22</v>
      </c>
      <c r="C1641">
        <v>71</v>
      </c>
      <c r="D1641" t="s">
        <v>16</v>
      </c>
      <c r="E1641">
        <v>10</v>
      </c>
      <c r="F1641" t="str">
        <f t="shared" si="25"/>
        <v>7-12 Months</v>
      </c>
      <c r="G1641" t="s">
        <v>17</v>
      </c>
      <c r="H1641" t="s">
        <v>36</v>
      </c>
      <c r="I1641" t="s">
        <v>30</v>
      </c>
      <c r="J1641" t="s">
        <v>20</v>
      </c>
      <c r="K1641" t="s">
        <v>20</v>
      </c>
      <c r="L1641">
        <v>6</v>
      </c>
      <c r="M1641" s="7">
        <v>62.81</v>
      </c>
      <c r="N1641" s="7">
        <v>602.59</v>
      </c>
      <c r="O1641" t="s">
        <v>16</v>
      </c>
    </row>
    <row r="1642" spans="1:15" x14ac:dyDescent="0.3">
      <c r="A1642" t="s">
        <v>1667</v>
      </c>
      <c r="B1642" t="s">
        <v>22</v>
      </c>
      <c r="C1642">
        <v>29</v>
      </c>
      <c r="D1642" t="s">
        <v>20</v>
      </c>
      <c r="E1642">
        <v>39</v>
      </c>
      <c r="F1642" t="str">
        <f t="shared" si="25"/>
        <v>25-48 Months</v>
      </c>
      <c r="G1642" t="s">
        <v>35</v>
      </c>
      <c r="H1642" t="s">
        <v>18</v>
      </c>
      <c r="I1642" t="s">
        <v>27</v>
      </c>
      <c r="J1642" t="s">
        <v>20</v>
      </c>
      <c r="K1642" t="s">
        <v>20</v>
      </c>
      <c r="L1642">
        <v>3</v>
      </c>
      <c r="M1642" s="7">
        <v>65.58</v>
      </c>
      <c r="N1642" s="7">
        <v>2560.54</v>
      </c>
      <c r="O1642" t="s">
        <v>20</v>
      </c>
    </row>
    <row r="1643" spans="1:15" x14ac:dyDescent="0.3">
      <c r="A1643" t="s">
        <v>1668</v>
      </c>
      <c r="B1643" t="s">
        <v>15</v>
      </c>
      <c r="C1643">
        <v>34</v>
      </c>
      <c r="D1643" t="s">
        <v>20</v>
      </c>
      <c r="E1643">
        <v>28</v>
      </c>
      <c r="F1643" t="str">
        <f t="shared" si="25"/>
        <v>25-48 Months</v>
      </c>
      <c r="G1643" t="s">
        <v>17</v>
      </c>
      <c r="H1643" t="s">
        <v>36</v>
      </c>
      <c r="I1643" t="s">
        <v>24</v>
      </c>
      <c r="J1643" t="s">
        <v>16</v>
      </c>
      <c r="K1643" t="s">
        <v>20</v>
      </c>
      <c r="L1643">
        <v>5</v>
      </c>
      <c r="M1643" s="7">
        <v>61.52</v>
      </c>
      <c r="N1643" s="7">
        <v>1839.67</v>
      </c>
      <c r="O1643" t="s">
        <v>20</v>
      </c>
    </row>
    <row r="1644" spans="1:15" x14ac:dyDescent="0.3">
      <c r="A1644" t="s">
        <v>1669</v>
      </c>
      <c r="B1644" t="s">
        <v>15</v>
      </c>
      <c r="C1644">
        <v>31</v>
      </c>
      <c r="D1644" t="s">
        <v>20</v>
      </c>
      <c r="E1644">
        <v>49</v>
      </c>
      <c r="F1644" t="str">
        <f t="shared" si="25"/>
        <v>49+ Months</v>
      </c>
      <c r="G1644" t="s">
        <v>23</v>
      </c>
      <c r="H1644" t="s">
        <v>18</v>
      </c>
      <c r="I1644" t="s">
        <v>24</v>
      </c>
      <c r="J1644" t="s">
        <v>20</v>
      </c>
      <c r="K1644" t="s">
        <v>20</v>
      </c>
      <c r="L1644">
        <v>2</v>
      </c>
      <c r="M1644" s="7">
        <v>61.84</v>
      </c>
      <c r="N1644" s="7">
        <v>2954.53</v>
      </c>
      <c r="O1644" t="s">
        <v>16</v>
      </c>
    </row>
    <row r="1645" spans="1:15" x14ac:dyDescent="0.3">
      <c r="A1645" t="s">
        <v>1670</v>
      </c>
      <c r="B1645" t="s">
        <v>22</v>
      </c>
      <c r="C1645">
        <v>31</v>
      </c>
      <c r="D1645" t="s">
        <v>20</v>
      </c>
      <c r="E1645">
        <v>36</v>
      </c>
      <c r="F1645" t="str">
        <f t="shared" si="25"/>
        <v>25-48 Months</v>
      </c>
      <c r="G1645" t="s">
        <v>17</v>
      </c>
      <c r="H1645" t="s">
        <v>20</v>
      </c>
      <c r="I1645" t="s">
        <v>24</v>
      </c>
      <c r="J1645" t="s">
        <v>20</v>
      </c>
      <c r="K1645" t="s">
        <v>20</v>
      </c>
      <c r="L1645">
        <v>4</v>
      </c>
      <c r="M1645" s="7">
        <v>43.56</v>
      </c>
      <c r="N1645" s="7">
        <v>1543.6</v>
      </c>
      <c r="O1645" t="s">
        <v>16</v>
      </c>
    </row>
    <row r="1646" spans="1:15" x14ac:dyDescent="0.3">
      <c r="A1646" t="s">
        <v>1671</v>
      </c>
      <c r="B1646" t="s">
        <v>15</v>
      </c>
      <c r="C1646">
        <v>74</v>
      </c>
      <c r="D1646" t="s">
        <v>16</v>
      </c>
      <c r="E1646">
        <v>13</v>
      </c>
      <c r="F1646" t="str">
        <f t="shared" si="25"/>
        <v>13-24 Months</v>
      </c>
      <c r="G1646" t="s">
        <v>17</v>
      </c>
      <c r="H1646" t="s">
        <v>36</v>
      </c>
      <c r="I1646" t="s">
        <v>30</v>
      </c>
      <c r="J1646" t="s">
        <v>20</v>
      </c>
      <c r="K1646" t="s">
        <v>16</v>
      </c>
      <c r="L1646">
        <v>3</v>
      </c>
      <c r="M1646" s="7">
        <v>50.71</v>
      </c>
      <c r="N1646" s="7">
        <v>626.6</v>
      </c>
      <c r="O1646" t="s">
        <v>20</v>
      </c>
    </row>
    <row r="1647" spans="1:15" x14ac:dyDescent="0.3">
      <c r="A1647" t="s">
        <v>1672</v>
      </c>
      <c r="B1647" t="s">
        <v>15</v>
      </c>
      <c r="C1647">
        <v>51</v>
      </c>
      <c r="D1647" t="s">
        <v>20</v>
      </c>
      <c r="E1647">
        <v>36</v>
      </c>
      <c r="F1647" t="str">
        <f t="shared" si="25"/>
        <v>25-48 Months</v>
      </c>
      <c r="G1647" t="s">
        <v>23</v>
      </c>
      <c r="H1647" t="s">
        <v>18</v>
      </c>
      <c r="I1647" t="s">
        <v>24</v>
      </c>
      <c r="J1647" t="s">
        <v>20</v>
      </c>
      <c r="K1647" t="s">
        <v>16</v>
      </c>
      <c r="L1647">
        <v>5</v>
      </c>
      <c r="M1647" s="7">
        <v>89.74</v>
      </c>
      <c r="N1647" s="7">
        <v>3278.82</v>
      </c>
      <c r="O1647" t="s">
        <v>20</v>
      </c>
    </row>
    <row r="1648" spans="1:15" x14ac:dyDescent="0.3">
      <c r="A1648" t="s">
        <v>1673</v>
      </c>
      <c r="B1648" t="s">
        <v>15</v>
      </c>
      <c r="C1648">
        <v>70</v>
      </c>
      <c r="D1648" t="s">
        <v>16</v>
      </c>
      <c r="E1648">
        <v>26</v>
      </c>
      <c r="F1648" t="str">
        <f t="shared" si="25"/>
        <v>25-48 Months</v>
      </c>
      <c r="G1648" t="s">
        <v>17</v>
      </c>
      <c r="H1648" t="s">
        <v>18</v>
      </c>
      <c r="I1648" t="s">
        <v>27</v>
      </c>
      <c r="J1648" t="s">
        <v>16</v>
      </c>
      <c r="K1648" t="s">
        <v>20</v>
      </c>
      <c r="L1648">
        <v>3</v>
      </c>
      <c r="M1648" s="7">
        <v>80.45</v>
      </c>
      <c r="N1648" s="7">
        <v>2172.0700000000002</v>
      </c>
      <c r="O1648" t="s">
        <v>20</v>
      </c>
    </row>
    <row r="1649" spans="1:15" x14ac:dyDescent="0.3">
      <c r="A1649" t="s">
        <v>1674</v>
      </c>
      <c r="B1649" t="s">
        <v>22</v>
      </c>
      <c r="C1649">
        <v>74</v>
      </c>
      <c r="D1649" t="s">
        <v>16</v>
      </c>
      <c r="E1649">
        <v>4</v>
      </c>
      <c r="F1649" t="str">
        <f t="shared" si="25"/>
        <v>0-6 Months</v>
      </c>
      <c r="G1649" t="s">
        <v>17</v>
      </c>
      <c r="H1649" t="s">
        <v>36</v>
      </c>
      <c r="I1649" t="s">
        <v>24</v>
      </c>
      <c r="J1649" t="s">
        <v>20</v>
      </c>
      <c r="K1649" t="s">
        <v>16</v>
      </c>
      <c r="L1649">
        <v>6</v>
      </c>
      <c r="M1649" s="7">
        <v>64.27</v>
      </c>
      <c r="N1649" s="7">
        <v>254.64</v>
      </c>
      <c r="O1649" t="s">
        <v>20</v>
      </c>
    </row>
    <row r="1650" spans="1:15" x14ac:dyDescent="0.3">
      <c r="A1650" t="s">
        <v>1675</v>
      </c>
      <c r="B1650" t="s">
        <v>15</v>
      </c>
      <c r="C1650">
        <v>37</v>
      </c>
      <c r="D1650" t="s">
        <v>20</v>
      </c>
      <c r="E1650">
        <v>64</v>
      </c>
      <c r="F1650" t="str">
        <f t="shared" si="25"/>
        <v>49+ Months</v>
      </c>
      <c r="G1650" t="s">
        <v>17</v>
      </c>
      <c r="H1650" t="s">
        <v>20</v>
      </c>
      <c r="I1650" t="s">
        <v>24</v>
      </c>
      <c r="J1650" t="s">
        <v>20</v>
      </c>
      <c r="K1650" t="s">
        <v>16</v>
      </c>
      <c r="L1650">
        <v>4</v>
      </c>
      <c r="M1650" s="7">
        <v>47.83</v>
      </c>
      <c r="N1650" s="7">
        <v>3183.69</v>
      </c>
      <c r="O1650" t="s">
        <v>20</v>
      </c>
    </row>
    <row r="1651" spans="1:15" x14ac:dyDescent="0.3">
      <c r="A1651" t="s">
        <v>1676</v>
      </c>
      <c r="B1651" t="s">
        <v>22</v>
      </c>
      <c r="C1651">
        <v>28</v>
      </c>
      <c r="D1651" t="s">
        <v>20</v>
      </c>
      <c r="E1651">
        <v>38</v>
      </c>
      <c r="F1651" t="str">
        <f t="shared" si="25"/>
        <v>25-48 Months</v>
      </c>
      <c r="G1651" t="s">
        <v>17</v>
      </c>
      <c r="H1651" t="s">
        <v>36</v>
      </c>
      <c r="I1651" t="s">
        <v>27</v>
      </c>
      <c r="J1651" t="s">
        <v>20</v>
      </c>
      <c r="K1651" t="s">
        <v>16</v>
      </c>
      <c r="L1651">
        <v>6</v>
      </c>
      <c r="M1651" s="7">
        <v>68.040000000000006</v>
      </c>
      <c r="N1651" s="7">
        <v>2503.86</v>
      </c>
      <c r="O1651" t="s">
        <v>20</v>
      </c>
    </row>
    <row r="1652" spans="1:15" x14ac:dyDescent="0.3">
      <c r="A1652" t="s">
        <v>1677</v>
      </c>
      <c r="B1652" t="s">
        <v>15</v>
      </c>
      <c r="C1652">
        <v>33</v>
      </c>
      <c r="D1652" t="s">
        <v>20</v>
      </c>
      <c r="E1652">
        <v>22</v>
      </c>
      <c r="F1652" t="str">
        <f t="shared" si="25"/>
        <v>13-24 Months</v>
      </c>
      <c r="G1652" t="s">
        <v>23</v>
      </c>
      <c r="H1652" t="s">
        <v>36</v>
      </c>
      <c r="I1652" t="s">
        <v>24</v>
      </c>
      <c r="J1652" t="s">
        <v>16</v>
      </c>
      <c r="K1652" t="s">
        <v>20</v>
      </c>
      <c r="L1652">
        <v>4</v>
      </c>
      <c r="M1652" s="7">
        <v>46.6</v>
      </c>
      <c r="N1652" s="7">
        <v>1059.1500000000001</v>
      </c>
      <c r="O1652" t="s">
        <v>20</v>
      </c>
    </row>
    <row r="1653" spans="1:15" x14ac:dyDescent="0.3">
      <c r="A1653" t="s">
        <v>1678</v>
      </c>
      <c r="B1653" t="s">
        <v>22</v>
      </c>
      <c r="C1653">
        <v>68</v>
      </c>
      <c r="D1653" t="s">
        <v>16</v>
      </c>
      <c r="E1653">
        <v>2</v>
      </c>
      <c r="F1653" t="str">
        <f t="shared" si="25"/>
        <v>0-6 Months</v>
      </c>
      <c r="G1653" t="s">
        <v>17</v>
      </c>
      <c r="H1653" t="s">
        <v>18</v>
      </c>
      <c r="I1653" t="s">
        <v>24</v>
      </c>
      <c r="J1653" t="s">
        <v>20</v>
      </c>
      <c r="K1653" t="s">
        <v>16</v>
      </c>
      <c r="L1653">
        <v>3</v>
      </c>
      <c r="M1653" s="7">
        <v>68.08</v>
      </c>
      <c r="N1653" s="7">
        <v>130.9</v>
      </c>
      <c r="O1653" t="s">
        <v>16</v>
      </c>
    </row>
    <row r="1654" spans="1:15" x14ac:dyDescent="0.3">
      <c r="A1654" t="s">
        <v>1679</v>
      </c>
      <c r="B1654" t="s">
        <v>22</v>
      </c>
      <c r="C1654">
        <v>48</v>
      </c>
      <c r="D1654" t="s">
        <v>20</v>
      </c>
      <c r="E1654">
        <v>31</v>
      </c>
      <c r="F1654" t="str">
        <f t="shared" si="25"/>
        <v>25-48 Months</v>
      </c>
      <c r="G1654" t="s">
        <v>35</v>
      </c>
      <c r="H1654" t="s">
        <v>36</v>
      </c>
      <c r="I1654" t="s">
        <v>30</v>
      </c>
      <c r="J1654" t="s">
        <v>20</v>
      </c>
      <c r="K1654" t="s">
        <v>20</v>
      </c>
      <c r="L1654">
        <v>3</v>
      </c>
      <c r="M1654" s="7">
        <v>49.93</v>
      </c>
      <c r="N1654" s="7">
        <v>1617.33</v>
      </c>
      <c r="O1654" t="s">
        <v>20</v>
      </c>
    </row>
    <row r="1655" spans="1:15" x14ac:dyDescent="0.3">
      <c r="A1655" t="s">
        <v>1680</v>
      </c>
      <c r="B1655" t="s">
        <v>15</v>
      </c>
      <c r="C1655">
        <v>72</v>
      </c>
      <c r="D1655" t="s">
        <v>16</v>
      </c>
      <c r="E1655">
        <v>11</v>
      </c>
      <c r="F1655" t="str">
        <f t="shared" si="25"/>
        <v>7-12 Months</v>
      </c>
      <c r="G1655" t="s">
        <v>23</v>
      </c>
      <c r="H1655" t="s">
        <v>36</v>
      </c>
      <c r="I1655" t="s">
        <v>24</v>
      </c>
      <c r="J1655" t="s">
        <v>20</v>
      </c>
      <c r="K1655" t="s">
        <v>20</v>
      </c>
      <c r="L1655">
        <v>3</v>
      </c>
      <c r="M1655" s="7">
        <v>55.07</v>
      </c>
      <c r="N1655" s="7">
        <v>637.82000000000005</v>
      </c>
      <c r="O1655" t="s">
        <v>20</v>
      </c>
    </row>
    <row r="1656" spans="1:15" x14ac:dyDescent="0.3">
      <c r="A1656" t="s">
        <v>1681</v>
      </c>
      <c r="B1656" t="s">
        <v>22</v>
      </c>
      <c r="C1656">
        <v>23</v>
      </c>
      <c r="D1656" t="s">
        <v>20</v>
      </c>
      <c r="E1656">
        <v>46</v>
      </c>
      <c r="F1656" t="str">
        <f t="shared" si="25"/>
        <v>25-48 Months</v>
      </c>
      <c r="G1656" t="s">
        <v>17</v>
      </c>
      <c r="H1656" t="s">
        <v>36</v>
      </c>
      <c r="I1656" t="s">
        <v>24</v>
      </c>
      <c r="J1656" t="s">
        <v>20</v>
      </c>
      <c r="K1656" t="s">
        <v>20</v>
      </c>
      <c r="L1656">
        <v>4</v>
      </c>
      <c r="M1656" s="7">
        <v>56</v>
      </c>
      <c r="N1656" s="7">
        <v>2698.71</v>
      </c>
      <c r="O1656" t="s">
        <v>20</v>
      </c>
    </row>
    <row r="1657" spans="1:15" x14ac:dyDescent="0.3">
      <c r="A1657" t="s">
        <v>1682</v>
      </c>
      <c r="B1657" t="s">
        <v>15</v>
      </c>
      <c r="C1657">
        <v>73</v>
      </c>
      <c r="D1657" t="s">
        <v>16</v>
      </c>
      <c r="E1657">
        <v>62</v>
      </c>
      <c r="F1657" t="str">
        <f t="shared" si="25"/>
        <v>49+ Months</v>
      </c>
      <c r="G1657" t="s">
        <v>17</v>
      </c>
      <c r="H1657" t="s">
        <v>18</v>
      </c>
      <c r="I1657" t="s">
        <v>24</v>
      </c>
      <c r="J1657" t="s">
        <v>20</v>
      </c>
      <c r="K1657" t="s">
        <v>16</v>
      </c>
      <c r="L1657">
        <v>5</v>
      </c>
      <c r="M1657" s="7">
        <v>79.3</v>
      </c>
      <c r="N1657" s="7">
        <v>4692.7700000000004</v>
      </c>
      <c r="O1657" t="s">
        <v>16</v>
      </c>
    </row>
    <row r="1658" spans="1:15" x14ac:dyDescent="0.3">
      <c r="A1658" t="s">
        <v>1683</v>
      </c>
      <c r="B1658" t="s">
        <v>22</v>
      </c>
      <c r="C1658">
        <v>36</v>
      </c>
      <c r="D1658" t="s">
        <v>20</v>
      </c>
      <c r="E1658">
        <v>69</v>
      </c>
      <c r="F1658" t="str">
        <f t="shared" si="25"/>
        <v>49+ Months</v>
      </c>
      <c r="G1658" t="s">
        <v>17</v>
      </c>
      <c r="H1658" t="s">
        <v>36</v>
      </c>
      <c r="I1658" t="s">
        <v>19</v>
      </c>
      <c r="J1658" t="s">
        <v>20</v>
      </c>
      <c r="K1658" t="s">
        <v>20</v>
      </c>
      <c r="L1658">
        <v>1</v>
      </c>
      <c r="M1658" s="7">
        <v>51.07</v>
      </c>
      <c r="N1658" s="7">
        <v>3633.35</v>
      </c>
      <c r="O1658" t="s">
        <v>20</v>
      </c>
    </row>
    <row r="1659" spans="1:15" x14ac:dyDescent="0.3">
      <c r="A1659" t="s">
        <v>1684</v>
      </c>
      <c r="B1659" t="s">
        <v>15</v>
      </c>
      <c r="C1659">
        <v>54</v>
      </c>
      <c r="D1659" t="s">
        <v>20</v>
      </c>
      <c r="E1659">
        <v>64</v>
      </c>
      <c r="F1659" t="str">
        <f t="shared" si="25"/>
        <v>49+ Months</v>
      </c>
      <c r="G1659" t="s">
        <v>23</v>
      </c>
      <c r="H1659" t="s">
        <v>36</v>
      </c>
      <c r="I1659" t="s">
        <v>27</v>
      </c>
      <c r="J1659" t="s">
        <v>20</v>
      </c>
      <c r="K1659" t="s">
        <v>20</v>
      </c>
      <c r="L1659">
        <v>5</v>
      </c>
      <c r="M1659" s="7">
        <v>68.510000000000005</v>
      </c>
      <c r="N1659" s="7">
        <v>4411.68</v>
      </c>
      <c r="O1659" t="s">
        <v>20</v>
      </c>
    </row>
    <row r="1660" spans="1:15" x14ac:dyDescent="0.3">
      <c r="A1660" t="s">
        <v>1685</v>
      </c>
      <c r="B1660" t="s">
        <v>15</v>
      </c>
      <c r="C1660">
        <v>75</v>
      </c>
      <c r="D1660" t="s">
        <v>16</v>
      </c>
      <c r="E1660">
        <v>10</v>
      </c>
      <c r="F1660" t="str">
        <f t="shared" si="25"/>
        <v>7-12 Months</v>
      </c>
      <c r="G1660" t="s">
        <v>17</v>
      </c>
      <c r="H1660" t="s">
        <v>20</v>
      </c>
      <c r="I1660" t="s">
        <v>27</v>
      </c>
      <c r="J1660" t="s">
        <v>20</v>
      </c>
      <c r="K1660" t="s">
        <v>20</v>
      </c>
      <c r="L1660">
        <v>4</v>
      </c>
      <c r="M1660" s="7">
        <v>36.67</v>
      </c>
      <c r="N1660" s="7">
        <v>395.22</v>
      </c>
      <c r="O1660" t="s">
        <v>20</v>
      </c>
    </row>
    <row r="1661" spans="1:15" x14ac:dyDescent="0.3">
      <c r="A1661" t="s">
        <v>1686</v>
      </c>
      <c r="B1661" t="s">
        <v>22</v>
      </c>
      <c r="C1661">
        <v>21</v>
      </c>
      <c r="D1661" t="s">
        <v>20</v>
      </c>
      <c r="E1661">
        <v>40</v>
      </c>
      <c r="F1661" t="str">
        <f t="shared" si="25"/>
        <v>25-48 Months</v>
      </c>
      <c r="G1661" t="s">
        <v>35</v>
      </c>
      <c r="H1661" t="s">
        <v>20</v>
      </c>
      <c r="I1661" t="s">
        <v>24</v>
      </c>
      <c r="J1661" t="s">
        <v>20</v>
      </c>
      <c r="K1661" t="s">
        <v>20</v>
      </c>
      <c r="L1661">
        <v>4</v>
      </c>
      <c r="M1661" s="7">
        <v>35.049999999999997</v>
      </c>
      <c r="N1661" s="7">
        <v>1370.95</v>
      </c>
      <c r="O1661" t="s">
        <v>20</v>
      </c>
    </row>
    <row r="1662" spans="1:15" x14ac:dyDescent="0.3">
      <c r="A1662" t="s">
        <v>1687</v>
      </c>
      <c r="B1662" t="s">
        <v>15</v>
      </c>
      <c r="C1662">
        <v>64</v>
      </c>
      <c r="D1662" t="s">
        <v>16</v>
      </c>
      <c r="E1662">
        <v>24</v>
      </c>
      <c r="F1662" t="str">
        <f t="shared" si="25"/>
        <v>13-24 Months</v>
      </c>
      <c r="G1662" t="s">
        <v>17</v>
      </c>
      <c r="H1662" t="s">
        <v>36</v>
      </c>
      <c r="I1662" t="s">
        <v>19</v>
      </c>
      <c r="J1662" t="s">
        <v>20</v>
      </c>
      <c r="K1662" t="s">
        <v>20</v>
      </c>
      <c r="L1662">
        <v>5</v>
      </c>
      <c r="M1662" s="7">
        <v>71.849999999999994</v>
      </c>
      <c r="N1662" s="7">
        <v>1799.24</v>
      </c>
      <c r="O1662" t="s">
        <v>20</v>
      </c>
    </row>
    <row r="1663" spans="1:15" x14ac:dyDescent="0.3">
      <c r="A1663" t="s">
        <v>1688</v>
      </c>
      <c r="B1663" t="s">
        <v>15</v>
      </c>
      <c r="C1663">
        <v>21</v>
      </c>
      <c r="D1663" t="s">
        <v>20</v>
      </c>
      <c r="E1663">
        <v>44</v>
      </c>
      <c r="F1663" t="str">
        <f t="shared" si="25"/>
        <v>25-48 Months</v>
      </c>
      <c r="G1663" t="s">
        <v>35</v>
      </c>
      <c r="H1663" t="s">
        <v>36</v>
      </c>
      <c r="I1663" t="s">
        <v>19</v>
      </c>
      <c r="J1663" t="s">
        <v>20</v>
      </c>
      <c r="K1663" t="s">
        <v>16</v>
      </c>
      <c r="L1663">
        <v>1</v>
      </c>
      <c r="M1663" s="7">
        <v>66.08</v>
      </c>
      <c r="N1663" s="7">
        <v>2847.08</v>
      </c>
      <c r="O1663" t="s">
        <v>20</v>
      </c>
    </row>
    <row r="1664" spans="1:15" x14ac:dyDescent="0.3">
      <c r="A1664" t="s">
        <v>1689</v>
      </c>
      <c r="B1664" t="s">
        <v>22</v>
      </c>
      <c r="C1664">
        <v>37</v>
      </c>
      <c r="D1664" t="s">
        <v>20</v>
      </c>
      <c r="E1664">
        <v>60</v>
      </c>
      <c r="F1664" t="str">
        <f t="shared" si="25"/>
        <v>49+ Months</v>
      </c>
      <c r="G1664" t="s">
        <v>17</v>
      </c>
      <c r="H1664" t="s">
        <v>18</v>
      </c>
      <c r="I1664" t="s">
        <v>27</v>
      </c>
      <c r="J1664" t="s">
        <v>16</v>
      </c>
      <c r="K1664" t="s">
        <v>20</v>
      </c>
      <c r="L1664">
        <v>8</v>
      </c>
      <c r="M1664" s="7">
        <v>88.41</v>
      </c>
      <c r="N1664" s="7">
        <v>5217.0600000000004</v>
      </c>
      <c r="O1664" t="s">
        <v>20</v>
      </c>
    </row>
    <row r="1665" spans="1:15" x14ac:dyDescent="0.3">
      <c r="A1665" t="s">
        <v>1690</v>
      </c>
      <c r="B1665" t="s">
        <v>15</v>
      </c>
      <c r="C1665">
        <v>27</v>
      </c>
      <c r="D1665" t="s">
        <v>20</v>
      </c>
      <c r="E1665">
        <v>62</v>
      </c>
      <c r="F1665" t="str">
        <f t="shared" si="25"/>
        <v>49+ Months</v>
      </c>
      <c r="G1665" t="s">
        <v>35</v>
      </c>
      <c r="H1665" t="s">
        <v>20</v>
      </c>
      <c r="I1665" t="s">
        <v>24</v>
      </c>
      <c r="J1665" t="s">
        <v>20</v>
      </c>
      <c r="K1665" t="s">
        <v>16</v>
      </c>
      <c r="L1665">
        <v>2</v>
      </c>
      <c r="M1665" s="7">
        <v>39.24</v>
      </c>
      <c r="N1665" s="7">
        <v>2281.4499999999998</v>
      </c>
      <c r="O1665" t="s">
        <v>20</v>
      </c>
    </row>
    <row r="1666" spans="1:15" x14ac:dyDescent="0.3">
      <c r="A1666" t="s">
        <v>1691</v>
      </c>
      <c r="B1666" t="s">
        <v>15</v>
      </c>
      <c r="C1666">
        <v>41</v>
      </c>
      <c r="D1666" t="s">
        <v>20</v>
      </c>
      <c r="E1666">
        <v>17</v>
      </c>
      <c r="F1666" t="str">
        <f t="shared" ref="F1666:F1729" si="26">IF(E1666&lt;=6,"0-6 Months",
 IF(E1666&lt;=12,"7-12 Months",
 IF(E1666&lt;=24,"13-24 Months",
 IF(E1666&lt;=48,"25-48 Months","49+ Months"))))</f>
        <v>13-24 Months</v>
      </c>
      <c r="G1666" t="s">
        <v>17</v>
      </c>
      <c r="H1666" t="s">
        <v>18</v>
      </c>
      <c r="I1666" t="s">
        <v>19</v>
      </c>
      <c r="J1666" t="s">
        <v>20</v>
      </c>
      <c r="K1666" t="s">
        <v>16</v>
      </c>
      <c r="L1666">
        <v>4</v>
      </c>
      <c r="M1666" s="7">
        <v>78.03</v>
      </c>
      <c r="N1666" s="7">
        <v>1271.26</v>
      </c>
      <c r="O1666" t="s">
        <v>20</v>
      </c>
    </row>
    <row r="1667" spans="1:15" x14ac:dyDescent="0.3">
      <c r="A1667" t="s">
        <v>1692</v>
      </c>
      <c r="B1667" t="s">
        <v>22</v>
      </c>
      <c r="C1667">
        <v>71</v>
      </c>
      <c r="D1667" t="s">
        <v>16</v>
      </c>
      <c r="E1667">
        <v>65</v>
      </c>
      <c r="F1667" t="str">
        <f t="shared" si="26"/>
        <v>49+ Months</v>
      </c>
      <c r="G1667" t="s">
        <v>17</v>
      </c>
      <c r="H1667" t="s">
        <v>18</v>
      </c>
      <c r="I1667" t="s">
        <v>30</v>
      </c>
      <c r="J1667" t="s">
        <v>16</v>
      </c>
      <c r="K1667" t="s">
        <v>20</v>
      </c>
      <c r="L1667">
        <v>3</v>
      </c>
      <c r="M1667" s="7">
        <v>79.73</v>
      </c>
      <c r="N1667" s="7">
        <v>4904.24</v>
      </c>
      <c r="O1667" t="s">
        <v>20</v>
      </c>
    </row>
    <row r="1668" spans="1:15" x14ac:dyDescent="0.3">
      <c r="A1668" t="s">
        <v>1693</v>
      </c>
      <c r="B1668" t="s">
        <v>22</v>
      </c>
      <c r="C1668">
        <v>52</v>
      </c>
      <c r="D1668" t="s">
        <v>20</v>
      </c>
      <c r="E1668">
        <v>57</v>
      </c>
      <c r="F1668" t="str">
        <f t="shared" si="26"/>
        <v>49+ Months</v>
      </c>
      <c r="G1668" t="s">
        <v>17</v>
      </c>
      <c r="H1668" t="s">
        <v>18</v>
      </c>
      <c r="I1668" t="s">
        <v>27</v>
      </c>
      <c r="J1668" t="s">
        <v>16</v>
      </c>
      <c r="K1668" t="s">
        <v>20</v>
      </c>
      <c r="L1668">
        <v>4</v>
      </c>
      <c r="M1668" s="7">
        <v>72.33</v>
      </c>
      <c r="N1668" s="7">
        <v>3898</v>
      </c>
      <c r="O1668" t="s">
        <v>20</v>
      </c>
    </row>
    <row r="1669" spans="1:15" x14ac:dyDescent="0.3">
      <c r="A1669" t="s">
        <v>1694</v>
      </c>
      <c r="B1669" t="s">
        <v>15</v>
      </c>
      <c r="C1669">
        <v>43</v>
      </c>
      <c r="D1669" t="s">
        <v>20</v>
      </c>
      <c r="E1669">
        <v>55</v>
      </c>
      <c r="F1669" t="str">
        <f t="shared" si="26"/>
        <v>49+ Months</v>
      </c>
      <c r="G1669" t="s">
        <v>17</v>
      </c>
      <c r="H1669" t="s">
        <v>20</v>
      </c>
      <c r="I1669" t="s">
        <v>24</v>
      </c>
      <c r="J1669" t="s">
        <v>16</v>
      </c>
      <c r="K1669" t="s">
        <v>16</v>
      </c>
      <c r="L1669">
        <v>2</v>
      </c>
      <c r="M1669" s="7">
        <v>24.24</v>
      </c>
      <c r="N1669" s="7">
        <v>1228.47</v>
      </c>
      <c r="O1669" t="s">
        <v>20</v>
      </c>
    </row>
    <row r="1670" spans="1:15" x14ac:dyDescent="0.3">
      <c r="A1670" t="s">
        <v>1695</v>
      </c>
      <c r="B1670" t="s">
        <v>15</v>
      </c>
      <c r="C1670">
        <v>54</v>
      </c>
      <c r="D1670" t="s">
        <v>20</v>
      </c>
      <c r="E1670">
        <v>53</v>
      </c>
      <c r="F1670" t="str">
        <f t="shared" si="26"/>
        <v>49+ Months</v>
      </c>
      <c r="G1670" t="s">
        <v>35</v>
      </c>
      <c r="H1670" t="s">
        <v>18</v>
      </c>
      <c r="I1670" t="s">
        <v>24</v>
      </c>
      <c r="J1670" t="s">
        <v>20</v>
      </c>
      <c r="K1670" t="s">
        <v>20</v>
      </c>
      <c r="L1670">
        <v>7</v>
      </c>
      <c r="M1670" s="7">
        <v>83.14</v>
      </c>
      <c r="N1670" s="7">
        <v>4613.54</v>
      </c>
      <c r="O1670" t="s">
        <v>16</v>
      </c>
    </row>
    <row r="1671" spans="1:15" x14ac:dyDescent="0.3">
      <c r="A1671" t="s">
        <v>1696</v>
      </c>
      <c r="B1671" t="s">
        <v>22</v>
      </c>
      <c r="C1671">
        <v>55</v>
      </c>
      <c r="D1671" t="s">
        <v>20</v>
      </c>
      <c r="E1671">
        <v>56</v>
      </c>
      <c r="F1671" t="str">
        <f t="shared" si="26"/>
        <v>49+ Months</v>
      </c>
      <c r="G1671" t="s">
        <v>17</v>
      </c>
      <c r="H1671" t="s">
        <v>36</v>
      </c>
      <c r="I1671" t="s">
        <v>24</v>
      </c>
      <c r="J1671" t="s">
        <v>20</v>
      </c>
      <c r="K1671" t="s">
        <v>20</v>
      </c>
      <c r="L1671">
        <v>4</v>
      </c>
      <c r="M1671" s="7">
        <v>55.05</v>
      </c>
      <c r="N1671" s="7">
        <v>3066.98</v>
      </c>
      <c r="O1671" t="s">
        <v>20</v>
      </c>
    </row>
    <row r="1672" spans="1:15" x14ac:dyDescent="0.3">
      <c r="A1672" t="s">
        <v>1697</v>
      </c>
      <c r="B1672" t="s">
        <v>22</v>
      </c>
      <c r="C1672">
        <v>38</v>
      </c>
      <c r="D1672" t="s">
        <v>20</v>
      </c>
      <c r="E1672">
        <v>9</v>
      </c>
      <c r="F1672" t="str">
        <f t="shared" si="26"/>
        <v>7-12 Months</v>
      </c>
      <c r="G1672" t="s">
        <v>17</v>
      </c>
      <c r="H1672" t="s">
        <v>36</v>
      </c>
      <c r="I1672" t="s">
        <v>24</v>
      </c>
      <c r="J1672" t="s">
        <v>16</v>
      </c>
      <c r="K1672" t="s">
        <v>16</v>
      </c>
      <c r="L1672">
        <v>1</v>
      </c>
      <c r="M1672" s="7">
        <v>45.36</v>
      </c>
      <c r="N1672" s="7">
        <v>428.11</v>
      </c>
      <c r="O1672" t="s">
        <v>16</v>
      </c>
    </row>
    <row r="1673" spans="1:15" x14ac:dyDescent="0.3">
      <c r="A1673" t="s">
        <v>1698</v>
      </c>
      <c r="B1673" t="s">
        <v>15</v>
      </c>
      <c r="C1673">
        <v>71</v>
      </c>
      <c r="D1673" t="s">
        <v>16</v>
      </c>
      <c r="E1673">
        <v>22</v>
      </c>
      <c r="F1673" t="str">
        <f t="shared" si="26"/>
        <v>13-24 Months</v>
      </c>
      <c r="G1673" t="s">
        <v>23</v>
      </c>
      <c r="H1673" t="s">
        <v>18</v>
      </c>
      <c r="I1673" t="s">
        <v>30</v>
      </c>
      <c r="J1673" t="s">
        <v>20</v>
      </c>
      <c r="K1673" t="s">
        <v>20</v>
      </c>
      <c r="L1673">
        <v>3</v>
      </c>
      <c r="M1673" s="7">
        <v>81.62</v>
      </c>
      <c r="N1673" s="7">
        <v>1827.98</v>
      </c>
      <c r="O1673" t="s">
        <v>16</v>
      </c>
    </row>
    <row r="1674" spans="1:15" x14ac:dyDescent="0.3">
      <c r="A1674" t="s">
        <v>1699</v>
      </c>
      <c r="B1674" t="s">
        <v>22</v>
      </c>
      <c r="C1674">
        <v>57</v>
      </c>
      <c r="D1674" t="s">
        <v>20</v>
      </c>
      <c r="E1674">
        <v>13</v>
      </c>
      <c r="F1674" t="str">
        <f t="shared" si="26"/>
        <v>13-24 Months</v>
      </c>
      <c r="G1674" t="s">
        <v>17</v>
      </c>
      <c r="H1674" t="s">
        <v>18</v>
      </c>
      <c r="I1674" t="s">
        <v>30</v>
      </c>
      <c r="J1674" t="s">
        <v>20</v>
      </c>
      <c r="K1674" t="s">
        <v>20</v>
      </c>
      <c r="L1674">
        <v>5</v>
      </c>
      <c r="M1674" s="7">
        <v>77.17</v>
      </c>
      <c r="N1674" s="7">
        <v>1056.3900000000001</v>
      </c>
      <c r="O1674" t="s">
        <v>16</v>
      </c>
    </row>
    <row r="1675" spans="1:15" x14ac:dyDescent="0.3">
      <c r="A1675" t="s">
        <v>1700</v>
      </c>
      <c r="B1675" t="s">
        <v>15</v>
      </c>
      <c r="C1675">
        <v>56</v>
      </c>
      <c r="D1675" t="s">
        <v>20</v>
      </c>
      <c r="E1675">
        <v>48</v>
      </c>
      <c r="F1675" t="str">
        <f t="shared" si="26"/>
        <v>25-48 Months</v>
      </c>
      <c r="G1675" t="s">
        <v>17</v>
      </c>
      <c r="H1675" t="s">
        <v>20</v>
      </c>
      <c r="I1675" t="s">
        <v>30</v>
      </c>
      <c r="J1675" t="s">
        <v>20</v>
      </c>
      <c r="K1675" t="s">
        <v>20</v>
      </c>
      <c r="L1675">
        <v>1</v>
      </c>
      <c r="M1675" s="7">
        <v>24.54</v>
      </c>
      <c r="N1675" s="7">
        <v>1178.6300000000001</v>
      </c>
      <c r="O1675" t="s">
        <v>20</v>
      </c>
    </row>
    <row r="1676" spans="1:15" x14ac:dyDescent="0.3">
      <c r="A1676" t="s">
        <v>1701</v>
      </c>
      <c r="B1676" t="s">
        <v>15</v>
      </c>
      <c r="C1676">
        <v>38</v>
      </c>
      <c r="D1676" t="s">
        <v>20</v>
      </c>
      <c r="E1676">
        <v>18</v>
      </c>
      <c r="F1676" t="str">
        <f t="shared" si="26"/>
        <v>13-24 Months</v>
      </c>
      <c r="G1676" t="s">
        <v>23</v>
      </c>
      <c r="H1676" t="s">
        <v>20</v>
      </c>
      <c r="I1676" t="s">
        <v>24</v>
      </c>
      <c r="J1676" t="s">
        <v>20</v>
      </c>
      <c r="K1676" t="s">
        <v>16</v>
      </c>
      <c r="L1676">
        <v>2</v>
      </c>
      <c r="M1676" s="7">
        <v>47.56</v>
      </c>
      <c r="N1676" s="7">
        <v>800.47</v>
      </c>
      <c r="O1676" t="s">
        <v>20</v>
      </c>
    </row>
    <row r="1677" spans="1:15" x14ac:dyDescent="0.3">
      <c r="A1677" t="s">
        <v>1702</v>
      </c>
      <c r="B1677" t="s">
        <v>15</v>
      </c>
      <c r="C1677">
        <v>27</v>
      </c>
      <c r="D1677" t="s">
        <v>20</v>
      </c>
      <c r="E1677">
        <v>40</v>
      </c>
      <c r="F1677" t="str">
        <f t="shared" si="26"/>
        <v>25-48 Months</v>
      </c>
      <c r="G1677" t="s">
        <v>17</v>
      </c>
      <c r="H1677" t="s">
        <v>18</v>
      </c>
      <c r="I1677" t="s">
        <v>24</v>
      </c>
      <c r="J1677" t="s">
        <v>20</v>
      </c>
      <c r="K1677" t="s">
        <v>16</v>
      </c>
      <c r="L1677">
        <v>3</v>
      </c>
      <c r="M1677" s="7">
        <v>75.37</v>
      </c>
      <c r="N1677" s="7">
        <v>3071.12</v>
      </c>
      <c r="O1677" t="s">
        <v>20</v>
      </c>
    </row>
    <row r="1678" spans="1:15" x14ac:dyDescent="0.3">
      <c r="A1678" t="s">
        <v>1703</v>
      </c>
      <c r="B1678" t="s">
        <v>15</v>
      </c>
      <c r="C1678">
        <v>55</v>
      </c>
      <c r="D1678" t="s">
        <v>20</v>
      </c>
      <c r="E1678">
        <v>17</v>
      </c>
      <c r="F1678" t="str">
        <f t="shared" si="26"/>
        <v>13-24 Months</v>
      </c>
      <c r="G1678" t="s">
        <v>35</v>
      </c>
      <c r="H1678" t="s">
        <v>20</v>
      </c>
      <c r="I1678" t="s">
        <v>24</v>
      </c>
      <c r="J1678" t="s">
        <v>20</v>
      </c>
      <c r="K1678" t="s">
        <v>16</v>
      </c>
      <c r="L1678">
        <v>3</v>
      </c>
      <c r="M1678" s="7">
        <v>39</v>
      </c>
      <c r="N1678" s="7">
        <v>681.86</v>
      </c>
      <c r="O1678" t="s">
        <v>20</v>
      </c>
    </row>
    <row r="1679" spans="1:15" x14ac:dyDescent="0.3">
      <c r="A1679" t="s">
        <v>1704</v>
      </c>
      <c r="B1679" t="s">
        <v>15</v>
      </c>
      <c r="C1679">
        <v>63</v>
      </c>
      <c r="D1679" t="s">
        <v>16</v>
      </c>
      <c r="E1679">
        <v>15</v>
      </c>
      <c r="F1679" t="str">
        <f t="shared" si="26"/>
        <v>13-24 Months</v>
      </c>
      <c r="G1679" t="s">
        <v>17</v>
      </c>
      <c r="H1679" t="s">
        <v>36</v>
      </c>
      <c r="I1679" t="s">
        <v>24</v>
      </c>
      <c r="J1679" t="s">
        <v>16</v>
      </c>
      <c r="K1679" t="s">
        <v>16</v>
      </c>
      <c r="L1679">
        <v>4</v>
      </c>
      <c r="M1679" s="7">
        <v>64.22</v>
      </c>
      <c r="N1679" s="7">
        <v>982.8</v>
      </c>
      <c r="O1679" t="s">
        <v>16</v>
      </c>
    </row>
    <row r="1680" spans="1:15" x14ac:dyDescent="0.3">
      <c r="A1680" t="s">
        <v>1705</v>
      </c>
      <c r="B1680" t="s">
        <v>22</v>
      </c>
      <c r="C1680">
        <v>21</v>
      </c>
      <c r="D1680" t="s">
        <v>20</v>
      </c>
      <c r="E1680">
        <v>15</v>
      </c>
      <c r="F1680" t="str">
        <f t="shared" si="26"/>
        <v>13-24 Months</v>
      </c>
      <c r="G1680" t="s">
        <v>17</v>
      </c>
      <c r="H1680" t="s">
        <v>18</v>
      </c>
      <c r="I1680" t="s">
        <v>27</v>
      </c>
      <c r="J1680" t="s">
        <v>16</v>
      </c>
      <c r="K1680" t="s">
        <v>20</v>
      </c>
      <c r="L1680">
        <v>3</v>
      </c>
      <c r="M1680" s="7">
        <v>71.33</v>
      </c>
      <c r="N1680" s="7">
        <v>1121.54</v>
      </c>
      <c r="O1680" t="s">
        <v>20</v>
      </c>
    </row>
    <row r="1681" spans="1:15" x14ac:dyDescent="0.3">
      <c r="A1681" t="s">
        <v>1706</v>
      </c>
      <c r="B1681" t="s">
        <v>22</v>
      </c>
      <c r="C1681">
        <v>74</v>
      </c>
      <c r="D1681" t="s">
        <v>16</v>
      </c>
      <c r="E1681">
        <v>63</v>
      </c>
      <c r="F1681" t="str">
        <f t="shared" si="26"/>
        <v>49+ Months</v>
      </c>
      <c r="G1681" t="s">
        <v>23</v>
      </c>
      <c r="H1681" t="s">
        <v>36</v>
      </c>
      <c r="I1681" t="s">
        <v>24</v>
      </c>
      <c r="J1681" t="s">
        <v>20</v>
      </c>
      <c r="K1681" t="s">
        <v>20</v>
      </c>
      <c r="L1681">
        <v>4</v>
      </c>
      <c r="M1681" s="7">
        <v>58.87</v>
      </c>
      <c r="N1681" s="7">
        <v>3846.18</v>
      </c>
      <c r="O1681" t="s">
        <v>20</v>
      </c>
    </row>
    <row r="1682" spans="1:15" x14ac:dyDescent="0.3">
      <c r="A1682" t="s">
        <v>1707</v>
      </c>
      <c r="B1682" t="s">
        <v>22</v>
      </c>
      <c r="C1682">
        <v>62</v>
      </c>
      <c r="D1682" t="s">
        <v>16</v>
      </c>
      <c r="E1682">
        <v>39</v>
      </c>
      <c r="F1682" t="str">
        <f t="shared" si="26"/>
        <v>25-48 Months</v>
      </c>
      <c r="G1682" t="s">
        <v>23</v>
      </c>
      <c r="H1682" t="s">
        <v>20</v>
      </c>
      <c r="I1682" t="s">
        <v>24</v>
      </c>
      <c r="J1682" t="s">
        <v>20</v>
      </c>
      <c r="K1682" t="s">
        <v>20</v>
      </c>
      <c r="L1682">
        <v>2</v>
      </c>
      <c r="M1682" s="7">
        <v>30.74</v>
      </c>
      <c r="N1682" s="7">
        <v>1185.94</v>
      </c>
      <c r="O1682" t="s">
        <v>20</v>
      </c>
    </row>
    <row r="1683" spans="1:15" x14ac:dyDescent="0.3">
      <c r="A1683" t="s">
        <v>1708</v>
      </c>
      <c r="B1683" t="s">
        <v>22</v>
      </c>
      <c r="C1683">
        <v>37</v>
      </c>
      <c r="D1683" t="s">
        <v>20</v>
      </c>
      <c r="E1683">
        <v>13</v>
      </c>
      <c r="F1683" t="str">
        <f t="shared" si="26"/>
        <v>13-24 Months</v>
      </c>
      <c r="G1683" t="s">
        <v>17</v>
      </c>
      <c r="H1683" t="s">
        <v>36</v>
      </c>
      <c r="I1683" t="s">
        <v>19</v>
      </c>
      <c r="J1683" t="s">
        <v>20</v>
      </c>
      <c r="K1683" t="s">
        <v>20</v>
      </c>
      <c r="L1683">
        <v>2</v>
      </c>
      <c r="M1683" s="7">
        <v>50.42</v>
      </c>
      <c r="N1683" s="7">
        <v>688.93</v>
      </c>
      <c r="O1683" t="s">
        <v>20</v>
      </c>
    </row>
    <row r="1684" spans="1:15" x14ac:dyDescent="0.3">
      <c r="A1684" t="s">
        <v>1709</v>
      </c>
      <c r="B1684" t="s">
        <v>15</v>
      </c>
      <c r="C1684">
        <v>34</v>
      </c>
      <c r="D1684" t="s">
        <v>20</v>
      </c>
      <c r="E1684">
        <v>32</v>
      </c>
      <c r="F1684" t="str">
        <f t="shared" si="26"/>
        <v>25-48 Months</v>
      </c>
      <c r="G1684" t="s">
        <v>23</v>
      </c>
      <c r="H1684" t="s">
        <v>18</v>
      </c>
      <c r="I1684" t="s">
        <v>19</v>
      </c>
      <c r="J1684" t="s">
        <v>16</v>
      </c>
      <c r="K1684" t="s">
        <v>16</v>
      </c>
      <c r="L1684">
        <v>5</v>
      </c>
      <c r="M1684" s="7">
        <v>88.9</v>
      </c>
      <c r="N1684" s="7">
        <v>2932.1</v>
      </c>
      <c r="O1684" t="s">
        <v>20</v>
      </c>
    </row>
    <row r="1685" spans="1:15" x14ac:dyDescent="0.3">
      <c r="A1685" t="s">
        <v>1710</v>
      </c>
      <c r="B1685" t="s">
        <v>15</v>
      </c>
      <c r="C1685">
        <v>72</v>
      </c>
      <c r="D1685" t="s">
        <v>16</v>
      </c>
      <c r="E1685">
        <v>9</v>
      </c>
      <c r="F1685" t="str">
        <f t="shared" si="26"/>
        <v>7-12 Months</v>
      </c>
      <c r="G1685" t="s">
        <v>17</v>
      </c>
      <c r="H1685" t="s">
        <v>20</v>
      </c>
      <c r="I1685" t="s">
        <v>19</v>
      </c>
      <c r="J1685" t="s">
        <v>16</v>
      </c>
      <c r="K1685" t="s">
        <v>20</v>
      </c>
      <c r="L1685">
        <v>3</v>
      </c>
      <c r="M1685" s="7">
        <v>41.72</v>
      </c>
      <c r="N1685" s="7">
        <v>352.67</v>
      </c>
      <c r="O1685" t="s">
        <v>20</v>
      </c>
    </row>
    <row r="1686" spans="1:15" x14ac:dyDescent="0.3">
      <c r="A1686" t="s">
        <v>1711</v>
      </c>
      <c r="B1686" t="s">
        <v>15</v>
      </c>
      <c r="C1686">
        <v>24</v>
      </c>
      <c r="D1686" t="s">
        <v>20</v>
      </c>
      <c r="E1686">
        <v>40</v>
      </c>
      <c r="F1686" t="str">
        <f t="shared" si="26"/>
        <v>25-48 Months</v>
      </c>
      <c r="G1686" t="s">
        <v>17</v>
      </c>
      <c r="H1686" t="s">
        <v>36</v>
      </c>
      <c r="I1686" t="s">
        <v>27</v>
      </c>
      <c r="J1686" t="s">
        <v>20</v>
      </c>
      <c r="K1686" t="s">
        <v>20</v>
      </c>
      <c r="L1686">
        <v>2</v>
      </c>
      <c r="M1686" s="7">
        <v>35.020000000000003</v>
      </c>
      <c r="N1686" s="7">
        <v>1409.74</v>
      </c>
      <c r="O1686" t="s">
        <v>20</v>
      </c>
    </row>
    <row r="1687" spans="1:15" x14ac:dyDescent="0.3">
      <c r="A1687" t="s">
        <v>1712</v>
      </c>
      <c r="B1687" t="s">
        <v>15</v>
      </c>
      <c r="C1687">
        <v>21</v>
      </c>
      <c r="D1687" t="s">
        <v>20</v>
      </c>
      <c r="E1687">
        <v>20</v>
      </c>
      <c r="F1687" t="str">
        <f t="shared" si="26"/>
        <v>13-24 Months</v>
      </c>
      <c r="G1687" t="s">
        <v>35</v>
      </c>
      <c r="H1687" t="s">
        <v>18</v>
      </c>
      <c r="I1687" t="s">
        <v>24</v>
      </c>
      <c r="J1687" t="s">
        <v>20</v>
      </c>
      <c r="K1687" t="s">
        <v>16</v>
      </c>
      <c r="L1687">
        <v>7</v>
      </c>
      <c r="M1687" s="7">
        <v>97.99</v>
      </c>
      <c r="N1687" s="7">
        <v>2031.47</v>
      </c>
      <c r="O1687" t="s">
        <v>20</v>
      </c>
    </row>
    <row r="1688" spans="1:15" x14ac:dyDescent="0.3">
      <c r="A1688" t="s">
        <v>1713</v>
      </c>
      <c r="B1688" t="s">
        <v>22</v>
      </c>
      <c r="C1688">
        <v>46</v>
      </c>
      <c r="D1688" t="s">
        <v>20</v>
      </c>
      <c r="E1688">
        <v>63</v>
      </c>
      <c r="F1688" t="str">
        <f t="shared" si="26"/>
        <v>49+ Months</v>
      </c>
      <c r="G1688" t="s">
        <v>17</v>
      </c>
      <c r="H1688" t="s">
        <v>36</v>
      </c>
      <c r="I1688" t="s">
        <v>30</v>
      </c>
      <c r="J1688" t="s">
        <v>20</v>
      </c>
      <c r="K1688" t="s">
        <v>16</v>
      </c>
      <c r="L1688">
        <v>1</v>
      </c>
      <c r="M1688" s="7">
        <v>44.58</v>
      </c>
      <c r="N1688" s="7">
        <v>2832.49</v>
      </c>
      <c r="O1688" t="s">
        <v>20</v>
      </c>
    </row>
    <row r="1689" spans="1:15" x14ac:dyDescent="0.3">
      <c r="A1689" t="s">
        <v>1714</v>
      </c>
      <c r="B1689" t="s">
        <v>15</v>
      </c>
      <c r="C1689">
        <v>31</v>
      </c>
      <c r="D1689" t="s">
        <v>20</v>
      </c>
      <c r="E1689">
        <v>44</v>
      </c>
      <c r="F1689" t="str">
        <f t="shared" si="26"/>
        <v>25-48 Months</v>
      </c>
      <c r="G1689" t="s">
        <v>17</v>
      </c>
      <c r="H1689" t="s">
        <v>36</v>
      </c>
      <c r="I1689" t="s">
        <v>24</v>
      </c>
      <c r="J1689" t="s">
        <v>20</v>
      </c>
      <c r="K1689" t="s">
        <v>20</v>
      </c>
      <c r="L1689">
        <v>5</v>
      </c>
      <c r="M1689" s="7">
        <v>65.760000000000005</v>
      </c>
      <c r="N1689" s="7">
        <v>3101.32</v>
      </c>
      <c r="O1689" t="s">
        <v>20</v>
      </c>
    </row>
    <row r="1690" spans="1:15" x14ac:dyDescent="0.3">
      <c r="A1690" t="s">
        <v>1715</v>
      </c>
      <c r="B1690" t="s">
        <v>15</v>
      </c>
      <c r="C1690">
        <v>20</v>
      </c>
      <c r="D1690" t="s">
        <v>20</v>
      </c>
      <c r="E1690">
        <v>38</v>
      </c>
      <c r="F1690" t="str">
        <f t="shared" si="26"/>
        <v>25-48 Months</v>
      </c>
      <c r="G1690" t="s">
        <v>35</v>
      </c>
      <c r="H1690" t="s">
        <v>20</v>
      </c>
      <c r="I1690" t="s">
        <v>24</v>
      </c>
      <c r="J1690" t="s">
        <v>20</v>
      </c>
      <c r="K1690" t="s">
        <v>20</v>
      </c>
      <c r="L1690">
        <v>3</v>
      </c>
      <c r="M1690" s="7">
        <v>34.15</v>
      </c>
      <c r="N1690" s="7">
        <v>1214.96</v>
      </c>
      <c r="O1690" t="s">
        <v>20</v>
      </c>
    </row>
    <row r="1691" spans="1:15" x14ac:dyDescent="0.3">
      <c r="A1691" t="s">
        <v>1716</v>
      </c>
      <c r="B1691" t="s">
        <v>22</v>
      </c>
      <c r="C1691">
        <v>41</v>
      </c>
      <c r="D1691" t="s">
        <v>20</v>
      </c>
      <c r="E1691">
        <v>60</v>
      </c>
      <c r="F1691" t="str">
        <f t="shared" si="26"/>
        <v>49+ Months</v>
      </c>
      <c r="G1691" t="s">
        <v>35</v>
      </c>
      <c r="H1691" t="s">
        <v>36</v>
      </c>
      <c r="I1691" t="s">
        <v>27</v>
      </c>
      <c r="J1691" t="s">
        <v>20</v>
      </c>
      <c r="K1691" t="s">
        <v>20</v>
      </c>
      <c r="L1691">
        <v>7</v>
      </c>
      <c r="M1691" s="7">
        <v>70.64</v>
      </c>
      <c r="N1691" s="7">
        <v>4389.17</v>
      </c>
      <c r="O1691" t="s">
        <v>16</v>
      </c>
    </row>
    <row r="1692" spans="1:15" x14ac:dyDescent="0.3">
      <c r="A1692" t="s">
        <v>1717</v>
      </c>
      <c r="B1692" t="s">
        <v>22</v>
      </c>
      <c r="C1692">
        <v>54</v>
      </c>
      <c r="D1692" t="s">
        <v>20</v>
      </c>
      <c r="E1692">
        <v>71</v>
      </c>
      <c r="F1692" t="str">
        <f t="shared" si="26"/>
        <v>49+ Months</v>
      </c>
      <c r="G1692" t="s">
        <v>17</v>
      </c>
      <c r="H1692" t="s">
        <v>18</v>
      </c>
      <c r="I1692" t="s">
        <v>24</v>
      </c>
      <c r="J1692" t="s">
        <v>20</v>
      </c>
      <c r="K1692" t="s">
        <v>16</v>
      </c>
      <c r="L1692">
        <v>5</v>
      </c>
      <c r="M1692" s="7">
        <v>92.21</v>
      </c>
      <c r="N1692" s="7">
        <v>6886.77</v>
      </c>
      <c r="O1692" t="s">
        <v>20</v>
      </c>
    </row>
    <row r="1693" spans="1:15" x14ac:dyDescent="0.3">
      <c r="A1693" t="s">
        <v>1718</v>
      </c>
      <c r="B1693" t="s">
        <v>22</v>
      </c>
      <c r="C1693">
        <v>33</v>
      </c>
      <c r="D1693" t="s">
        <v>20</v>
      </c>
      <c r="E1693">
        <v>48</v>
      </c>
      <c r="F1693" t="str">
        <f t="shared" si="26"/>
        <v>25-48 Months</v>
      </c>
      <c r="G1693" t="s">
        <v>17</v>
      </c>
      <c r="H1693" t="s">
        <v>36</v>
      </c>
      <c r="I1693" t="s">
        <v>30</v>
      </c>
      <c r="J1693" t="s">
        <v>16</v>
      </c>
      <c r="K1693" t="s">
        <v>16</v>
      </c>
      <c r="L1693">
        <v>6</v>
      </c>
      <c r="M1693" s="7">
        <v>69.349999999999994</v>
      </c>
      <c r="N1693" s="7">
        <v>3436.73</v>
      </c>
      <c r="O1693" t="s">
        <v>20</v>
      </c>
    </row>
    <row r="1694" spans="1:15" x14ac:dyDescent="0.3">
      <c r="A1694" t="s">
        <v>1719</v>
      </c>
      <c r="B1694" t="s">
        <v>22</v>
      </c>
      <c r="C1694">
        <v>75</v>
      </c>
      <c r="D1694" t="s">
        <v>16</v>
      </c>
      <c r="E1694">
        <v>18</v>
      </c>
      <c r="F1694" t="str">
        <f t="shared" si="26"/>
        <v>13-24 Months</v>
      </c>
      <c r="G1694" t="s">
        <v>23</v>
      </c>
      <c r="H1694" t="s">
        <v>36</v>
      </c>
      <c r="I1694" t="s">
        <v>24</v>
      </c>
      <c r="J1694" t="s">
        <v>20</v>
      </c>
      <c r="K1694" t="s">
        <v>20</v>
      </c>
      <c r="L1694">
        <v>7</v>
      </c>
      <c r="M1694" s="7">
        <v>79.849999999999994</v>
      </c>
      <c r="N1694" s="7">
        <v>1410.99</v>
      </c>
      <c r="O1694" t="s">
        <v>16</v>
      </c>
    </row>
    <row r="1695" spans="1:15" x14ac:dyDescent="0.3">
      <c r="A1695" t="s">
        <v>1720</v>
      </c>
      <c r="B1695" t="s">
        <v>15</v>
      </c>
      <c r="C1695">
        <v>72</v>
      </c>
      <c r="D1695" t="s">
        <v>16</v>
      </c>
      <c r="E1695">
        <v>16</v>
      </c>
      <c r="F1695" t="str">
        <f t="shared" si="26"/>
        <v>13-24 Months</v>
      </c>
      <c r="G1695" t="s">
        <v>35</v>
      </c>
      <c r="H1695" t="s">
        <v>18</v>
      </c>
      <c r="I1695" t="s">
        <v>19</v>
      </c>
      <c r="J1695" t="s">
        <v>20</v>
      </c>
      <c r="K1695" t="s">
        <v>20</v>
      </c>
      <c r="L1695">
        <v>6</v>
      </c>
      <c r="M1695" s="7">
        <v>86.64</v>
      </c>
      <c r="N1695" s="7">
        <v>1360.84</v>
      </c>
      <c r="O1695" t="s">
        <v>20</v>
      </c>
    </row>
    <row r="1696" spans="1:15" x14ac:dyDescent="0.3">
      <c r="A1696" t="s">
        <v>1721</v>
      </c>
      <c r="B1696" t="s">
        <v>15</v>
      </c>
      <c r="C1696">
        <v>69</v>
      </c>
      <c r="D1696" t="s">
        <v>16</v>
      </c>
      <c r="E1696">
        <v>55</v>
      </c>
      <c r="F1696" t="str">
        <f t="shared" si="26"/>
        <v>49+ Months</v>
      </c>
      <c r="G1696" t="s">
        <v>35</v>
      </c>
      <c r="H1696" t="s">
        <v>36</v>
      </c>
      <c r="I1696" t="s">
        <v>27</v>
      </c>
      <c r="J1696" t="s">
        <v>20</v>
      </c>
      <c r="K1696" t="s">
        <v>16</v>
      </c>
      <c r="L1696">
        <v>3</v>
      </c>
      <c r="M1696" s="7">
        <v>53.92</v>
      </c>
      <c r="N1696" s="7">
        <v>3006.68</v>
      </c>
      <c r="O1696" t="s">
        <v>20</v>
      </c>
    </row>
    <row r="1697" spans="1:15" x14ac:dyDescent="0.3">
      <c r="A1697" t="s">
        <v>1722</v>
      </c>
      <c r="B1697" t="s">
        <v>22</v>
      </c>
      <c r="C1697">
        <v>21</v>
      </c>
      <c r="D1697" t="s">
        <v>20</v>
      </c>
      <c r="E1697">
        <v>39</v>
      </c>
      <c r="F1697" t="str">
        <f t="shared" si="26"/>
        <v>25-48 Months</v>
      </c>
      <c r="G1697" t="s">
        <v>17</v>
      </c>
      <c r="H1697" t="s">
        <v>20</v>
      </c>
      <c r="I1697" t="s">
        <v>27</v>
      </c>
      <c r="J1697" t="s">
        <v>20</v>
      </c>
      <c r="K1697" t="s">
        <v>20</v>
      </c>
      <c r="L1697">
        <v>5</v>
      </c>
      <c r="M1697" s="7">
        <v>45.09</v>
      </c>
      <c r="N1697" s="7">
        <v>1729.56</v>
      </c>
      <c r="O1697" t="s">
        <v>20</v>
      </c>
    </row>
    <row r="1698" spans="1:15" x14ac:dyDescent="0.3">
      <c r="A1698" t="s">
        <v>1723</v>
      </c>
      <c r="B1698" t="s">
        <v>15</v>
      </c>
      <c r="C1698">
        <v>73</v>
      </c>
      <c r="D1698" t="s">
        <v>16</v>
      </c>
      <c r="E1698">
        <v>68</v>
      </c>
      <c r="F1698" t="str">
        <f t="shared" si="26"/>
        <v>49+ Months</v>
      </c>
      <c r="G1698" t="s">
        <v>17</v>
      </c>
      <c r="H1698" t="s">
        <v>18</v>
      </c>
      <c r="I1698" t="s">
        <v>27</v>
      </c>
      <c r="J1698" t="s">
        <v>20</v>
      </c>
      <c r="K1698" t="s">
        <v>20</v>
      </c>
      <c r="L1698">
        <v>4</v>
      </c>
      <c r="M1698" s="7">
        <v>70.11</v>
      </c>
      <c r="N1698" s="7">
        <v>5059.7700000000004</v>
      </c>
      <c r="O1698" t="s">
        <v>20</v>
      </c>
    </row>
    <row r="1699" spans="1:15" x14ac:dyDescent="0.3">
      <c r="A1699" t="s">
        <v>1724</v>
      </c>
      <c r="B1699" t="s">
        <v>15</v>
      </c>
      <c r="C1699">
        <v>41</v>
      </c>
      <c r="D1699" t="s">
        <v>20</v>
      </c>
      <c r="E1699">
        <v>59</v>
      </c>
      <c r="F1699" t="str">
        <f t="shared" si="26"/>
        <v>49+ Months</v>
      </c>
      <c r="G1699" t="s">
        <v>17</v>
      </c>
      <c r="H1699" t="s">
        <v>36</v>
      </c>
      <c r="I1699" t="s">
        <v>30</v>
      </c>
      <c r="J1699" t="s">
        <v>16</v>
      </c>
      <c r="K1699" t="s">
        <v>20</v>
      </c>
      <c r="L1699">
        <v>3</v>
      </c>
      <c r="M1699" s="7">
        <v>36.159999999999997</v>
      </c>
      <c r="N1699" s="7">
        <v>2000.29</v>
      </c>
      <c r="O1699" t="s">
        <v>20</v>
      </c>
    </row>
    <row r="1700" spans="1:15" x14ac:dyDescent="0.3">
      <c r="A1700" t="s">
        <v>1725</v>
      </c>
      <c r="B1700" t="s">
        <v>15</v>
      </c>
      <c r="C1700">
        <v>51</v>
      </c>
      <c r="D1700" t="s">
        <v>20</v>
      </c>
      <c r="E1700">
        <v>62</v>
      </c>
      <c r="F1700" t="str">
        <f t="shared" si="26"/>
        <v>49+ Months</v>
      </c>
      <c r="G1700" t="s">
        <v>23</v>
      </c>
      <c r="H1700" t="s">
        <v>18</v>
      </c>
      <c r="I1700" t="s">
        <v>24</v>
      </c>
      <c r="J1700" t="s">
        <v>16</v>
      </c>
      <c r="K1700" t="s">
        <v>16</v>
      </c>
      <c r="L1700">
        <v>4</v>
      </c>
      <c r="M1700" s="7">
        <v>73.53</v>
      </c>
      <c r="N1700" s="7">
        <v>4660.3599999999997</v>
      </c>
      <c r="O1700" t="s">
        <v>20</v>
      </c>
    </row>
    <row r="1701" spans="1:15" x14ac:dyDescent="0.3">
      <c r="A1701" t="s">
        <v>1726</v>
      </c>
      <c r="B1701" t="s">
        <v>22</v>
      </c>
      <c r="C1701">
        <v>47</v>
      </c>
      <c r="D1701" t="s">
        <v>20</v>
      </c>
      <c r="E1701">
        <v>13</v>
      </c>
      <c r="F1701" t="str">
        <f t="shared" si="26"/>
        <v>13-24 Months</v>
      </c>
      <c r="G1701" t="s">
        <v>23</v>
      </c>
      <c r="H1701" t="s">
        <v>18</v>
      </c>
      <c r="I1701" t="s">
        <v>30</v>
      </c>
      <c r="J1701" t="s">
        <v>16</v>
      </c>
      <c r="K1701" t="s">
        <v>20</v>
      </c>
      <c r="L1701">
        <v>2</v>
      </c>
      <c r="M1701" s="7">
        <v>78.19</v>
      </c>
      <c r="N1701" s="7">
        <v>956.96</v>
      </c>
      <c r="O1701" t="s">
        <v>20</v>
      </c>
    </row>
    <row r="1702" spans="1:15" x14ac:dyDescent="0.3">
      <c r="A1702" t="s">
        <v>1727</v>
      </c>
      <c r="B1702" t="s">
        <v>15</v>
      </c>
      <c r="C1702">
        <v>35</v>
      </c>
      <c r="D1702" t="s">
        <v>20</v>
      </c>
      <c r="E1702">
        <v>6</v>
      </c>
      <c r="F1702" t="str">
        <f t="shared" si="26"/>
        <v>0-6 Months</v>
      </c>
      <c r="G1702" t="s">
        <v>23</v>
      </c>
      <c r="H1702" t="s">
        <v>18</v>
      </c>
      <c r="I1702" t="s">
        <v>30</v>
      </c>
      <c r="J1702" t="s">
        <v>16</v>
      </c>
      <c r="K1702" t="s">
        <v>20</v>
      </c>
      <c r="L1702">
        <v>1</v>
      </c>
      <c r="M1702" s="7">
        <v>76.94</v>
      </c>
      <c r="N1702" s="7">
        <v>464.61</v>
      </c>
      <c r="O1702" t="s">
        <v>16</v>
      </c>
    </row>
    <row r="1703" spans="1:15" x14ac:dyDescent="0.3">
      <c r="A1703" t="s">
        <v>1728</v>
      </c>
      <c r="B1703" t="s">
        <v>22</v>
      </c>
      <c r="C1703">
        <v>36</v>
      </c>
      <c r="D1703" t="s">
        <v>20</v>
      </c>
      <c r="E1703">
        <v>60</v>
      </c>
      <c r="F1703" t="str">
        <f t="shared" si="26"/>
        <v>49+ Months</v>
      </c>
      <c r="G1703" t="s">
        <v>35</v>
      </c>
      <c r="H1703" t="s">
        <v>18</v>
      </c>
      <c r="I1703" t="s">
        <v>24</v>
      </c>
      <c r="J1703" t="s">
        <v>20</v>
      </c>
      <c r="K1703" t="s">
        <v>20</v>
      </c>
      <c r="L1703">
        <v>2</v>
      </c>
      <c r="M1703" s="7">
        <v>56.98</v>
      </c>
      <c r="N1703" s="7">
        <v>3536.72</v>
      </c>
      <c r="O1703" t="s">
        <v>20</v>
      </c>
    </row>
    <row r="1704" spans="1:15" x14ac:dyDescent="0.3">
      <c r="A1704" t="s">
        <v>1729</v>
      </c>
      <c r="B1704" t="s">
        <v>15</v>
      </c>
      <c r="C1704">
        <v>48</v>
      </c>
      <c r="D1704" t="s">
        <v>20</v>
      </c>
      <c r="E1704">
        <v>14</v>
      </c>
      <c r="F1704" t="str">
        <f t="shared" si="26"/>
        <v>13-24 Months</v>
      </c>
      <c r="G1704" t="s">
        <v>17</v>
      </c>
      <c r="H1704" t="s">
        <v>20</v>
      </c>
      <c r="I1704" t="s">
        <v>19</v>
      </c>
      <c r="J1704" t="s">
        <v>20</v>
      </c>
      <c r="K1704" t="s">
        <v>16</v>
      </c>
      <c r="L1704">
        <v>5</v>
      </c>
      <c r="M1704" s="7">
        <v>54.01</v>
      </c>
      <c r="N1704" s="7">
        <v>715.67</v>
      </c>
      <c r="O1704" t="s">
        <v>20</v>
      </c>
    </row>
    <row r="1705" spans="1:15" x14ac:dyDescent="0.3">
      <c r="A1705" t="s">
        <v>1730</v>
      </c>
      <c r="B1705" t="s">
        <v>15</v>
      </c>
      <c r="C1705">
        <v>36</v>
      </c>
      <c r="D1705" t="s">
        <v>20</v>
      </c>
      <c r="E1705">
        <v>54</v>
      </c>
      <c r="F1705" t="str">
        <f t="shared" si="26"/>
        <v>49+ Months</v>
      </c>
      <c r="G1705" t="s">
        <v>17</v>
      </c>
      <c r="H1705" t="s">
        <v>18</v>
      </c>
      <c r="I1705" t="s">
        <v>27</v>
      </c>
      <c r="J1705" t="s">
        <v>16</v>
      </c>
      <c r="K1705" t="s">
        <v>16</v>
      </c>
      <c r="L1705">
        <v>2</v>
      </c>
      <c r="M1705" s="7">
        <v>66.849999999999994</v>
      </c>
      <c r="N1705" s="7">
        <v>3727.75</v>
      </c>
      <c r="O1705" t="s">
        <v>16</v>
      </c>
    </row>
    <row r="1706" spans="1:15" x14ac:dyDescent="0.3">
      <c r="A1706" t="s">
        <v>1731</v>
      </c>
      <c r="B1706" t="s">
        <v>15</v>
      </c>
      <c r="C1706">
        <v>66</v>
      </c>
      <c r="D1706" t="s">
        <v>16</v>
      </c>
      <c r="E1706">
        <v>4</v>
      </c>
      <c r="F1706" t="str">
        <f t="shared" si="26"/>
        <v>0-6 Months</v>
      </c>
      <c r="G1706" t="s">
        <v>17</v>
      </c>
      <c r="H1706" t="s">
        <v>36</v>
      </c>
      <c r="I1706" t="s">
        <v>19</v>
      </c>
      <c r="J1706" t="s">
        <v>20</v>
      </c>
      <c r="K1706" t="s">
        <v>20</v>
      </c>
      <c r="L1706">
        <v>6</v>
      </c>
      <c r="M1706" s="7">
        <v>57.02</v>
      </c>
      <c r="N1706" s="7">
        <v>214.94</v>
      </c>
      <c r="O1706" t="s">
        <v>16</v>
      </c>
    </row>
    <row r="1707" spans="1:15" x14ac:dyDescent="0.3">
      <c r="A1707" t="s">
        <v>1732</v>
      </c>
      <c r="B1707" t="s">
        <v>22</v>
      </c>
      <c r="C1707">
        <v>63</v>
      </c>
      <c r="D1707" t="s">
        <v>16</v>
      </c>
      <c r="E1707">
        <v>39</v>
      </c>
      <c r="F1707" t="str">
        <f t="shared" si="26"/>
        <v>25-48 Months</v>
      </c>
      <c r="G1707" t="s">
        <v>17</v>
      </c>
      <c r="H1707" t="s">
        <v>18</v>
      </c>
      <c r="I1707" t="s">
        <v>24</v>
      </c>
      <c r="J1707" t="s">
        <v>20</v>
      </c>
      <c r="K1707" t="s">
        <v>20</v>
      </c>
      <c r="L1707">
        <v>3</v>
      </c>
      <c r="M1707" s="7">
        <v>82.41</v>
      </c>
      <c r="N1707" s="7">
        <v>3275.98</v>
      </c>
      <c r="O1707" t="s">
        <v>20</v>
      </c>
    </row>
    <row r="1708" spans="1:15" x14ac:dyDescent="0.3">
      <c r="A1708" t="s">
        <v>1733</v>
      </c>
      <c r="B1708" t="s">
        <v>15</v>
      </c>
      <c r="C1708">
        <v>36</v>
      </c>
      <c r="D1708" t="s">
        <v>20</v>
      </c>
      <c r="E1708">
        <v>72</v>
      </c>
      <c r="F1708" t="str">
        <f t="shared" si="26"/>
        <v>49+ Months</v>
      </c>
      <c r="G1708" t="s">
        <v>17</v>
      </c>
      <c r="H1708" t="s">
        <v>20</v>
      </c>
      <c r="I1708" t="s">
        <v>27</v>
      </c>
      <c r="J1708" t="s">
        <v>20</v>
      </c>
      <c r="K1708" t="s">
        <v>20</v>
      </c>
      <c r="L1708">
        <v>1</v>
      </c>
      <c r="M1708" s="7">
        <v>25.46</v>
      </c>
      <c r="N1708" s="7">
        <v>1834.75</v>
      </c>
      <c r="O1708" t="s">
        <v>20</v>
      </c>
    </row>
    <row r="1709" spans="1:15" x14ac:dyDescent="0.3">
      <c r="A1709" t="s">
        <v>1734</v>
      </c>
      <c r="B1709" t="s">
        <v>22</v>
      </c>
      <c r="C1709">
        <v>39</v>
      </c>
      <c r="D1709" t="s">
        <v>20</v>
      </c>
      <c r="E1709">
        <v>25</v>
      </c>
      <c r="F1709" t="str">
        <f t="shared" si="26"/>
        <v>25-48 Months</v>
      </c>
      <c r="G1709" t="s">
        <v>17</v>
      </c>
      <c r="H1709" t="s">
        <v>36</v>
      </c>
      <c r="I1709" t="s">
        <v>24</v>
      </c>
      <c r="J1709" t="s">
        <v>20</v>
      </c>
      <c r="K1709" t="s">
        <v>20</v>
      </c>
      <c r="L1709">
        <v>6</v>
      </c>
      <c r="M1709" s="7">
        <v>85.31</v>
      </c>
      <c r="N1709" s="7">
        <v>2063.85</v>
      </c>
      <c r="O1709" t="s">
        <v>16</v>
      </c>
    </row>
    <row r="1710" spans="1:15" x14ac:dyDescent="0.3">
      <c r="A1710" t="s">
        <v>1735</v>
      </c>
      <c r="B1710" t="s">
        <v>22</v>
      </c>
      <c r="C1710">
        <v>41</v>
      </c>
      <c r="D1710" t="s">
        <v>20</v>
      </c>
      <c r="E1710">
        <v>32</v>
      </c>
      <c r="F1710" t="str">
        <f t="shared" si="26"/>
        <v>25-48 Months</v>
      </c>
      <c r="G1710" t="s">
        <v>23</v>
      </c>
      <c r="H1710" t="s">
        <v>36</v>
      </c>
      <c r="I1710" t="s">
        <v>24</v>
      </c>
      <c r="J1710" t="s">
        <v>20</v>
      </c>
      <c r="K1710" t="s">
        <v>16</v>
      </c>
      <c r="L1710">
        <v>3</v>
      </c>
      <c r="M1710" s="7">
        <v>50.29</v>
      </c>
      <c r="N1710" s="7">
        <v>1509.26</v>
      </c>
      <c r="O1710" t="s">
        <v>20</v>
      </c>
    </row>
    <row r="1711" spans="1:15" x14ac:dyDescent="0.3">
      <c r="A1711" t="s">
        <v>1736</v>
      </c>
      <c r="B1711" t="s">
        <v>22</v>
      </c>
      <c r="C1711">
        <v>62</v>
      </c>
      <c r="D1711" t="s">
        <v>16</v>
      </c>
      <c r="E1711">
        <v>59</v>
      </c>
      <c r="F1711" t="str">
        <f t="shared" si="26"/>
        <v>49+ Months</v>
      </c>
      <c r="G1711" t="s">
        <v>35</v>
      </c>
      <c r="H1711" t="s">
        <v>18</v>
      </c>
      <c r="I1711" t="s">
        <v>30</v>
      </c>
      <c r="J1711" t="s">
        <v>16</v>
      </c>
      <c r="K1711" t="s">
        <v>20</v>
      </c>
      <c r="L1711">
        <v>1</v>
      </c>
      <c r="M1711" s="7">
        <v>65.069999999999993</v>
      </c>
      <c r="N1711" s="7">
        <v>3984.01</v>
      </c>
      <c r="O1711" t="s">
        <v>20</v>
      </c>
    </row>
    <row r="1712" spans="1:15" x14ac:dyDescent="0.3">
      <c r="A1712" t="s">
        <v>1737</v>
      </c>
      <c r="B1712" t="s">
        <v>15</v>
      </c>
      <c r="C1712">
        <v>29</v>
      </c>
      <c r="D1712" t="s">
        <v>20</v>
      </c>
      <c r="E1712">
        <v>63</v>
      </c>
      <c r="F1712" t="str">
        <f t="shared" si="26"/>
        <v>49+ Months</v>
      </c>
      <c r="G1712" t="s">
        <v>17</v>
      </c>
      <c r="H1712" t="s">
        <v>18</v>
      </c>
      <c r="I1712" t="s">
        <v>19</v>
      </c>
      <c r="J1712" t="s">
        <v>20</v>
      </c>
      <c r="K1712" t="s">
        <v>20</v>
      </c>
      <c r="L1712">
        <v>4</v>
      </c>
      <c r="M1712" s="7">
        <v>72.16</v>
      </c>
      <c r="N1712" s="7">
        <v>4460.1099999999997</v>
      </c>
      <c r="O1712" t="s">
        <v>20</v>
      </c>
    </row>
    <row r="1713" spans="1:15" x14ac:dyDescent="0.3">
      <c r="A1713" t="s">
        <v>1738</v>
      </c>
      <c r="B1713" t="s">
        <v>15</v>
      </c>
      <c r="C1713">
        <v>47</v>
      </c>
      <c r="D1713" t="s">
        <v>20</v>
      </c>
      <c r="E1713">
        <v>38</v>
      </c>
      <c r="F1713" t="str">
        <f t="shared" si="26"/>
        <v>25-48 Months</v>
      </c>
      <c r="G1713" t="s">
        <v>17</v>
      </c>
      <c r="H1713" t="s">
        <v>18</v>
      </c>
      <c r="I1713" t="s">
        <v>30</v>
      </c>
      <c r="J1713" t="s">
        <v>16</v>
      </c>
      <c r="K1713" t="s">
        <v>20</v>
      </c>
      <c r="L1713">
        <v>8</v>
      </c>
      <c r="M1713" s="7">
        <v>96.05</v>
      </c>
      <c r="N1713" s="7">
        <v>3408.44</v>
      </c>
      <c r="O1713" t="s">
        <v>20</v>
      </c>
    </row>
    <row r="1714" spans="1:15" x14ac:dyDescent="0.3">
      <c r="A1714" t="s">
        <v>1739</v>
      </c>
      <c r="B1714" t="s">
        <v>15</v>
      </c>
      <c r="C1714">
        <v>75</v>
      </c>
      <c r="D1714" t="s">
        <v>16</v>
      </c>
      <c r="E1714">
        <v>53</v>
      </c>
      <c r="F1714" t="str">
        <f t="shared" si="26"/>
        <v>49+ Months</v>
      </c>
      <c r="G1714" t="s">
        <v>17</v>
      </c>
      <c r="H1714" t="s">
        <v>20</v>
      </c>
      <c r="I1714" t="s">
        <v>24</v>
      </c>
      <c r="J1714" t="s">
        <v>20</v>
      </c>
      <c r="K1714" t="s">
        <v>16</v>
      </c>
      <c r="L1714">
        <v>1</v>
      </c>
      <c r="M1714" s="7">
        <v>34.58</v>
      </c>
      <c r="N1714" s="7">
        <v>1912.73</v>
      </c>
      <c r="O1714" t="s">
        <v>20</v>
      </c>
    </row>
    <row r="1715" spans="1:15" x14ac:dyDescent="0.3">
      <c r="A1715" t="s">
        <v>1740</v>
      </c>
      <c r="B1715" t="s">
        <v>15</v>
      </c>
      <c r="C1715">
        <v>55</v>
      </c>
      <c r="D1715" t="s">
        <v>20</v>
      </c>
      <c r="E1715">
        <v>67</v>
      </c>
      <c r="F1715" t="str">
        <f t="shared" si="26"/>
        <v>49+ Months</v>
      </c>
      <c r="G1715" t="s">
        <v>23</v>
      </c>
      <c r="H1715" t="s">
        <v>36</v>
      </c>
      <c r="I1715" t="s">
        <v>24</v>
      </c>
      <c r="J1715" t="s">
        <v>20</v>
      </c>
      <c r="K1715" t="s">
        <v>20</v>
      </c>
      <c r="L1715">
        <v>8</v>
      </c>
      <c r="M1715" s="7">
        <v>62.89</v>
      </c>
      <c r="N1715" s="7">
        <v>4033.55</v>
      </c>
      <c r="O1715" t="s">
        <v>20</v>
      </c>
    </row>
    <row r="1716" spans="1:15" x14ac:dyDescent="0.3">
      <c r="A1716" t="s">
        <v>1741</v>
      </c>
      <c r="B1716" t="s">
        <v>22</v>
      </c>
      <c r="C1716">
        <v>70</v>
      </c>
      <c r="D1716" t="s">
        <v>16</v>
      </c>
      <c r="E1716">
        <v>28</v>
      </c>
      <c r="F1716" t="str">
        <f t="shared" si="26"/>
        <v>25-48 Months</v>
      </c>
      <c r="G1716" t="s">
        <v>23</v>
      </c>
      <c r="H1716" t="s">
        <v>36</v>
      </c>
      <c r="I1716" t="s">
        <v>24</v>
      </c>
      <c r="J1716" t="s">
        <v>20</v>
      </c>
      <c r="K1716" t="s">
        <v>20</v>
      </c>
      <c r="L1716">
        <v>5</v>
      </c>
      <c r="M1716" s="7">
        <v>67.59</v>
      </c>
      <c r="N1716" s="7">
        <v>1964.12</v>
      </c>
      <c r="O1716" t="s">
        <v>20</v>
      </c>
    </row>
    <row r="1717" spans="1:15" x14ac:dyDescent="0.3">
      <c r="A1717" t="s">
        <v>1742</v>
      </c>
      <c r="B1717" t="s">
        <v>22</v>
      </c>
      <c r="C1717">
        <v>48</v>
      </c>
      <c r="D1717" t="s">
        <v>20</v>
      </c>
      <c r="E1717">
        <v>3</v>
      </c>
      <c r="F1717" t="str">
        <f t="shared" si="26"/>
        <v>0-6 Months</v>
      </c>
      <c r="G1717" t="s">
        <v>23</v>
      </c>
      <c r="H1717" t="s">
        <v>36</v>
      </c>
      <c r="I1717" t="s">
        <v>27</v>
      </c>
      <c r="J1717" t="s">
        <v>20</v>
      </c>
      <c r="K1717" t="s">
        <v>20</v>
      </c>
      <c r="L1717">
        <v>3</v>
      </c>
      <c r="M1717" s="7">
        <v>52.14</v>
      </c>
      <c r="N1717" s="7">
        <v>158.04</v>
      </c>
      <c r="O1717" t="s">
        <v>16</v>
      </c>
    </row>
    <row r="1718" spans="1:15" x14ac:dyDescent="0.3">
      <c r="A1718" t="s">
        <v>1743</v>
      </c>
      <c r="B1718" t="s">
        <v>22</v>
      </c>
      <c r="C1718">
        <v>53</v>
      </c>
      <c r="D1718" t="s">
        <v>20</v>
      </c>
      <c r="E1718">
        <v>22</v>
      </c>
      <c r="F1718" t="str">
        <f t="shared" si="26"/>
        <v>13-24 Months</v>
      </c>
      <c r="G1718" t="s">
        <v>17</v>
      </c>
      <c r="H1718" t="s">
        <v>18</v>
      </c>
      <c r="I1718" t="s">
        <v>19</v>
      </c>
      <c r="J1718" t="s">
        <v>20</v>
      </c>
      <c r="K1718" t="s">
        <v>20</v>
      </c>
      <c r="L1718">
        <v>3</v>
      </c>
      <c r="M1718" s="7">
        <v>68.97</v>
      </c>
      <c r="N1718" s="7">
        <v>1443.18</v>
      </c>
      <c r="O1718" t="s">
        <v>16</v>
      </c>
    </row>
    <row r="1719" spans="1:15" x14ac:dyDescent="0.3">
      <c r="A1719" t="s">
        <v>1744</v>
      </c>
      <c r="B1719" t="s">
        <v>15</v>
      </c>
      <c r="C1719">
        <v>36</v>
      </c>
      <c r="D1719" t="s">
        <v>20</v>
      </c>
      <c r="E1719">
        <v>38</v>
      </c>
      <c r="F1719" t="str">
        <f t="shared" si="26"/>
        <v>25-48 Months</v>
      </c>
      <c r="G1719" t="s">
        <v>17</v>
      </c>
      <c r="H1719" t="s">
        <v>36</v>
      </c>
      <c r="I1719" t="s">
        <v>24</v>
      </c>
      <c r="J1719" t="s">
        <v>16</v>
      </c>
      <c r="K1719" t="s">
        <v>20</v>
      </c>
      <c r="L1719">
        <v>2</v>
      </c>
      <c r="M1719" s="7">
        <v>41.19</v>
      </c>
      <c r="N1719" s="7">
        <v>1459.14</v>
      </c>
      <c r="O1719" t="s">
        <v>20</v>
      </c>
    </row>
    <row r="1720" spans="1:15" x14ac:dyDescent="0.3">
      <c r="A1720" t="s">
        <v>1745</v>
      </c>
      <c r="B1720" t="s">
        <v>22</v>
      </c>
      <c r="C1720">
        <v>65</v>
      </c>
      <c r="D1720" t="s">
        <v>16</v>
      </c>
      <c r="E1720">
        <v>72</v>
      </c>
      <c r="F1720" t="str">
        <f t="shared" si="26"/>
        <v>49+ Months</v>
      </c>
      <c r="G1720" t="s">
        <v>17</v>
      </c>
      <c r="H1720" t="s">
        <v>36</v>
      </c>
      <c r="I1720" t="s">
        <v>24</v>
      </c>
      <c r="J1720" t="s">
        <v>20</v>
      </c>
      <c r="K1720" t="s">
        <v>20</v>
      </c>
      <c r="L1720">
        <v>3</v>
      </c>
      <c r="M1720" s="7">
        <v>61.85</v>
      </c>
      <c r="N1720" s="7">
        <v>4519.6400000000003</v>
      </c>
      <c r="O1720" t="s">
        <v>16</v>
      </c>
    </row>
    <row r="1721" spans="1:15" x14ac:dyDescent="0.3">
      <c r="A1721" t="s">
        <v>1746</v>
      </c>
      <c r="B1721" t="s">
        <v>15</v>
      </c>
      <c r="C1721">
        <v>62</v>
      </c>
      <c r="D1721" t="s">
        <v>16</v>
      </c>
      <c r="E1721">
        <v>72</v>
      </c>
      <c r="F1721" t="str">
        <f t="shared" si="26"/>
        <v>49+ Months</v>
      </c>
      <c r="G1721" t="s">
        <v>23</v>
      </c>
      <c r="H1721" t="s">
        <v>36</v>
      </c>
      <c r="I1721" t="s">
        <v>24</v>
      </c>
      <c r="J1721" t="s">
        <v>20</v>
      </c>
      <c r="K1721" t="s">
        <v>20</v>
      </c>
      <c r="L1721">
        <v>7</v>
      </c>
      <c r="M1721" s="7">
        <v>73.010000000000005</v>
      </c>
      <c r="N1721" s="7">
        <v>4857.3900000000003</v>
      </c>
      <c r="O1721" t="s">
        <v>20</v>
      </c>
    </row>
    <row r="1722" spans="1:15" x14ac:dyDescent="0.3">
      <c r="A1722" t="s">
        <v>1747</v>
      </c>
      <c r="B1722" t="s">
        <v>22</v>
      </c>
      <c r="C1722">
        <v>53</v>
      </c>
      <c r="D1722" t="s">
        <v>20</v>
      </c>
      <c r="E1722">
        <v>62</v>
      </c>
      <c r="F1722" t="str">
        <f t="shared" si="26"/>
        <v>49+ Months</v>
      </c>
      <c r="G1722" t="s">
        <v>35</v>
      </c>
      <c r="H1722" t="s">
        <v>36</v>
      </c>
      <c r="I1722" t="s">
        <v>19</v>
      </c>
      <c r="J1722" t="s">
        <v>20</v>
      </c>
      <c r="K1722" t="s">
        <v>20</v>
      </c>
      <c r="L1722">
        <v>2</v>
      </c>
      <c r="M1722" s="7">
        <v>46.93</v>
      </c>
      <c r="N1722" s="7">
        <v>2707.36</v>
      </c>
      <c r="O1722" t="s">
        <v>20</v>
      </c>
    </row>
    <row r="1723" spans="1:15" x14ac:dyDescent="0.3">
      <c r="A1723" t="s">
        <v>1748</v>
      </c>
      <c r="B1723" t="s">
        <v>15</v>
      </c>
      <c r="C1723">
        <v>47</v>
      </c>
      <c r="D1723" t="s">
        <v>20</v>
      </c>
      <c r="E1723">
        <v>57</v>
      </c>
      <c r="F1723" t="str">
        <f t="shared" si="26"/>
        <v>49+ Months</v>
      </c>
      <c r="G1723" t="s">
        <v>35</v>
      </c>
      <c r="H1723" t="s">
        <v>18</v>
      </c>
      <c r="I1723" t="s">
        <v>24</v>
      </c>
      <c r="J1723" t="s">
        <v>16</v>
      </c>
      <c r="K1723" t="s">
        <v>20</v>
      </c>
      <c r="L1723">
        <v>4</v>
      </c>
      <c r="M1723" s="7">
        <v>84.46</v>
      </c>
      <c r="N1723" s="7">
        <v>4969.9799999999996</v>
      </c>
      <c r="O1723" t="s">
        <v>20</v>
      </c>
    </row>
    <row r="1724" spans="1:15" x14ac:dyDescent="0.3">
      <c r="A1724" t="s">
        <v>1749</v>
      </c>
      <c r="B1724" t="s">
        <v>15</v>
      </c>
      <c r="C1724">
        <v>72</v>
      </c>
      <c r="D1724" t="s">
        <v>16</v>
      </c>
      <c r="E1724">
        <v>6</v>
      </c>
      <c r="F1724" t="str">
        <f t="shared" si="26"/>
        <v>0-6 Months</v>
      </c>
      <c r="G1724" t="s">
        <v>17</v>
      </c>
      <c r="H1724" t="s">
        <v>18</v>
      </c>
      <c r="I1724" t="s">
        <v>19</v>
      </c>
      <c r="J1724" t="s">
        <v>20</v>
      </c>
      <c r="K1724" t="s">
        <v>20</v>
      </c>
      <c r="L1724">
        <v>5</v>
      </c>
      <c r="M1724" s="7">
        <v>86.71</v>
      </c>
      <c r="N1724" s="7">
        <v>523.5</v>
      </c>
      <c r="O1724" t="s">
        <v>20</v>
      </c>
    </row>
    <row r="1725" spans="1:15" x14ac:dyDescent="0.3">
      <c r="A1725" t="s">
        <v>1750</v>
      </c>
      <c r="B1725" t="s">
        <v>22</v>
      </c>
      <c r="C1725">
        <v>66</v>
      </c>
      <c r="D1725" t="s">
        <v>16</v>
      </c>
      <c r="E1725">
        <v>32</v>
      </c>
      <c r="F1725" t="str">
        <f t="shared" si="26"/>
        <v>25-48 Months</v>
      </c>
      <c r="G1725" t="s">
        <v>23</v>
      </c>
      <c r="H1725" t="s">
        <v>20</v>
      </c>
      <c r="I1725" t="s">
        <v>19</v>
      </c>
      <c r="J1725" t="s">
        <v>20</v>
      </c>
      <c r="K1725" t="s">
        <v>16</v>
      </c>
      <c r="L1725">
        <v>2</v>
      </c>
      <c r="M1725" s="7">
        <v>39.07</v>
      </c>
      <c r="N1725" s="7">
        <v>1215.49</v>
      </c>
      <c r="O1725" t="s">
        <v>20</v>
      </c>
    </row>
    <row r="1726" spans="1:15" x14ac:dyDescent="0.3">
      <c r="A1726" t="s">
        <v>1751</v>
      </c>
      <c r="B1726" t="s">
        <v>22</v>
      </c>
      <c r="C1726">
        <v>72</v>
      </c>
      <c r="D1726" t="s">
        <v>16</v>
      </c>
      <c r="E1726">
        <v>10</v>
      </c>
      <c r="F1726" t="str">
        <f t="shared" si="26"/>
        <v>7-12 Months</v>
      </c>
      <c r="G1726" t="s">
        <v>35</v>
      </c>
      <c r="H1726" t="s">
        <v>36</v>
      </c>
      <c r="I1726" t="s">
        <v>27</v>
      </c>
      <c r="J1726" t="s">
        <v>20</v>
      </c>
      <c r="K1726" t="s">
        <v>16</v>
      </c>
      <c r="L1726">
        <v>1</v>
      </c>
      <c r="M1726" s="7">
        <v>58.48</v>
      </c>
      <c r="N1726" s="7">
        <v>588.47</v>
      </c>
      <c r="O1726" t="s">
        <v>20</v>
      </c>
    </row>
    <row r="1727" spans="1:15" x14ac:dyDescent="0.3">
      <c r="A1727" t="s">
        <v>1752</v>
      </c>
      <c r="B1727" t="s">
        <v>22</v>
      </c>
      <c r="C1727">
        <v>50</v>
      </c>
      <c r="D1727" t="s">
        <v>20</v>
      </c>
      <c r="E1727">
        <v>3</v>
      </c>
      <c r="F1727" t="str">
        <f t="shared" si="26"/>
        <v>0-6 Months</v>
      </c>
      <c r="G1727" t="s">
        <v>17</v>
      </c>
      <c r="H1727" t="s">
        <v>18</v>
      </c>
      <c r="I1727" t="s">
        <v>30</v>
      </c>
      <c r="J1727" t="s">
        <v>20</v>
      </c>
      <c r="K1727" t="s">
        <v>20</v>
      </c>
      <c r="L1727">
        <v>4</v>
      </c>
      <c r="M1727" s="7">
        <v>80.52</v>
      </c>
      <c r="N1727" s="7">
        <v>245.1</v>
      </c>
      <c r="O1727" t="s">
        <v>20</v>
      </c>
    </row>
    <row r="1728" spans="1:15" x14ac:dyDescent="0.3">
      <c r="A1728" t="s">
        <v>1753</v>
      </c>
      <c r="B1728" t="s">
        <v>22</v>
      </c>
      <c r="C1728">
        <v>35</v>
      </c>
      <c r="D1728" t="s">
        <v>20</v>
      </c>
      <c r="E1728">
        <v>59</v>
      </c>
      <c r="F1728" t="str">
        <f t="shared" si="26"/>
        <v>49+ Months</v>
      </c>
      <c r="G1728" t="s">
        <v>17</v>
      </c>
      <c r="H1728" t="s">
        <v>20</v>
      </c>
      <c r="I1728" t="s">
        <v>19</v>
      </c>
      <c r="J1728" t="s">
        <v>20</v>
      </c>
      <c r="K1728" t="s">
        <v>20</v>
      </c>
      <c r="L1728">
        <v>4</v>
      </c>
      <c r="M1728" s="7">
        <v>54.53</v>
      </c>
      <c r="N1728" s="7">
        <v>3250.88</v>
      </c>
      <c r="O1728" t="s">
        <v>20</v>
      </c>
    </row>
    <row r="1729" spans="1:15" x14ac:dyDescent="0.3">
      <c r="A1729" t="s">
        <v>1754</v>
      </c>
      <c r="B1729" t="s">
        <v>15</v>
      </c>
      <c r="C1729">
        <v>69</v>
      </c>
      <c r="D1729" t="s">
        <v>16</v>
      </c>
      <c r="E1729">
        <v>49</v>
      </c>
      <c r="F1729" t="str">
        <f t="shared" si="26"/>
        <v>49+ Months</v>
      </c>
      <c r="G1729" t="s">
        <v>35</v>
      </c>
      <c r="H1729" t="s">
        <v>18</v>
      </c>
      <c r="I1729" t="s">
        <v>24</v>
      </c>
      <c r="J1729" t="s">
        <v>20</v>
      </c>
      <c r="K1729" t="s">
        <v>20</v>
      </c>
      <c r="L1729">
        <v>3</v>
      </c>
      <c r="M1729" s="7">
        <v>84.99</v>
      </c>
      <c r="N1729" s="7">
        <v>4259.5</v>
      </c>
      <c r="O1729" t="s">
        <v>16</v>
      </c>
    </row>
    <row r="1730" spans="1:15" x14ac:dyDescent="0.3">
      <c r="A1730" t="s">
        <v>1755</v>
      </c>
      <c r="B1730" t="s">
        <v>22</v>
      </c>
      <c r="C1730">
        <v>66</v>
      </c>
      <c r="D1730" t="s">
        <v>16</v>
      </c>
      <c r="E1730">
        <v>59</v>
      </c>
      <c r="F1730" t="str">
        <f t="shared" ref="F1730:F1793" si="27">IF(E1730&lt;=6,"0-6 Months",
 IF(E1730&lt;=12,"7-12 Months",
 IF(E1730&lt;=24,"13-24 Months",
 IF(E1730&lt;=48,"25-48 Months","49+ Months"))))</f>
        <v>49+ Months</v>
      </c>
      <c r="G1730" t="s">
        <v>17</v>
      </c>
      <c r="H1730" t="s">
        <v>20</v>
      </c>
      <c r="I1730" t="s">
        <v>30</v>
      </c>
      <c r="J1730" t="s">
        <v>20</v>
      </c>
      <c r="K1730" t="s">
        <v>16</v>
      </c>
      <c r="L1730">
        <v>5</v>
      </c>
      <c r="M1730" s="7">
        <v>50.48</v>
      </c>
      <c r="N1730" s="7">
        <v>3188.13</v>
      </c>
      <c r="O1730" t="s">
        <v>20</v>
      </c>
    </row>
    <row r="1731" spans="1:15" x14ac:dyDescent="0.3">
      <c r="A1731" t="s">
        <v>1756</v>
      </c>
      <c r="B1731" t="s">
        <v>22</v>
      </c>
      <c r="C1731">
        <v>45</v>
      </c>
      <c r="D1731" t="s">
        <v>20</v>
      </c>
      <c r="E1731">
        <v>31</v>
      </c>
      <c r="F1731" t="str">
        <f t="shared" si="27"/>
        <v>25-48 Months</v>
      </c>
      <c r="G1731" t="s">
        <v>35</v>
      </c>
      <c r="H1731" t="s">
        <v>20</v>
      </c>
      <c r="I1731" t="s">
        <v>30</v>
      </c>
      <c r="J1731" t="s">
        <v>20</v>
      </c>
      <c r="K1731" t="s">
        <v>16</v>
      </c>
      <c r="L1731">
        <v>3</v>
      </c>
      <c r="M1731" s="7">
        <v>25.16</v>
      </c>
      <c r="N1731" s="7">
        <v>766.08</v>
      </c>
      <c r="O1731" t="s">
        <v>16</v>
      </c>
    </row>
    <row r="1732" spans="1:15" x14ac:dyDescent="0.3">
      <c r="A1732" t="s">
        <v>1757</v>
      </c>
      <c r="B1732" t="s">
        <v>22</v>
      </c>
      <c r="C1732">
        <v>64</v>
      </c>
      <c r="D1732" t="s">
        <v>16</v>
      </c>
      <c r="E1732">
        <v>69</v>
      </c>
      <c r="F1732" t="str">
        <f t="shared" si="27"/>
        <v>49+ Months</v>
      </c>
      <c r="G1732" t="s">
        <v>35</v>
      </c>
      <c r="H1732" t="s">
        <v>20</v>
      </c>
      <c r="I1732" t="s">
        <v>24</v>
      </c>
      <c r="J1732" t="s">
        <v>20</v>
      </c>
      <c r="K1732" t="s">
        <v>16</v>
      </c>
      <c r="L1732">
        <v>4</v>
      </c>
      <c r="M1732" s="7">
        <v>41.77</v>
      </c>
      <c r="N1732" s="7">
        <v>2790.43</v>
      </c>
      <c r="O1732" t="s">
        <v>16</v>
      </c>
    </row>
    <row r="1733" spans="1:15" x14ac:dyDescent="0.3">
      <c r="A1733" t="s">
        <v>1758</v>
      </c>
      <c r="B1733" t="s">
        <v>15</v>
      </c>
      <c r="C1733">
        <v>28</v>
      </c>
      <c r="D1733" t="s">
        <v>20</v>
      </c>
      <c r="E1733">
        <v>62</v>
      </c>
      <c r="F1733" t="str">
        <f t="shared" si="27"/>
        <v>49+ Months</v>
      </c>
      <c r="G1733" t="s">
        <v>23</v>
      </c>
      <c r="H1733" t="s">
        <v>20</v>
      </c>
      <c r="I1733" t="s">
        <v>27</v>
      </c>
      <c r="J1733" t="s">
        <v>16</v>
      </c>
      <c r="K1733" t="s">
        <v>20</v>
      </c>
      <c r="L1733">
        <v>3</v>
      </c>
      <c r="M1733" s="7">
        <v>38.72</v>
      </c>
      <c r="N1733" s="7">
        <v>2223.35</v>
      </c>
      <c r="O1733" t="s">
        <v>20</v>
      </c>
    </row>
    <row r="1734" spans="1:15" x14ac:dyDescent="0.3">
      <c r="A1734" t="s">
        <v>1759</v>
      </c>
      <c r="B1734" t="s">
        <v>15</v>
      </c>
      <c r="C1734">
        <v>74</v>
      </c>
      <c r="D1734" t="s">
        <v>16</v>
      </c>
      <c r="E1734">
        <v>52</v>
      </c>
      <c r="F1734" t="str">
        <f t="shared" si="27"/>
        <v>49+ Months</v>
      </c>
      <c r="G1734" t="s">
        <v>35</v>
      </c>
      <c r="H1734" t="s">
        <v>18</v>
      </c>
      <c r="I1734" t="s">
        <v>24</v>
      </c>
      <c r="J1734" t="s">
        <v>16</v>
      </c>
      <c r="K1734" t="s">
        <v>20</v>
      </c>
      <c r="L1734">
        <v>6</v>
      </c>
      <c r="M1734" s="7">
        <v>88.51</v>
      </c>
      <c r="N1734" s="7">
        <v>4342.62</v>
      </c>
      <c r="O1734" t="s">
        <v>20</v>
      </c>
    </row>
    <row r="1735" spans="1:15" x14ac:dyDescent="0.3">
      <c r="A1735" t="s">
        <v>1760</v>
      </c>
      <c r="B1735" t="s">
        <v>22</v>
      </c>
      <c r="C1735">
        <v>71</v>
      </c>
      <c r="D1735" t="s">
        <v>16</v>
      </c>
      <c r="E1735">
        <v>41</v>
      </c>
      <c r="F1735" t="str">
        <f t="shared" si="27"/>
        <v>25-48 Months</v>
      </c>
      <c r="G1735" t="s">
        <v>23</v>
      </c>
      <c r="H1735" t="s">
        <v>18</v>
      </c>
      <c r="I1735" t="s">
        <v>24</v>
      </c>
      <c r="J1735" t="s">
        <v>20</v>
      </c>
      <c r="K1735" t="s">
        <v>20</v>
      </c>
      <c r="L1735">
        <v>1</v>
      </c>
      <c r="M1735" s="7">
        <v>66.23</v>
      </c>
      <c r="N1735" s="7">
        <v>2544.36</v>
      </c>
      <c r="O1735" t="s">
        <v>20</v>
      </c>
    </row>
    <row r="1736" spans="1:15" x14ac:dyDescent="0.3">
      <c r="A1736" t="s">
        <v>1761</v>
      </c>
      <c r="B1736" t="s">
        <v>15</v>
      </c>
      <c r="C1736">
        <v>62</v>
      </c>
      <c r="D1736" t="s">
        <v>16</v>
      </c>
      <c r="E1736">
        <v>31</v>
      </c>
      <c r="F1736" t="str">
        <f t="shared" si="27"/>
        <v>25-48 Months</v>
      </c>
      <c r="G1736" t="s">
        <v>23</v>
      </c>
      <c r="H1736" t="s">
        <v>36</v>
      </c>
      <c r="I1736" t="s">
        <v>24</v>
      </c>
      <c r="J1736" t="s">
        <v>16</v>
      </c>
      <c r="K1736" t="s">
        <v>16</v>
      </c>
      <c r="L1736">
        <v>4</v>
      </c>
      <c r="M1736" s="7">
        <v>63.52</v>
      </c>
      <c r="N1736" s="7">
        <v>1917.28</v>
      </c>
      <c r="O1736" t="s">
        <v>20</v>
      </c>
    </row>
    <row r="1737" spans="1:15" x14ac:dyDescent="0.3">
      <c r="A1737" t="s">
        <v>1762</v>
      </c>
      <c r="B1737" t="s">
        <v>22</v>
      </c>
      <c r="C1737">
        <v>50</v>
      </c>
      <c r="D1737" t="s">
        <v>20</v>
      </c>
      <c r="E1737">
        <v>22</v>
      </c>
      <c r="F1737" t="str">
        <f t="shared" si="27"/>
        <v>13-24 Months</v>
      </c>
      <c r="G1737" t="s">
        <v>17</v>
      </c>
      <c r="H1737" t="s">
        <v>18</v>
      </c>
      <c r="I1737" t="s">
        <v>27</v>
      </c>
      <c r="J1737" t="s">
        <v>20</v>
      </c>
      <c r="K1737" t="s">
        <v>20</v>
      </c>
      <c r="L1737">
        <v>3</v>
      </c>
      <c r="M1737" s="7">
        <v>80.45</v>
      </c>
      <c r="N1737" s="7">
        <v>1801.05</v>
      </c>
      <c r="O1737" t="s">
        <v>20</v>
      </c>
    </row>
    <row r="1738" spans="1:15" x14ac:dyDescent="0.3">
      <c r="A1738" t="s">
        <v>1763</v>
      </c>
      <c r="B1738" t="s">
        <v>15</v>
      </c>
      <c r="C1738">
        <v>34</v>
      </c>
      <c r="D1738" t="s">
        <v>20</v>
      </c>
      <c r="E1738">
        <v>4</v>
      </c>
      <c r="F1738" t="str">
        <f t="shared" si="27"/>
        <v>0-6 Months</v>
      </c>
      <c r="G1738" t="s">
        <v>17</v>
      </c>
      <c r="H1738" t="s">
        <v>18</v>
      </c>
      <c r="I1738" t="s">
        <v>19</v>
      </c>
      <c r="J1738" t="s">
        <v>16</v>
      </c>
      <c r="K1738" t="s">
        <v>20</v>
      </c>
      <c r="L1738">
        <v>7</v>
      </c>
      <c r="M1738" s="7">
        <v>79.290000000000006</v>
      </c>
      <c r="N1738" s="7">
        <v>294.14</v>
      </c>
      <c r="O1738" t="s">
        <v>16</v>
      </c>
    </row>
    <row r="1739" spans="1:15" x14ac:dyDescent="0.3">
      <c r="A1739" t="s">
        <v>1764</v>
      </c>
      <c r="B1739" t="s">
        <v>15</v>
      </c>
      <c r="C1739">
        <v>23</v>
      </c>
      <c r="D1739" t="s">
        <v>20</v>
      </c>
      <c r="E1739">
        <v>13</v>
      </c>
      <c r="F1739" t="str">
        <f t="shared" si="27"/>
        <v>13-24 Months</v>
      </c>
      <c r="G1739" t="s">
        <v>17</v>
      </c>
      <c r="H1739" t="s">
        <v>36</v>
      </c>
      <c r="I1739" t="s">
        <v>27</v>
      </c>
      <c r="J1739" t="s">
        <v>20</v>
      </c>
      <c r="K1739" t="s">
        <v>16</v>
      </c>
      <c r="L1739">
        <v>5</v>
      </c>
      <c r="M1739" s="7">
        <v>72.48</v>
      </c>
      <c r="N1739" s="7">
        <v>976.56</v>
      </c>
      <c r="O1739" t="s">
        <v>20</v>
      </c>
    </row>
    <row r="1740" spans="1:15" x14ac:dyDescent="0.3">
      <c r="A1740" t="s">
        <v>1765</v>
      </c>
      <c r="B1740" t="s">
        <v>15</v>
      </c>
      <c r="C1740">
        <v>21</v>
      </c>
      <c r="D1740" t="s">
        <v>20</v>
      </c>
      <c r="E1740">
        <v>45</v>
      </c>
      <c r="F1740" t="str">
        <f t="shared" si="27"/>
        <v>25-48 Months</v>
      </c>
      <c r="G1740" t="s">
        <v>23</v>
      </c>
      <c r="H1740" t="s">
        <v>18</v>
      </c>
      <c r="I1740" t="s">
        <v>24</v>
      </c>
      <c r="J1740" t="s">
        <v>16</v>
      </c>
      <c r="K1740" t="s">
        <v>20</v>
      </c>
      <c r="L1740">
        <v>4</v>
      </c>
      <c r="M1740" s="7">
        <v>68.66</v>
      </c>
      <c r="N1740" s="7">
        <v>3039</v>
      </c>
      <c r="O1740" t="s">
        <v>20</v>
      </c>
    </row>
    <row r="1741" spans="1:15" x14ac:dyDescent="0.3">
      <c r="A1741" t="s">
        <v>1766</v>
      </c>
      <c r="B1741" t="s">
        <v>15</v>
      </c>
      <c r="C1741">
        <v>37</v>
      </c>
      <c r="D1741" t="s">
        <v>20</v>
      </c>
      <c r="E1741">
        <v>42</v>
      </c>
      <c r="F1741" t="str">
        <f t="shared" si="27"/>
        <v>25-48 Months</v>
      </c>
      <c r="G1741" t="s">
        <v>17</v>
      </c>
      <c r="H1741" t="s">
        <v>20</v>
      </c>
      <c r="I1741" t="s">
        <v>19</v>
      </c>
      <c r="J1741" t="s">
        <v>20</v>
      </c>
      <c r="K1741" t="s">
        <v>16</v>
      </c>
      <c r="L1741">
        <v>2</v>
      </c>
      <c r="M1741" s="7">
        <v>30.16</v>
      </c>
      <c r="N1741" s="7">
        <v>1360.66</v>
      </c>
      <c r="O1741" t="s">
        <v>20</v>
      </c>
    </row>
    <row r="1742" spans="1:15" x14ac:dyDescent="0.3">
      <c r="A1742" t="s">
        <v>1767</v>
      </c>
      <c r="B1742" t="s">
        <v>22</v>
      </c>
      <c r="C1742">
        <v>65</v>
      </c>
      <c r="D1742" t="s">
        <v>16</v>
      </c>
      <c r="E1742">
        <v>49</v>
      </c>
      <c r="F1742" t="str">
        <f t="shared" si="27"/>
        <v>49+ Months</v>
      </c>
      <c r="G1742" t="s">
        <v>17</v>
      </c>
      <c r="H1742" t="s">
        <v>20</v>
      </c>
      <c r="I1742" t="s">
        <v>19</v>
      </c>
      <c r="J1742" t="s">
        <v>20</v>
      </c>
      <c r="K1742" t="s">
        <v>20</v>
      </c>
      <c r="L1742">
        <v>2</v>
      </c>
      <c r="M1742" s="7">
        <v>26.79</v>
      </c>
      <c r="N1742" s="7">
        <v>1327.07</v>
      </c>
      <c r="O1742" t="s">
        <v>20</v>
      </c>
    </row>
    <row r="1743" spans="1:15" x14ac:dyDescent="0.3">
      <c r="A1743" t="s">
        <v>1768</v>
      </c>
      <c r="B1743" t="s">
        <v>22</v>
      </c>
      <c r="C1743">
        <v>64</v>
      </c>
      <c r="D1743" t="s">
        <v>16</v>
      </c>
      <c r="E1743">
        <v>20</v>
      </c>
      <c r="F1743" t="str">
        <f t="shared" si="27"/>
        <v>13-24 Months</v>
      </c>
      <c r="G1743" t="s">
        <v>17</v>
      </c>
      <c r="H1743" t="s">
        <v>20</v>
      </c>
      <c r="I1743" t="s">
        <v>27</v>
      </c>
      <c r="J1743" t="s">
        <v>20</v>
      </c>
      <c r="K1743" t="s">
        <v>20</v>
      </c>
      <c r="L1743">
        <v>6</v>
      </c>
      <c r="M1743" s="7">
        <v>43.95</v>
      </c>
      <c r="N1743" s="7">
        <v>917.16</v>
      </c>
      <c r="O1743" t="s">
        <v>20</v>
      </c>
    </row>
    <row r="1744" spans="1:15" x14ac:dyDescent="0.3">
      <c r="A1744" t="s">
        <v>1769</v>
      </c>
      <c r="B1744" t="s">
        <v>22</v>
      </c>
      <c r="C1744">
        <v>44</v>
      </c>
      <c r="D1744" t="s">
        <v>20</v>
      </c>
      <c r="E1744">
        <v>54</v>
      </c>
      <c r="F1744" t="str">
        <f t="shared" si="27"/>
        <v>49+ Months</v>
      </c>
      <c r="G1744" t="s">
        <v>23</v>
      </c>
      <c r="H1744" t="s">
        <v>36</v>
      </c>
      <c r="I1744" t="s">
        <v>24</v>
      </c>
      <c r="J1744" t="s">
        <v>20</v>
      </c>
      <c r="K1744" t="s">
        <v>20</v>
      </c>
      <c r="L1744">
        <v>2</v>
      </c>
      <c r="M1744" s="7">
        <v>58.61</v>
      </c>
      <c r="N1744" s="7">
        <v>3347.84</v>
      </c>
      <c r="O1744" t="s">
        <v>20</v>
      </c>
    </row>
    <row r="1745" spans="1:15" x14ac:dyDescent="0.3">
      <c r="A1745" t="s">
        <v>1770</v>
      </c>
      <c r="B1745" t="s">
        <v>15</v>
      </c>
      <c r="C1745">
        <v>32</v>
      </c>
      <c r="D1745" t="s">
        <v>20</v>
      </c>
      <c r="E1745">
        <v>36</v>
      </c>
      <c r="F1745" t="str">
        <f t="shared" si="27"/>
        <v>25-48 Months</v>
      </c>
      <c r="G1745" t="s">
        <v>35</v>
      </c>
      <c r="H1745" t="s">
        <v>20</v>
      </c>
      <c r="I1745" t="s">
        <v>24</v>
      </c>
      <c r="J1745" t="s">
        <v>16</v>
      </c>
      <c r="K1745" t="s">
        <v>16</v>
      </c>
      <c r="L1745">
        <v>2</v>
      </c>
      <c r="M1745" s="7">
        <v>33.85</v>
      </c>
      <c r="N1745" s="7">
        <v>1294.42</v>
      </c>
      <c r="O1745" t="s">
        <v>20</v>
      </c>
    </row>
    <row r="1746" spans="1:15" x14ac:dyDescent="0.3">
      <c r="A1746" t="s">
        <v>1771</v>
      </c>
      <c r="B1746" t="s">
        <v>22</v>
      </c>
      <c r="C1746">
        <v>23</v>
      </c>
      <c r="D1746" t="s">
        <v>20</v>
      </c>
      <c r="E1746">
        <v>1</v>
      </c>
      <c r="F1746" t="str">
        <f t="shared" si="27"/>
        <v>0-6 Months</v>
      </c>
      <c r="G1746" t="s">
        <v>35</v>
      </c>
      <c r="H1746" t="s">
        <v>20</v>
      </c>
      <c r="I1746" t="s">
        <v>24</v>
      </c>
      <c r="J1746" t="s">
        <v>16</v>
      </c>
      <c r="K1746" t="s">
        <v>16</v>
      </c>
      <c r="L1746">
        <v>5</v>
      </c>
      <c r="M1746" s="7">
        <v>49.78</v>
      </c>
      <c r="N1746" s="7">
        <v>49.93</v>
      </c>
      <c r="O1746" t="s">
        <v>16</v>
      </c>
    </row>
    <row r="1747" spans="1:15" x14ac:dyDescent="0.3">
      <c r="A1747" t="s">
        <v>1772</v>
      </c>
      <c r="B1747" t="s">
        <v>22</v>
      </c>
      <c r="C1747">
        <v>64</v>
      </c>
      <c r="D1747" t="s">
        <v>16</v>
      </c>
      <c r="E1747">
        <v>15</v>
      </c>
      <c r="F1747" t="str">
        <f t="shared" si="27"/>
        <v>13-24 Months</v>
      </c>
      <c r="G1747" t="s">
        <v>17</v>
      </c>
      <c r="H1747" t="s">
        <v>36</v>
      </c>
      <c r="I1747" t="s">
        <v>27</v>
      </c>
      <c r="J1747" t="s">
        <v>20</v>
      </c>
      <c r="K1747" t="s">
        <v>20</v>
      </c>
      <c r="L1747">
        <v>1</v>
      </c>
      <c r="M1747" s="7">
        <v>51.42</v>
      </c>
      <c r="N1747" s="7">
        <v>758.56</v>
      </c>
      <c r="O1747" t="s">
        <v>20</v>
      </c>
    </row>
    <row r="1748" spans="1:15" x14ac:dyDescent="0.3">
      <c r="A1748" t="s">
        <v>1773</v>
      </c>
      <c r="B1748" t="s">
        <v>22</v>
      </c>
      <c r="C1748">
        <v>31</v>
      </c>
      <c r="D1748" t="s">
        <v>20</v>
      </c>
      <c r="E1748">
        <v>17</v>
      </c>
      <c r="F1748" t="str">
        <f t="shared" si="27"/>
        <v>13-24 Months</v>
      </c>
      <c r="G1748" t="s">
        <v>35</v>
      </c>
      <c r="H1748" t="s">
        <v>18</v>
      </c>
      <c r="I1748" t="s">
        <v>19</v>
      </c>
      <c r="J1748" t="s">
        <v>20</v>
      </c>
      <c r="K1748" t="s">
        <v>16</v>
      </c>
      <c r="L1748">
        <v>5</v>
      </c>
      <c r="M1748" s="7">
        <v>69.59</v>
      </c>
      <c r="N1748" s="7">
        <v>1194.48</v>
      </c>
      <c r="O1748" t="s">
        <v>20</v>
      </c>
    </row>
    <row r="1749" spans="1:15" x14ac:dyDescent="0.3">
      <c r="A1749" t="s">
        <v>1774</v>
      </c>
      <c r="B1749" t="s">
        <v>15</v>
      </c>
      <c r="C1749">
        <v>28</v>
      </c>
      <c r="D1749" t="s">
        <v>20</v>
      </c>
      <c r="E1749">
        <v>24</v>
      </c>
      <c r="F1749" t="str">
        <f t="shared" si="27"/>
        <v>13-24 Months</v>
      </c>
      <c r="G1749" t="s">
        <v>23</v>
      </c>
      <c r="H1749" t="s">
        <v>20</v>
      </c>
      <c r="I1749" t="s">
        <v>19</v>
      </c>
      <c r="J1749" t="s">
        <v>20</v>
      </c>
      <c r="K1749" t="s">
        <v>20</v>
      </c>
      <c r="L1749">
        <v>2</v>
      </c>
      <c r="M1749" s="7">
        <v>29.1</v>
      </c>
      <c r="N1749" s="7">
        <v>687.46</v>
      </c>
      <c r="O1749" t="s">
        <v>20</v>
      </c>
    </row>
    <row r="1750" spans="1:15" x14ac:dyDescent="0.3">
      <c r="A1750" t="s">
        <v>1775</v>
      </c>
      <c r="B1750" t="s">
        <v>15</v>
      </c>
      <c r="C1750">
        <v>56</v>
      </c>
      <c r="D1750" t="s">
        <v>20</v>
      </c>
      <c r="E1750">
        <v>58</v>
      </c>
      <c r="F1750" t="str">
        <f t="shared" si="27"/>
        <v>49+ Months</v>
      </c>
      <c r="G1750" t="s">
        <v>17</v>
      </c>
      <c r="H1750" t="s">
        <v>20</v>
      </c>
      <c r="I1750" t="s">
        <v>19</v>
      </c>
      <c r="J1750" t="s">
        <v>20</v>
      </c>
      <c r="K1750" t="s">
        <v>20</v>
      </c>
      <c r="L1750">
        <v>6</v>
      </c>
      <c r="M1750" s="7">
        <v>54.24</v>
      </c>
      <c r="N1750" s="7">
        <v>3015.41</v>
      </c>
      <c r="O1750" t="s">
        <v>20</v>
      </c>
    </row>
    <row r="1751" spans="1:15" x14ac:dyDescent="0.3">
      <c r="A1751" t="s">
        <v>1776</v>
      </c>
      <c r="B1751" t="s">
        <v>15</v>
      </c>
      <c r="C1751">
        <v>26</v>
      </c>
      <c r="D1751" t="s">
        <v>20</v>
      </c>
      <c r="E1751">
        <v>72</v>
      </c>
      <c r="F1751" t="str">
        <f t="shared" si="27"/>
        <v>49+ Months</v>
      </c>
      <c r="G1751" t="s">
        <v>23</v>
      </c>
      <c r="H1751" t="s">
        <v>36</v>
      </c>
      <c r="I1751" t="s">
        <v>27</v>
      </c>
      <c r="J1751" t="s">
        <v>20</v>
      </c>
      <c r="K1751" t="s">
        <v>20</v>
      </c>
      <c r="L1751">
        <v>1</v>
      </c>
      <c r="M1751" s="7">
        <v>51.6</v>
      </c>
      <c r="N1751" s="7">
        <v>3610.53</v>
      </c>
      <c r="O1751" t="s">
        <v>20</v>
      </c>
    </row>
    <row r="1752" spans="1:15" x14ac:dyDescent="0.3">
      <c r="A1752" t="s">
        <v>1777</v>
      </c>
      <c r="B1752" t="s">
        <v>22</v>
      </c>
      <c r="C1752">
        <v>43</v>
      </c>
      <c r="D1752" t="s">
        <v>20</v>
      </c>
      <c r="E1752">
        <v>23</v>
      </c>
      <c r="F1752" t="str">
        <f t="shared" si="27"/>
        <v>13-24 Months</v>
      </c>
      <c r="G1752" t="s">
        <v>17</v>
      </c>
      <c r="H1752" t="s">
        <v>18</v>
      </c>
      <c r="I1752" t="s">
        <v>27</v>
      </c>
      <c r="J1752" t="s">
        <v>16</v>
      </c>
      <c r="K1752" t="s">
        <v>20</v>
      </c>
      <c r="L1752">
        <v>3</v>
      </c>
      <c r="M1752" s="7">
        <v>62.7</v>
      </c>
      <c r="N1752" s="7">
        <v>1380.44</v>
      </c>
      <c r="O1752" t="s">
        <v>20</v>
      </c>
    </row>
    <row r="1753" spans="1:15" x14ac:dyDescent="0.3">
      <c r="A1753" t="s">
        <v>1778</v>
      </c>
      <c r="B1753" t="s">
        <v>22</v>
      </c>
      <c r="C1753">
        <v>33</v>
      </c>
      <c r="D1753" t="s">
        <v>20</v>
      </c>
      <c r="E1753">
        <v>46</v>
      </c>
      <c r="F1753" t="str">
        <f t="shared" si="27"/>
        <v>25-48 Months</v>
      </c>
      <c r="G1753" t="s">
        <v>35</v>
      </c>
      <c r="H1753" t="s">
        <v>36</v>
      </c>
      <c r="I1753" t="s">
        <v>30</v>
      </c>
      <c r="J1753" t="s">
        <v>20</v>
      </c>
      <c r="K1753" t="s">
        <v>20</v>
      </c>
      <c r="L1753">
        <v>3</v>
      </c>
      <c r="M1753" s="7">
        <v>62.21</v>
      </c>
      <c r="N1753" s="7">
        <v>2756.09</v>
      </c>
      <c r="O1753" t="s">
        <v>20</v>
      </c>
    </row>
    <row r="1754" spans="1:15" x14ac:dyDescent="0.3">
      <c r="A1754" t="s">
        <v>1779</v>
      </c>
      <c r="B1754" t="s">
        <v>22</v>
      </c>
      <c r="C1754">
        <v>22</v>
      </c>
      <c r="D1754" t="s">
        <v>20</v>
      </c>
      <c r="E1754">
        <v>72</v>
      </c>
      <c r="F1754" t="str">
        <f t="shared" si="27"/>
        <v>49+ Months</v>
      </c>
      <c r="G1754" t="s">
        <v>17</v>
      </c>
      <c r="H1754" t="s">
        <v>18</v>
      </c>
      <c r="I1754" t="s">
        <v>24</v>
      </c>
      <c r="J1754" t="s">
        <v>20</v>
      </c>
      <c r="K1754" t="s">
        <v>20</v>
      </c>
      <c r="L1754">
        <v>5</v>
      </c>
      <c r="M1754" s="7">
        <v>87.31</v>
      </c>
      <c r="N1754" s="7">
        <v>5877.57</v>
      </c>
      <c r="O1754" t="s">
        <v>20</v>
      </c>
    </row>
    <row r="1755" spans="1:15" x14ac:dyDescent="0.3">
      <c r="A1755" t="s">
        <v>1780</v>
      </c>
      <c r="B1755" t="s">
        <v>15</v>
      </c>
      <c r="C1755">
        <v>74</v>
      </c>
      <c r="D1755" t="s">
        <v>16</v>
      </c>
      <c r="E1755">
        <v>8</v>
      </c>
      <c r="F1755" t="str">
        <f t="shared" si="27"/>
        <v>7-12 Months</v>
      </c>
      <c r="G1755" t="s">
        <v>17</v>
      </c>
      <c r="H1755" t="s">
        <v>20</v>
      </c>
      <c r="I1755" t="s">
        <v>24</v>
      </c>
      <c r="J1755" t="s">
        <v>20</v>
      </c>
      <c r="K1755" t="s">
        <v>20</v>
      </c>
      <c r="L1755">
        <v>5</v>
      </c>
      <c r="M1755" s="7">
        <v>38.26</v>
      </c>
      <c r="N1755" s="7">
        <v>302.48</v>
      </c>
      <c r="O1755" t="s">
        <v>16</v>
      </c>
    </row>
    <row r="1756" spans="1:15" x14ac:dyDescent="0.3">
      <c r="A1756" t="s">
        <v>1781</v>
      </c>
      <c r="B1756" t="s">
        <v>15</v>
      </c>
      <c r="C1756">
        <v>69</v>
      </c>
      <c r="D1756" t="s">
        <v>16</v>
      </c>
      <c r="E1756">
        <v>59</v>
      </c>
      <c r="F1756" t="str">
        <f t="shared" si="27"/>
        <v>49+ Months</v>
      </c>
      <c r="G1756" t="s">
        <v>23</v>
      </c>
      <c r="H1756" t="s">
        <v>20</v>
      </c>
      <c r="I1756" t="s">
        <v>27</v>
      </c>
      <c r="J1756" t="s">
        <v>20</v>
      </c>
      <c r="K1756" t="s">
        <v>16</v>
      </c>
      <c r="L1756">
        <v>4</v>
      </c>
      <c r="M1756" s="7">
        <v>43.86</v>
      </c>
      <c r="N1756" s="7">
        <v>2478.14</v>
      </c>
      <c r="O1756" t="s">
        <v>20</v>
      </c>
    </row>
    <row r="1757" spans="1:15" x14ac:dyDescent="0.3">
      <c r="A1757" t="s">
        <v>1782</v>
      </c>
      <c r="B1757" t="s">
        <v>22</v>
      </c>
      <c r="C1757">
        <v>27</v>
      </c>
      <c r="D1757" t="s">
        <v>20</v>
      </c>
      <c r="E1757">
        <v>59</v>
      </c>
      <c r="F1757" t="str">
        <f t="shared" si="27"/>
        <v>49+ Months</v>
      </c>
      <c r="G1757" t="s">
        <v>17</v>
      </c>
      <c r="H1757" t="s">
        <v>18</v>
      </c>
      <c r="I1757" t="s">
        <v>19</v>
      </c>
      <c r="J1757" t="s">
        <v>16</v>
      </c>
      <c r="K1757" t="s">
        <v>16</v>
      </c>
      <c r="L1757">
        <v>4</v>
      </c>
      <c r="M1757" s="7">
        <v>77.400000000000006</v>
      </c>
      <c r="N1757" s="7">
        <v>4528.87</v>
      </c>
      <c r="O1757" t="s">
        <v>16</v>
      </c>
    </row>
    <row r="1758" spans="1:15" x14ac:dyDescent="0.3">
      <c r="A1758" t="s">
        <v>1783</v>
      </c>
      <c r="B1758" t="s">
        <v>15</v>
      </c>
      <c r="C1758">
        <v>67</v>
      </c>
      <c r="D1758" t="s">
        <v>16</v>
      </c>
      <c r="E1758">
        <v>13</v>
      </c>
      <c r="F1758" t="str">
        <f t="shared" si="27"/>
        <v>13-24 Months</v>
      </c>
      <c r="G1758" t="s">
        <v>17</v>
      </c>
      <c r="H1758" t="s">
        <v>36</v>
      </c>
      <c r="I1758" t="s">
        <v>24</v>
      </c>
      <c r="J1758" t="s">
        <v>20</v>
      </c>
      <c r="K1758" t="s">
        <v>16</v>
      </c>
      <c r="L1758">
        <v>4</v>
      </c>
      <c r="M1758" s="7">
        <v>62.44</v>
      </c>
      <c r="N1758" s="7">
        <v>849.67</v>
      </c>
      <c r="O1758" t="s">
        <v>16</v>
      </c>
    </row>
    <row r="1759" spans="1:15" x14ac:dyDescent="0.3">
      <c r="A1759" t="s">
        <v>1784</v>
      </c>
      <c r="B1759" t="s">
        <v>15</v>
      </c>
      <c r="C1759">
        <v>20</v>
      </c>
      <c r="D1759" t="s">
        <v>20</v>
      </c>
      <c r="E1759">
        <v>39</v>
      </c>
      <c r="F1759" t="str">
        <f t="shared" si="27"/>
        <v>25-48 Months</v>
      </c>
      <c r="G1759" t="s">
        <v>23</v>
      </c>
      <c r="H1759" t="s">
        <v>18</v>
      </c>
      <c r="I1759" t="s">
        <v>19</v>
      </c>
      <c r="J1759" t="s">
        <v>16</v>
      </c>
      <c r="K1759" t="s">
        <v>20</v>
      </c>
      <c r="L1759">
        <v>3</v>
      </c>
      <c r="M1759" s="7">
        <v>62.4</v>
      </c>
      <c r="N1759" s="7">
        <v>2413.4699999999998</v>
      </c>
      <c r="O1759" t="s">
        <v>20</v>
      </c>
    </row>
    <row r="1760" spans="1:15" x14ac:dyDescent="0.3">
      <c r="A1760" t="s">
        <v>1785</v>
      </c>
      <c r="B1760" t="s">
        <v>15</v>
      </c>
      <c r="C1760">
        <v>30</v>
      </c>
      <c r="D1760" t="s">
        <v>20</v>
      </c>
      <c r="E1760">
        <v>28</v>
      </c>
      <c r="F1760" t="str">
        <f t="shared" si="27"/>
        <v>25-48 Months</v>
      </c>
      <c r="G1760" t="s">
        <v>17</v>
      </c>
      <c r="H1760" t="s">
        <v>36</v>
      </c>
      <c r="I1760" t="s">
        <v>27</v>
      </c>
      <c r="J1760" t="s">
        <v>20</v>
      </c>
      <c r="K1760" t="s">
        <v>20</v>
      </c>
      <c r="L1760">
        <v>4</v>
      </c>
      <c r="M1760" s="7">
        <v>56.53</v>
      </c>
      <c r="N1760" s="7">
        <v>1697.97</v>
      </c>
      <c r="O1760" t="s">
        <v>20</v>
      </c>
    </row>
    <row r="1761" spans="1:15" x14ac:dyDescent="0.3">
      <c r="A1761" t="s">
        <v>1786</v>
      </c>
      <c r="B1761" t="s">
        <v>15</v>
      </c>
      <c r="C1761">
        <v>60</v>
      </c>
      <c r="D1761" t="s">
        <v>16</v>
      </c>
      <c r="E1761">
        <v>61</v>
      </c>
      <c r="F1761" t="str">
        <f t="shared" si="27"/>
        <v>49+ Months</v>
      </c>
      <c r="G1761" t="s">
        <v>23</v>
      </c>
      <c r="H1761" t="s">
        <v>18</v>
      </c>
      <c r="I1761" t="s">
        <v>19</v>
      </c>
      <c r="J1761" t="s">
        <v>20</v>
      </c>
      <c r="K1761" t="s">
        <v>20</v>
      </c>
      <c r="L1761">
        <v>4</v>
      </c>
      <c r="M1761" s="7">
        <v>87.27</v>
      </c>
      <c r="N1761" s="7">
        <v>5023.51</v>
      </c>
      <c r="O1761" t="s">
        <v>20</v>
      </c>
    </row>
    <row r="1762" spans="1:15" x14ac:dyDescent="0.3">
      <c r="A1762" t="s">
        <v>1787</v>
      </c>
      <c r="B1762" t="s">
        <v>22</v>
      </c>
      <c r="C1762">
        <v>66</v>
      </c>
      <c r="D1762" t="s">
        <v>16</v>
      </c>
      <c r="E1762">
        <v>16</v>
      </c>
      <c r="F1762" t="str">
        <f t="shared" si="27"/>
        <v>13-24 Months</v>
      </c>
      <c r="G1762" t="s">
        <v>17</v>
      </c>
      <c r="H1762" t="s">
        <v>36</v>
      </c>
      <c r="I1762" t="s">
        <v>30</v>
      </c>
      <c r="J1762" t="s">
        <v>20</v>
      </c>
      <c r="K1762" t="s">
        <v>20</v>
      </c>
      <c r="L1762">
        <v>4</v>
      </c>
      <c r="M1762" s="7">
        <v>62.77</v>
      </c>
      <c r="N1762" s="7">
        <v>1060.5999999999999</v>
      </c>
      <c r="O1762" t="s">
        <v>20</v>
      </c>
    </row>
    <row r="1763" spans="1:15" x14ac:dyDescent="0.3">
      <c r="A1763" t="s">
        <v>1788</v>
      </c>
      <c r="B1763" t="s">
        <v>15</v>
      </c>
      <c r="C1763">
        <v>47</v>
      </c>
      <c r="D1763" t="s">
        <v>20</v>
      </c>
      <c r="E1763">
        <v>2</v>
      </c>
      <c r="F1763" t="str">
        <f t="shared" si="27"/>
        <v>0-6 Months</v>
      </c>
      <c r="G1763" t="s">
        <v>23</v>
      </c>
      <c r="H1763" t="s">
        <v>18</v>
      </c>
      <c r="I1763" t="s">
        <v>27</v>
      </c>
      <c r="J1763" t="s">
        <v>20</v>
      </c>
      <c r="K1763" t="s">
        <v>20</v>
      </c>
      <c r="L1763">
        <v>5</v>
      </c>
      <c r="M1763" s="7">
        <v>88.54</v>
      </c>
      <c r="N1763" s="7">
        <v>169.95</v>
      </c>
      <c r="O1763" t="s">
        <v>20</v>
      </c>
    </row>
    <row r="1764" spans="1:15" x14ac:dyDescent="0.3">
      <c r="A1764" t="s">
        <v>1789</v>
      </c>
      <c r="B1764" t="s">
        <v>15</v>
      </c>
      <c r="C1764">
        <v>71</v>
      </c>
      <c r="D1764" t="s">
        <v>16</v>
      </c>
      <c r="E1764">
        <v>17</v>
      </c>
      <c r="F1764" t="str">
        <f t="shared" si="27"/>
        <v>13-24 Months</v>
      </c>
      <c r="G1764" t="s">
        <v>23</v>
      </c>
      <c r="H1764" t="s">
        <v>18</v>
      </c>
      <c r="I1764" t="s">
        <v>19</v>
      </c>
      <c r="J1764" t="s">
        <v>16</v>
      </c>
      <c r="K1764" t="s">
        <v>20</v>
      </c>
      <c r="L1764">
        <v>4</v>
      </c>
      <c r="M1764" s="7">
        <v>77.37</v>
      </c>
      <c r="N1764" s="7">
        <v>1406.61</v>
      </c>
      <c r="O1764" t="s">
        <v>20</v>
      </c>
    </row>
    <row r="1765" spans="1:15" x14ac:dyDescent="0.3">
      <c r="A1765" t="s">
        <v>1790</v>
      </c>
      <c r="B1765" t="s">
        <v>15</v>
      </c>
      <c r="C1765">
        <v>62</v>
      </c>
      <c r="D1765" t="s">
        <v>16</v>
      </c>
      <c r="E1765">
        <v>30</v>
      </c>
      <c r="F1765" t="str">
        <f t="shared" si="27"/>
        <v>25-48 Months</v>
      </c>
      <c r="G1765" t="s">
        <v>17</v>
      </c>
      <c r="H1765" t="s">
        <v>18</v>
      </c>
      <c r="I1765" t="s">
        <v>24</v>
      </c>
      <c r="J1765" t="s">
        <v>20</v>
      </c>
      <c r="K1765" t="s">
        <v>16</v>
      </c>
      <c r="L1765">
        <v>1</v>
      </c>
      <c r="M1765" s="7">
        <v>70.95</v>
      </c>
      <c r="N1765" s="7">
        <v>2035.58</v>
      </c>
      <c r="O1765" t="s">
        <v>20</v>
      </c>
    </row>
    <row r="1766" spans="1:15" x14ac:dyDescent="0.3">
      <c r="A1766" t="s">
        <v>1791</v>
      </c>
      <c r="B1766" t="s">
        <v>15</v>
      </c>
      <c r="C1766">
        <v>23</v>
      </c>
      <c r="D1766" t="s">
        <v>20</v>
      </c>
      <c r="E1766">
        <v>13</v>
      </c>
      <c r="F1766" t="str">
        <f t="shared" si="27"/>
        <v>13-24 Months</v>
      </c>
      <c r="G1766" t="s">
        <v>23</v>
      </c>
      <c r="H1766" t="s">
        <v>18</v>
      </c>
      <c r="I1766" t="s">
        <v>27</v>
      </c>
      <c r="J1766" t="s">
        <v>20</v>
      </c>
      <c r="K1766" t="s">
        <v>20</v>
      </c>
      <c r="L1766">
        <v>2</v>
      </c>
      <c r="M1766" s="7">
        <v>69.86</v>
      </c>
      <c r="N1766" s="7">
        <v>944.07</v>
      </c>
      <c r="O1766" t="s">
        <v>20</v>
      </c>
    </row>
    <row r="1767" spans="1:15" x14ac:dyDescent="0.3">
      <c r="A1767" t="s">
        <v>1792</v>
      </c>
      <c r="B1767" t="s">
        <v>22</v>
      </c>
      <c r="C1767">
        <v>34</v>
      </c>
      <c r="D1767" t="s">
        <v>20</v>
      </c>
      <c r="E1767">
        <v>13</v>
      </c>
      <c r="F1767" t="str">
        <f t="shared" si="27"/>
        <v>13-24 Months</v>
      </c>
      <c r="G1767" t="s">
        <v>23</v>
      </c>
      <c r="H1767" t="s">
        <v>36</v>
      </c>
      <c r="I1767" t="s">
        <v>27</v>
      </c>
      <c r="J1767" t="s">
        <v>20</v>
      </c>
      <c r="K1767" t="s">
        <v>20</v>
      </c>
      <c r="L1767">
        <v>4</v>
      </c>
      <c r="M1767" s="7">
        <v>52.53</v>
      </c>
      <c r="N1767" s="7">
        <v>635.04999999999995</v>
      </c>
      <c r="O1767" t="s">
        <v>20</v>
      </c>
    </row>
    <row r="1768" spans="1:15" x14ac:dyDescent="0.3">
      <c r="A1768" t="s">
        <v>1793</v>
      </c>
      <c r="B1768" t="s">
        <v>22</v>
      </c>
      <c r="C1768">
        <v>62</v>
      </c>
      <c r="D1768" t="s">
        <v>16</v>
      </c>
      <c r="E1768">
        <v>43</v>
      </c>
      <c r="F1768" t="str">
        <f t="shared" si="27"/>
        <v>25-48 Months</v>
      </c>
      <c r="G1768" t="s">
        <v>23</v>
      </c>
      <c r="H1768" t="s">
        <v>18</v>
      </c>
      <c r="I1768" t="s">
        <v>27</v>
      </c>
      <c r="J1768" t="s">
        <v>16</v>
      </c>
      <c r="K1768" t="s">
        <v>20</v>
      </c>
      <c r="L1768">
        <v>4</v>
      </c>
      <c r="M1768" s="7">
        <v>77.23</v>
      </c>
      <c r="N1768" s="7">
        <v>3389.87</v>
      </c>
      <c r="O1768" t="s">
        <v>20</v>
      </c>
    </row>
    <row r="1769" spans="1:15" x14ac:dyDescent="0.3">
      <c r="A1769" t="s">
        <v>1794</v>
      </c>
      <c r="B1769" t="s">
        <v>15</v>
      </c>
      <c r="C1769">
        <v>68</v>
      </c>
      <c r="D1769" t="s">
        <v>16</v>
      </c>
      <c r="E1769">
        <v>21</v>
      </c>
      <c r="F1769" t="str">
        <f t="shared" si="27"/>
        <v>13-24 Months</v>
      </c>
      <c r="G1769" t="s">
        <v>23</v>
      </c>
      <c r="H1769" t="s">
        <v>36</v>
      </c>
      <c r="I1769" t="s">
        <v>30</v>
      </c>
      <c r="J1769" t="s">
        <v>16</v>
      </c>
      <c r="K1769" t="s">
        <v>16</v>
      </c>
      <c r="L1769">
        <v>1</v>
      </c>
      <c r="M1769" s="7">
        <v>57.18</v>
      </c>
      <c r="N1769" s="7">
        <v>1146.73</v>
      </c>
      <c r="O1769" t="s">
        <v>20</v>
      </c>
    </row>
    <row r="1770" spans="1:15" x14ac:dyDescent="0.3">
      <c r="A1770" t="s">
        <v>1795</v>
      </c>
      <c r="B1770" t="s">
        <v>15</v>
      </c>
      <c r="C1770">
        <v>70</v>
      </c>
      <c r="D1770" t="s">
        <v>16</v>
      </c>
      <c r="E1770">
        <v>55</v>
      </c>
      <c r="F1770" t="str">
        <f t="shared" si="27"/>
        <v>49+ Months</v>
      </c>
      <c r="G1770" t="s">
        <v>35</v>
      </c>
      <c r="H1770" t="s">
        <v>20</v>
      </c>
      <c r="I1770" t="s">
        <v>24</v>
      </c>
      <c r="J1770" t="s">
        <v>16</v>
      </c>
      <c r="K1770" t="s">
        <v>20</v>
      </c>
      <c r="L1770">
        <v>3</v>
      </c>
      <c r="M1770" s="7">
        <v>44.93</v>
      </c>
      <c r="N1770" s="7">
        <v>2538.4299999999998</v>
      </c>
      <c r="O1770" t="s">
        <v>20</v>
      </c>
    </row>
    <row r="1771" spans="1:15" x14ac:dyDescent="0.3">
      <c r="A1771" t="s">
        <v>1796</v>
      </c>
      <c r="B1771" t="s">
        <v>15</v>
      </c>
      <c r="C1771">
        <v>36</v>
      </c>
      <c r="D1771" t="s">
        <v>20</v>
      </c>
      <c r="E1771">
        <v>40</v>
      </c>
      <c r="F1771" t="str">
        <f t="shared" si="27"/>
        <v>25-48 Months</v>
      </c>
      <c r="G1771" t="s">
        <v>17</v>
      </c>
      <c r="H1771" t="s">
        <v>20</v>
      </c>
      <c r="I1771" t="s">
        <v>27</v>
      </c>
      <c r="J1771" t="s">
        <v>20</v>
      </c>
      <c r="K1771" t="s">
        <v>20</v>
      </c>
      <c r="L1771">
        <v>1</v>
      </c>
      <c r="M1771" s="7">
        <v>22.05</v>
      </c>
      <c r="N1771" s="7">
        <v>901.17</v>
      </c>
      <c r="O1771" t="s">
        <v>20</v>
      </c>
    </row>
    <row r="1772" spans="1:15" x14ac:dyDescent="0.3">
      <c r="A1772" t="s">
        <v>1797</v>
      </c>
      <c r="B1772" t="s">
        <v>15</v>
      </c>
      <c r="C1772">
        <v>59</v>
      </c>
      <c r="D1772" t="s">
        <v>20</v>
      </c>
      <c r="E1772">
        <v>15</v>
      </c>
      <c r="F1772" t="str">
        <f t="shared" si="27"/>
        <v>13-24 Months</v>
      </c>
      <c r="G1772" t="s">
        <v>17</v>
      </c>
      <c r="H1772" t="s">
        <v>20</v>
      </c>
      <c r="I1772" t="s">
        <v>24</v>
      </c>
      <c r="J1772" t="s">
        <v>16</v>
      </c>
      <c r="K1772" t="s">
        <v>20</v>
      </c>
      <c r="L1772">
        <v>3</v>
      </c>
      <c r="M1772" s="7">
        <v>34.08</v>
      </c>
      <c r="N1772" s="7">
        <v>545.85</v>
      </c>
      <c r="O1772" t="s">
        <v>16</v>
      </c>
    </row>
    <row r="1773" spans="1:15" x14ac:dyDescent="0.3">
      <c r="A1773" t="s">
        <v>1798</v>
      </c>
      <c r="B1773" t="s">
        <v>15</v>
      </c>
      <c r="C1773">
        <v>52</v>
      </c>
      <c r="D1773" t="s">
        <v>20</v>
      </c>
      <c r="E1773">
        <v>52</v>
      </c>
      <c r="F1773" t="str">
        <f t="shared" si="27"/>
        <v>49+ Months</v>
      </c>
      <c r="G1773" t="s">
        <v>35</v>
      </c>
      <c r="H1773" t="s">
        <v>20</v>
      </c>
      <c r="I1773" t="s">
        <v>27</v>
      </c>
      <c r="J1773" t="s">
        <v>20</v>
      </c>
      <c r="K1773" t="s">
        <v>20</v>
      </c>
      <c r="L1773">
        <v>2</v>
      </c>
      <c r="M1773" s="7">
        <v>26.53</v>
      </c>
      <c r="N1773" s="7">
        <v>1407.52</v>
      </c>
      <c r="O1773" t="s">
        <v>20</v>
      </c>
    </row>
    <row r="1774" spans="1:15" x14ac:dyDescent="0.3">
      <c r="A1774" t="s">
        <v>1799</v>
      </c>
      <c r="B1774" t="s">
        <v>15</v>
      </c>
      <c r="C1774">
        <v>63</v>
      </c>
      <c r="D1774" t="s">
        <v>16</v>
      </c>
      <c r="E1774">
        <v>53</v>
      </c>
      <c r="F1774" t="str">
        <f t="shared" si="27"/>
        <v>49+ Months</v>
      </c>
      <c r="G1774" t="s">
        <v>17</v>
      </c>
      <c r="H1774" t="s">
        <v>18</v>
      </c>
      <c r="I1774" t="s">
        <v>27</v>
      </c>
      <c r="J1774" t="s">
        <v>20</v>
      </c>
      <c r="K1774" t="s">
        <v>20</v>
      </c>
      <c r="L1774">
        <v>5</v>
      </c>
      <c r="M1774" s="7">
        <v>84.26</v>
      </c>
      <c r="N1774" s="7">
        <v>4400.22</v>
      </c>
      <c r="O1774" t="s">
        <v>16</v>
      </c>
    </row>
    <row r="1775" spans="1:15" x14ac:dyDescent="0.3">
      <c r="A1775" t="s">
        <v>1800</v>
      </c>
      <c r="B1775" t="s">
        <v>22</v>
      </c>
      <c r="C1775">
        <v>43</v>
      </c>
      <c r="D1775" t="s">
        <v>20</v>
      </c>
      <c r="E1775">
        <v>52</v>
      </c>
      <c r="F1775" t="str">
        <f t="shared" si="27"/>
        <v>49+ Months</v>
      </c>
      <c r="G1775" t="s">
        <v>17</v>
      </c>
      <c r="H1775" t="s">
        <v>18</v>
      </c>
      <c r="I1775" t="s">
        <v>30</v>
      </c>
      <c r="J1775" t="s">
        <v>20</v>
      </c>
      <c r="K1775" t="s">
        <v>16</v>
      </c>
      <c r="L1775">
        <v>3</v>
      </c>
      <c r="M1775" s="7">
        <v>81.98</v>
      </c>
      <c r="N1775" s="7">
        <v>4053.95</v>
      </c>
      <c r="O1775" t="s">
        <v>20</v>
      </c>
    </row>
    <row r="1776" spans="1:15" x14ac:dyDescent="0.3">
      <c r="A1776" t="s">
        <v>1801</v>
      </c>
      <c r="B1776" t="s">
        <v>15</v>
      </c>
      <c r="C1776">
        <v>68</v>
      </c>
      <c r="D1776" t="s">
        <v>16</v>
      </c>
      <c r="E1776">
        <v>30</v>
      </c>
      <c r="F1776" t="str">
        <f t="shared" si="27"/>
        <v>25-48 Months</v>
      </c>
      <c r="G1776" t="s">
        <v>17</v>
      </c>
      <c r="H1776" t="s">
        <v>36</v>
      </c>
      <c r="I1776" t="s">
        <v>27</v>
      </c>
      <c r="J1776" t="s">
        <v>20</v>
      </c>
      <c r="K1776" t="s">
        <v>16</v>
      </c>
      <c r="L1776">
        <v>8</v>
      </c>
      <c r="M1776" s="7">
        <v>89.22</v>
      </c>
      <c r="N1776" s="7">
        <v>2744.03</v>
      </c>
      <c r="O1776" t="s">
        <v>16</v>
      </c>
    </row>
    <row r="1777" spans="1:15" x14ac:dyDescent="0.3">
      <c r="A1777" t="s">
        <v>1802</v>
      </c>
      <c r="B1777" t="s">
        <v>22</v>
      </c>
      <c r="C1777">
        <v>22</v>
      </c>
      <c r="D1777" t="s">
        <v>20</v>
      </c>
      <c r="E1777">
        <v>33</v>
      </c>
      <c r="F1777" t="str">
        <f t="shared" si="27"/>
        <v>25-48 Months</v>
      </c>
      <c r="G1777" t="s">
        <v>17</v>
      </c>
      <c r="H1777" t="s">
        <v>20</v>
      </c>
      <c r="I1777" t="s">
        <v>27</v>
      </c>
      <c r="J1777" t="s">
        <v>16</v>
      </c>
      <c r="K1777" t="s">
        <v>20</v>
      </c>
      <c r="L1777">
        <v>7</v>
      </c>
      <c r="M1777" s="7">
        <v>43.01</v>
      </c>
      <c r="N1777" s="7">
        <v>1332.21</v>
      </c>
      <c r="O1777" t="s">
        <v>20</v>
      </c>
    </row>
    <row r="1778" spans="1:15" x14ac:dyDescent="0.3">
      <c r="A1778" t="s">
        <v>1803</v>
      </c>
      <c r="B1778" t="s">
        <v>22</v>
      </c>
      <c r="C1778">
        <v>46</v>
      </c>
      <c r="D1778" t="s">
        <v>20</v>
      </c>
      <c r="E1778">
        <v>57</v>
      </c>
      <c r="F1778" t="str">
        <f t="shared" si="27"/>
        <v>49+ Months</v>
      </c>
      <c r="G1778" t="s">
        <v>17</v>
      </c>
      <c r="H1778" t="s">
        <v>20</v>
      </c>
      <c r="I1778" t="s">
        <v>24</v>
      </c>
      <c r="J1778" t="s">
        <v>20</v>
      </c>
      <c r="K1778" t="s">
        <v>16</v>
      </c>
      <c r="L1778">
        <v>5</v>
      </c>
      <c r="M1778" s="7">
        <v>51.01</v>
      </c>
      <c r="N1778" s="7">
        <v>3060.4</v>
      </c>
      <c r="O1778" t="s">
        <v>20</v>
      </c>
    </row>
    <row r="1779" spans="1:15" x14ac:dyDescent="0.3">
      <c r="A1779" t="s">
        <v>1804</v>
      </c>
      <c r="B1779" t="s">
        <v>15</v>
      </c>
      <c r="C1779">
        <v>54</v>
      </c>
      <c r="D1779" t="s">
        <v>20</v>
      </c>
      <c r="E1779">
        <v>52</v>
      </c>
      <c r="F1779" t="str">
        <f t="shared" si="27"/>
        <v>49+ Months</v>
      </c>
      <c r="G1779" t="s">
        <v>35</v>
      </c>
      <c r="H1779" t="s">
        <v>18</v>
      </c>
      <c r="I1779" t="s">
        <v>30</v>
      </c>
      <c r="J1779" t="s">
        <v>20</v>
      </c>
      <c r="K1779" t="s">
        <v>20</v>
      </c>
      <c r="L1779">
        <v>3</v>
      </c>
      <c r="M1779" s="7">
        <v>74.95</v>
      </c>
      <c r="N1779" s="7">
        <v>3739.84</v>
      </c>
      <c r="O1779" t="s">
        <v>20</v>
      </c>
    </row>
    <row r="1780" spans="1:15" x14ac:dyDescent="0.3">
      <c r="A1780" t="s">
        <v>1805</v>
      </c>
      <c r="B1780" t="s">
        <v>22</v>
      </c>
      <c r="C1780">
        <v>37</v>
      </c>
      <c r="D1780" t="s">
        <v>20</v>
      </c>
      <c r="E1780">
        <v>9</v>
      </c>
      <c r="F1780" t="str">
        <f t="shared" si="27"/>
        <v>7-12 Months</v>
      </c>
      <c r="G1780" t="s">
        <v>17</v>
      </c>
      <c r="H1780" t="s">
        <v>18</v>
      </c>
      <c r="I1780" t="s">
        <v>24</v>
      </c>
      <c r="J1780" t="s">
        <v>20</v>
      </c>
      <c r="K1780" t="s">
        <v>20</v>
      </c>
      <c r="L1780">
        <v>3</v>
      </c>
      <c r="M1780" s="7">
        <v>72.430000000000007</v>
      </c>
      <c r="N1780" s="7">
        <v>654.39</v>
      </c>
      <c r="O1780" t="s">
        <v>16</v>
      </c>
    </row>
    <row r="1781" spans="1:15" x14ac:dyDescent="0.3">
      <c r="A1781" t="s">
        <v>1806</v>
      </c>
      <c r="B1781" t="s">
        <v>22</v>
      </c>
      <c r="C1781">
        <v>66</v>
      </c>
      <c r="D1781" t="s">
        <v>16</v>
      </c>
      <c r="E1781">
        <v>54</v>
      </c>
      <c r="F1781" t="str">
        <f t="shared" si="27"/>
        <v>49+ Months</v>
      </c>
      <c r="G1781" t="s">
        <v>17</v>
      </c>
      <c r="H1781" t="s">
        <v>18</v>
      </c>
      <c r="I1781" t="s">
        <v>19</v>
      </c>
      <c r="J1781" t="s">
        <v>20</v>
      </c>
      <c r="K1781" t="s">
        <v>20</v>
      </c>
      <c r="L1781">
        <v>3</v>
      </c>
      <c r="M1781" s="7">
        <v>68.45</v>
      </c>
      <c r="N1781" s="7">
        <v>3753.04</v>
      </c>
      <c r="O1781" t="s">
        <v>20</v>
      </c>
    </row>
    <row r="1782" spans="1:15" x14ac:dyDescent="0.3">
      <c r="A1782" t="s">
        <v>1807</v>
      </c>
      <c r="B1782" t="s">
        <v>22</v>
      </c>
      <c r="C1782">
        <v>38</v>
      </c>
      <c r="D1782" t="s">
        <v>20</v>
      </c>
      <c r="E1782">
        <v>1</v>
      </c>
      <c r="F1782" t="str">
        <f t="shared" si="27"/>
        <v>0-6 Months</v>
      </c>
      <c r="G1782" t="s">
        <v>35</v>
      </c>
      <c r="H1782" t="s">
        <v>36</v>
      </c>
      <c r="I1782" t="s">
        <v>24</v>
      </c>
      <c r="J1782" t="s">
        <v>16</v>
      </c>
      <c r="K1782" t="s">
        <v>16</v>
      </c>
      <c r="L1782">
        <v>2</v>
      </c>
      <c r="M1782" s="7">
        <v>63.46</v>
      </c>
      <c r="N1782" s="7">
        <v>62.06</v>
      </c>
      <c r="O1782" t="s">
        <v>20</v>
      </c>
    </row>
    <row r="1783" spans="1:15" x14ac:dyDescent="0.3">
      <c r="A1783" t="s">
        <v>1808</v>
      </c>
      <c r="B1783" t="s">
        <v>22</v>
      </c>
      <c r="C1783">
        <v>27</v>
      </c>
      <c r="D1783" t="s">
        <v>20</v>
      </c>
      <c r="E1783">
        <v>44</v>
      </c>
      <c r="F1783" t="str">
        <f t="shared" si="27"/>
        <v>25-48 Months</v>
      </c>
      <c r="G1783" t="s">
        <v>35</v>
      </c>
      <c r="H1783" t="s">
        <v>36</v>
      </c>
      <c r="I1783" t="s">
        <v>19</v>
      </c>
      <c r="J1783" t="s">
        <v>20</v>
      </c>
      <c r="K1783" t="s">
        <v>20</v>
      </c>
      <c r="L1783">
        <v>4</v>
      </c>
      <c r="M1783" s="7">
        <v>47.6</v>
      </c>
      <c r="N1783" s="7">
        <v>2149.31</v>
      </c>
      <c r="O1783" t="s">
        <v>20</v>
      </c>
    </row>
    <row r="1784" spans="1:15" x14ac:dyDescent="0.3">
      <c r="A1784" t="s">
        <v>1809</v>
      </c>
      <c r="B1784" t="s">
        <v>22</v>
      </c>
      <c r="C1784">
        <v>22</v>
      </c>
      <c r="D1784" t="s">
        <v>20</v>
      </c>
      <c r="E1784">
        <v>9</v>
      </c>
      <c r="F1784" t="str">
        <f t="shared" si="27"/>
        <v>7-12 Months</v>
      </c>
      <c r="G1784" t="s">
        <v>17</v>
      </c>
      <c r="H1784" t="s">
        <v>18</v>
      </c>
      <c r="I1784" t="s">
        <v>27</v>
      </c>
      <c r="J1784" t="s">
        <v>20</v>
      </c>
      <c r="K1784" t="s">
        <v>16</v>
      </c>
      <c r="L1784">
        <v>4</v>
      </c>
      <c r="M1784" s="7">
        <v>75.569999999999993</v>
      </c>
      <c r="N1784" s="7">
        <v>652.95000000000005</v>
      </c>
      <c r="O1784" t="s">
        <v>20</v>
      </c>
    </row>
    <row r="1785" spans="1:15" x14ac:dyDescent="0.3">
      <c r="A1785" t="s">
        <v>1810</v>
      </c>
      <c r="B1785" t="s">
        <v>22</v>
      </c>
      <c r="C1785">
        <v>53</v>
      </c>
      <c r="D1785" t="s">
        <v>20</v>
      </c>
      <c r="E1785">
        <v>32</v>
      </c>
      <c r="F1785" t="str">
        <f t="shared" si="27"/>
        <v>25-48 Months</v>
      </c>
      <c r="G1785" t="s">
        <v>17</v>
      </c>
      <c r="H1785" t="s">
        <v>36</v>
      </c>
      <c r="I1785" t="s">
        <v>27</v>
      </c>
      <c r="J1785" t="s">
        <v>20</v>
      </c>
      <c r="K1785" t="s">
        <v>20</v>
      </c>
      <c r="L1785">
        <v>4</v>
      </c>
      <c r="M1785" s="7">
        <v>61.57</v>
      </c>
      <c r="N1785" s="7">
        <v>1823.54</v>
      </c>
      <c r="O1785" t="s">
        <v>20</v>
      </c>
    </row>
    <row r="1786" spans="1:15" x14ac:dyDescent="0.3">
      <c r="A1786" t="s">
        <v>1811</v>
      </c>
      <c r="B1786" t="s">
        <v>15</v>
      </c>
      <c r="C1786">
        <v>23</v>
      </c>
      <c r="D1786" t="s">
        <v>20</v>
      </c>
      <c r="E1786">
        <v>15</v>
      </c>
      <c r="F1786" t="str">
        <f t="shared" si="27"/>
        <v>13-24 Months</v>
      </c>
      <c r="G1786" t="s">
        <v>35</v>
      </c>
      <c r="H1786" t="s">
        <v>36</v>
      </c>
      <c r="I1786" t="s">
        <v>24</v>
      </c>
      <c r="J1786" t="s">
        <v>16</v>
      </c>
      <c r="K1786" t="s">
        <v>20</v>
      </c>
      <c r="L1786">
        <v>5</v>
      </c>
      <c r="M1786" s="7">
        <v>66.17</v>
      </c>
      <c r="N1786" s="7">
        <v>1065.49</v>
      </c>
      <c r="O1786" t="s">
        <v>20</v>
      </c>
    </row>
    <row r="1787" spans="1:15" x14ac:dyDescent="0.3">
      <c r="A1787" t="s">
        <v>1812</v>
      </c>
      <c r="B1787" t="s">
        <v>22</v>
      </c>
      <c r="C1787">
        <v>43</v>
      </c>
      <c r="D1787" t="s">
        <v>20</v>
      </c>
      <c r="E1787">
        <v>12</v>
      </c>
      <c r="F1787" t="str">
        <f t="shared" si="27"/>
        <v>7-12 Months</v>
      </c>
      <c r="G1787" t="s">
        <v>23</v>
      </c>
      <c r="H1787" t="s">
        <v>36</v>
      </c>
      <c r="I1787" t="s">
        <v>30</v>
      </c>
      <c r="J1787" t="s">
        <v>16</v>
      </c>
      <c r="K1787" t="s">
        <v>20</v>
      </c>
      <c r="L1787">
        <v>4</v>
      </c>
      <c r="M1787" s="7">
        <v>67.73</v>
      </c>
      <c r="N1787" s="7">
        <v>789.36</v>
      </c>
      <c r="O1787" t="s">
        <v>20</v>
      </c>
    </row>
    <row r="1788" spans="1:15" x14ac:dyDescent="0.3">
      <c r="A1788" t="s">
        <v>1813</v>
      </c>
      <c r="B1788" t="s">
        <v>22</v>
      </c>
      <c r="C1788">
        <v>21</v>
      </c>
      <c r="D1788" t="s">
        <v>20</v>
      </c>
      <c r="E1788">
        <v>57</v>
      </c>
      <c r="F1788" t="str">
        <f t="shared" si="27"/>
        <v>49+ Months</v>
      </c>
      <c r="G1788" t="s">
        <v>23</v>
      </c>
      <c r="H1788" t="s">
        <v>18</v>
      </c>
      <c r="I1788" t="s">
        <v>19</v>
      </c>
      <c r="J1788" t="s">
        <v>20</v>
      </c>
      <c r="K1788" t="s">
        <v>16</v>
      </c>
      <c r="L1788">
        <v>4</v>
      </c>
      <c r="M1788" s="7">
        <v>72.84</v>
      </c>
      <c r="N1788" s="7">
        <v>4293.68</v>
      </c>
      <c r="O1788" t="s">
        <v>20</v>
      </c>
    </row>
    <row r="1789" spans="1:15" x14ac:dyDescent="0.3">
      <c r="A1789" t="s">
        <v>1814</v>
      </c>
      <c r="B1789" t="s">
        <v>22</v>
      </c>
      <c r="C1789">
        <v>56</v>
      </c>
      <c r="D1789" t="s">
        <v>20</v>
      </c>
      <c r="E1789">
        <v>8</v>
      </c>
      <c r="F1789" t="str">
        <f t="shared" si="27"/>
        <v>7-12 Months</v>
      </c>
      <c r="G1789" t="s">
        <v>35</v>
      </c>
      <c r="H1789" t="s">
        <v>20</v>
      </c>
      <c r="I1789" t="s">
        <v>27</v>
      </c>
      <c r="J1789" t="s">
        <v>20</v>
      </c>
      <c r="K1789" t="s">
        <v>20</v>
      </c>
      <c r="L1789">
        <v>5</v>
      </c>
      <c r="M1789" s="7">
        <v>49.37</v>
      </c>
      <c r="N1789" s="7">
        <v>395.44</v>
      </c>
      <c r="O1789" t="s">
        <v>20</v>
      </c>
    </row>
    <row r="1790" spans="1:15" x14ac:dyDescent="0.3">
      <c r="A1790" t="s">
        <v>1815</v>
      </c>
      <c r="B1790" t="s">
        <v>15</v>
      </c>
      <c r="C1790">
        <v>56</v>
      </c>
      <c r="D1790" t="s">
        <v>20</v>
      </c>
      <c r="E1790">
        <v>72</v>
      </c>
      <c r="F1790" t="str">
        <f t="shared" si="27"/>
        <v>49+ Months</v>
      </c>
      <c r="G1790" t="s">
        <v>23</v>
      </c>
      <c r="H1790" t="s">
        <v>36</v>
      </c>
      <c r="I1790" t="s">
        <v>19</v>
      </c>
      <c r="J1790" t="s">
        <v>20</v>
      </c>
      <c r="K1790" t="s">
        <v>16</v>
      </c>
      <c r="L1790">
        <v>6</v>
      </c>
      <c r="M1790" s="7">
        <v>66.56</v>
      </c>
      <c r="N1790" s="7">
        <v>4921.8999999999996</v>
      </c>
      <c r="O1790" t="s">
        <v>20</v>
      </c>
    </row>
    <row r="1791" spans="1:15" x14ac:dyDescent="0.3">
      <c r="A1791" t="s">
        <v>1816</v>
      </c>
      <c r="B1791" t="s">
        <v>22</v>
      </c>
      <c r="C1791">
        <v>67</v>
      </c>
      <c r="D1791" t="s">
        <v>16</v>
      </c>
      <c r="E1791">
        <v>27</v>
      </c>
      <c r="F1791" t="str">
        <f t="shared" si="27"/>
        <v>25-48 Months</v>
      </c>
      <c r="G1791" t="s">
        <v>17</v>
      </c>
      <c r="H1791" t="s">
        <v>20</v>
      </c>
      <c r="I1791" t="s">
        <v>30</v>
      </c>
      <c r="J1791" t="s">
        <v>20</v>
      </c>
      <c r="K1791" t="s">
        <v>20</v>
      </c>
      <c r="L1791">
        <v>3</v>
      </c>
      <c r="M1791" s="7">
        <v>37.28</v>
      </c>
      <c r="N1791" s="7">
        <v>943.9</v>
      </c>
      <c r="O1791" t="s">
        <v>20</v>
      </c>
    </row>
    <row r="1792" spans="1:15" x14ac:dyDescent="0.3">
      <c r="A1792" t="s">
        <v>1817</v>
      </c>
      <c r="B1792" t="s">
        <v>15</v>
      </c>
      <c r="C1792">
        <v>52</v>
      </c>
      <c r="D1792" t="s">
        <v>20</v>
      </c>
      <c r="E1792">
        <v>62</v>
      </c>
      <c r="F1792" t="str">
        <f t="shared" si="27"/>
        <v>49+ Months</v>
      </c>
      <c r="G1792" t="s">
        <v>23</v>
      </c>
      <c r="H1792" t="s">
        <v>20</v>
      </c>
      <c r="I1792" t="s">
        <v>27</v>
      </c>
      <c r="J1792" t="s">
        <v>20</v>
      </c>
      <c r="K1792" t="s">
        <v>20</v>
      </c>
      <c r="L1792">
        <v>3</v>
      </c>
      <c r="M1792" s="7">
        <v>33.78</v>
      </c>
      <c r="N1792" s="7">
        <v>2100.6799999999998</v>
      </c>
      <c r="O1792" t="s">
        <v>20</v>
      </c>
    </row>
    <row r="1793" spans="1:15" x14ac:dyDescent="0.3">
      <c r="A1793" t="s">
        <v>1818</v>
      </c>
      <c r="B1793" t="s">
        <v>22</v>
      </c>
      <c r="C1793">
        <v>18</v>
      </c>
      <c r="D1793" t="s">
        <v>20</v>
      </c>
      <c r="E1793">
        <v>12</v>
      </c>
      <c r="F1793" t="str">
        <f t="shared" si="27"/>
        <v>7-12 Months</v>
      </c>
      <c r="G1793" t="s">
        <v>17</v>
      </c>
      <c r="H1793" t="s">
        <v>18</v>
      </c>
      <c r="I1793" t="s">
        <v>19</v>
      </c>
      <c r="J1793" t="s">
        <v>16</v>
      </c>
      <c r="K1793" t="s">
        <v>20</v>
      </c>
      <c r="L1793">
        <v>5</v>
      </c>
      <c r="M1793" s="7">
        <v>84.13</v>
      </c>
      <c r="N1793" s="7">
        <v>992.15</v>
      </c>
      <c r="O1793" t="s">
        <v>16</v>
      </c>
    </row>
    <row r="1794" spans="1:15" x14ac:dyDescent="0.3">
      <c r="A1794" t="s">
        <v>1819</v>
      </c>
      <c r="B1794" t="s">
        <v>15</v>
      </c>
      <c r="C1794">
        <v>41</v>
      </c>
      <c r="D1794" t="s">
        <v>20</v>
      </c>
      <c r="E1794">
        <v>65</v>
      </c>
      <c r="F1794" t="str">
        <f t="shared" ref="F1794:F1857" si="28">IF(E1794&lt;=6,"0-6 Months",
 IF(E1794&lt;=12,"7-12 Months",
 IF(E1794&lt;=24,"13-24 Months",
 IF(E1794&lt;=48,"25-48 Months","49+ Months"))))</f>
        <v>49+ Months</v>
      </c>
      <c r="G1794" t="s">
        <v>23</v>
      </c>
      <c r="H1794" t="s">
        <v>18</v>
      </c>
      <c r="I1794" t="s">
        <v>27</v>
      </c>
      <c r="J1794" t="s">
        <v>16</v>
      </c>
      <c r="K1794" t="s">
        <v>20</v>
      </c>
      <c r="L1794">
        <v>5</v>
      </c>
      <c r="M1794" s="7">
        <v>82</v>
      </c>
      <c r="N1794" s="7">
        <v>5288.94</v>
      </c>
      <c r="O1794" t="s">
        <v>20</v>
      </c>
    </row>
    <row r="1795" spans="1:15" x14ac:dyDescent="0.3">
      <c r="A1795" t="s">
        <v>1820</v>
      </c>
      <c r="B1795" t="s">
        <v>15</v>
      </c>
      <c r="C1795">
        <v>74</v>
      </c>
      <c r="D1795" t="s">
        <v>16</v>
      </c>
      <c r="E1795">
        <v>42</v>
      </c>
      <c r="F1795" t="str">
        <f t="shared" si="28"/>
        <v>25-48 Months</v>
      </c>
      <c r="G1795" t="s">
        <v>23</v>
      </c>
      <c r="H1795" t="s">
        <v>36</v>
      </c>
      <c r="I1795" t="s">
        <v>27</v>
      </c>
      <c r="J1795" t="s">
        <v>20</v>
      </c>
      <c r="K1795" t="s">
        <v>20</v>
      </c>
      <c r="L1795">
        <v>4</v>
      </c>
      <c r="M1795" s="7">
        <v>56.51</v>
      </c>
      <c r="N1795" s="7">
        <v>2550.46</v>
      </c>
      <c r="O1795" t="s">
        <v>20</v>
      </c>
    </row>
    <row r="1796" spans="1:15" x14ac:dyDescent="0.3">
      <c r="A1796" t="s">
        <v>1821</v>
      </c>
      <c r="B1796" t="s">
        <v>22</v>
      </c>
      <c r="C1796">
        <v>53</v>
      </c>
      <c r="D1796" t="s">
        <v>20</v>
      </c>
      <c r="E1796">
        <v>62</v>
      </c>
      <c r="F1796" t="str">
        <f t="shared" si="28"/>
        <v>49+ Months</v>
      </c>
      <c r="G1796" t="s">
        <v>17</v>
      </c>
      <c r="H1796" t="s">
        <v>18</v>
      </c>
      <c r="I1796" t="s">
        <v>27</v>
      </c>
      <c r="J1796" t="s">
        <v>20</v>
      </c>
      <c r="K1796" t="s">
        <v>16</v>
      </c>
      <c r="L1796">
        <v>4</v>
      </c>
      <c r="M1796" s="7">
        <v>75.319999999999993</v>
      </c>
      <c r="N1796" s="7">
        <v>4398.08</v>
      </c>
      <c r="O1796" t="s">
        <v>16</v>
      </c>
    </row>
    <row r="1797" spans="1:15" x14ac:dyDescent="0.3">
      <c r="A1797" t="s">
        <v>1822</v>
      </c>
      <c r="B1797" t="s">
        <v>22</v>
      </c>
      <c r="C1797">
        <v>23</v>
      </c>
      <c r="D1797" t="s">
        <v>20</v>
      </c>
      <c r="E1797">
        <v>11</v>
      </c>
      <c r="F1797" t="str">
        <f t="shared" si="28"/>
        <v>7-12 Months</v>
      </c>
      <c r="G1797" t="s">
        <v>17</v>
      </c>
      <c r="H1797" t="s">
        <v>20</v>
      </c>
      <c r="I1797" t="s">
        <v>24</v>
      </c>
      <c r="J1797" t="s">
        <v>20</v>
      </c>
      <c r="K1797" t="s">
        <v>20</v>
      </c>
      <c r="L1797">
        <v>2</v>
      </c>
      <c r="M1797" s="7">
        <v>35.61</v>
      </c>
      <c r="N1797" s="7">
        <v>407.67</v>
      </c>
      <c r="O1797" t="s">
        <v>16</v>
      </c>
    </row>
    <row r="1798" spans="1:15" x14ac:dyDescent="0.3">
      <c r="A1798" t="s">
        <v>1823</v>
      </c>
      <c r="B1798" t="s">
        <v>15</v>
      </c>
      <c r="C1798">
        <v>58</v>
      </c>
      <c r="D1798" t="s">
        <v>20</v>
      </c>
      <c r="E1798">
        <v>43</v>
      </c>
      <c r="F1798" t="str">
        <f t="shared" si="28"/>
        <v>25-48 Months</v>
      </c>
      <c r="G1798" t="s">
        <v>17</v>
      </c>
      <c r="H1798" t="s">
        <v>36</v>
      </c>
      <c r="I1798" t="s">
        <v>19</v>
      </c>
      <c r="J1798" t="s">
        <v>20</v>
      </c>
      <c r="K1798" t="s">
        <v>16</v>
      </c>
      <c r="L1798">
        <v>2</v>
      </c>
      <c r="M1798" s="7">
        <v>41.68</v>
      </c>
      <c r="N1798" s="7">
        <v>1743.59</v>
      </c>
      <c r="O1798" t="s">
        <v>20</v>
      </c>
    </row>
    <row r="1799" spans="1:15" x14ac:dyDescent="0.3">
      <c r="A1799" t="s">
        <v>1824</v>
      </c>
      <c r="B1799" t="s">
        <v>22</v>
      </c>
      <c r="C1799">
        <v>71</v>
      </c>
      <c r="D1799" t="s">
        <v>16</v>
      </c>
      <c r="E1799">
        <v>17</v>
      </c>
      <c r="F1799" t="str">
        <f t="shared" si="28"/>
        <v>13-24 Months</v>
      </c>
      <c r="G1799" t="s">
        <v>17</v>
      </c>
      <c r="H1799" t="s">
        <v>20</v>
      </c>
      <c r="I1799" t="s">
        <v>27</v>
      </c>
      <c r="J1799" t="s">
        <v>20</v>
      </c>
      <c r="K1799" t="s">
        <v>16</v>
      </c>
      <c r="L1799">
        <v>2</v>
      </c>
      <c r="M1799" s="7">
        <v>31.65</v>
      </c>
      <c r="N1799" s="7">
        <v>520</v>
      </c>
      <c r="O1799" t="s">
        <v>20</v>
      </c>
    </row>
    <row r="1800" spans="1:15" x14ac:dyDescent="0.3">
      <c r="A1800" t="s">
        <v>1825</v>
      </c>
      <c r="B1800" t="s">
        <v>15</v>
      </c>
      <c r="C1800">
        <v>63</v>
      </c>
      <c r="D1800" t="s">
        <v>16</v>
      </c>
      <c r="E1800">
        <v>32</v>
      </c>
      <c r="F1800" t="str">
        <f t="shared" si="28"/>
        <v>25-48 Months</v>
      </c>
      <c r="G1800" t="s">
        <v>23</v>
      </c>
      <c r="H1800" t="s">
        <v>18</v>
      </c>
      <c r="I1800" t="s">
        <v>19</v>
      </c>
      <c r="J1800" t="s">
        <v>20</v>
      </c>
      <c r="K1800" t="s">
        <v>16</v>
      </c>
      <c r="L1800">
        <v>3</v>
      </c>
      <c r="M1800" s="7">
        <v>69.63</v>
      </c>
      <c r="N1800" s="7">
        <v>2146.44</v>
      </c>
      <c r="O1800" t="s">
        <v>20</v>
      </c>
    </row>
    <row r="1801" spans="1:15" x14ac:dyDescent="0.3">
      <c r="A1801" t="s">
        <v>1826</v>
      </c>
      <c r="B1801" t="s">
        <v>15</v>
      </c>
      <c r="C1801">
        <v>61</v>
      </c>
      <c r="D1801" t="s">
        <v>16</v>
      </c>
      <c r="E1801">
        <v>40</v>
      </c>
      <c r="F1801" t="str">
        <f t="shared" si="28"/>
        <v>25-48 Months</v>
      </c>
      <c r="G1801" t="s">
        <v>17</v>
      </c>
      <c r="H1801" t="s">
        <v>18</v>
      </c>
      <c r="I1801" t="s">
        <v>30</v>
      </c>
      <c r="J1801" t="s">
        <v>16</v>
      </c>
      <c r="K1801" t="s">
        <v>16</v>
      </c>
      <c r="L1801">
        <v>1</v>
      </c>
      <c r="M1801" s="7">
        <v>66.14</v>
      </c>
      <c r="N1801" s="7">
        <v>2581.59</v>
      </c>
      <c r="O1801" t="s">
        <v>16</v>
      </c>
    </row>
    <row r="1802" spans="1:15" x14ac:dyDescent="0.3">
      <c r="A1802" t="s">
        <v>1827</v>
      </c>
      <c r="B1802" t="s">
        <v>15</v>
      </c>
      <c r="C1802">
        <v>74</v>
      </c>
      <c r="D1802" t="s">
        <v>16</v>
      </c>
      <c r="E1802">
        <v>23</v>
      </c>
      <c r="F1802" t="str">
        <f t="shared" si="28"/>
        <v>13-24 Months</v>
      </c>
      <c r="G1802" t="s">
        <v>23</v>
      </c>
      <c r="H1802" t="s">
        <v>36</v>
      </c>
      <c r="I1802" t="s">
        <v>24</v>
      </c>
      <c r="J1802" t="s">
        <v>16</v>
      </c>
      <c r="K1802" t="s">
        <v>20</v>
      </c>
      <c r="L1802">
        <v>7</v>
      </c>
      <c r="M1802" s="7">
        <v>70.23</v>
      </c>
      <c r="N1802" s="7">
        <v>1578.36</v>
      </c>
      <c r="O1802" t="s">
        <v>20</v>
      </c>
    </row>
    <row r="1803" spans="1:15" x14ac:dyDescent="0.3">
      <c r="A1803" t="s">
        <v>1828</v>
      </c>
      <c r="B1803" t="s">
        <v>15</v>
      </c>
      <c r="C1803">
        <v>48</v>
      </c>
      <c r="D1803" t="s">
        <v>20</v>
      </c>
      <c r="E1803">
        <v>56</v>
      </c>
      <c r="F1803" t="str">
        <f t="shared" si="28"/>
        <v>49+ Months</v>
      </c>
      <c r="G1803" t="s">
        <v>17</v>
      </c>
      <c r="H1803" t="s">
        <v>18</v>
      </c>
      <c r="I1803" t="s">
        <v>24</v>
      </c>
      <c r="J1803" t="s">
        <v>20</v>
      </c>
      <c r="K1803" t="s">
        <v>20</v>
      </c>
      <c r="L1803">
        <v>3</v>
      </c>
      <c r="M1803" s="7">
        <v>81.069999999999993</v>
      </c>
      <c r="N1803" s="7">
        <v>4373.3900000000003</v>
      </c>
      <c r="O1803" t="s">
        <v>20</v>
      </c>
    </row>
    <row r="1804" spans="1:15" x14ac:dyDescent="0.3">
      <c r="A1804" t="s">
        <v>1829</v>
      </c>
      <c r="B1804" t="s">
        <v>15</v>
      </c>
      <c r="C1804">
        <v>37</v>
      </c>
      <c r="D1804" t="s">
        <v>20</v>
      </c>
      <c r="E1804">
        <v>6</v>
      </c>
      <c r="F1804" t="str">
        <f t="shared" si="28"/>
        <v>0-6 Months</v>
      </c>
      <c r="G1804" t="s">
        <v>23</v>
      </c>
      <c r="H1804" t="s">
        <v>36</v>
      </c>
      <c r="I1804" t="s">
        <v>19</v>
      </c>
      <c r="J1804" t="s">
        <v>20</v>
      </c>
      <c r="K1804" t="s">
        <v>16</v>
      </c>
      <c r="L1804">
        <v>4</v>
      </c>
      <c r="M1804" s="7">
        <v>63.61</v>
      </c>
      <c r="N1804" s="7">
        <v>391.89</v>
      </c>
      <c r="O1804" t="s">
        <v>20</v>
      </c>
    </row>
    <row r="1805" spans="1:15" x14ac:dyDescent="0.3">
      <c r="A1805" t="s">
        <v>1830</v>
      </c>
      <c r="B1805" t="s">
        <v>22</v>
      </c>
      <c r="C1805">
        <v>41</v>
      </c>
      <c r="D1805" t="s">
        <v>20</v>
      </c>
      <c r="E1805">
        <v>50</v>
      </c>
      <c r="F1805" t="str">
        <f t="shared" si="28"/>
        <v>49+ Months</v>
      </c>
      <c r="G1805" t="s">
        <v>35</v>
      </c>
      <c r="H1805" t="s">
        <v>20</v>
      </c>
      <c r="I1805" t="s">
        <v>30</v>
      </c>
      <c r="J1805" t="s">
        <v>20</v>
      </c>
      <c r="K1805" t="s">
        <v>16</v>
      </c>
      <c r="L1805">
        <v>4</v>
      </c>
      <c r="M1805" s="7">
        <v>43.04</v>
      </c>
      <c r="N1805" s="7">
        <v>1996.27</v>
      </c>
      <c r="O1805" t="s">
        <v>20</v>
      </c>
    </row>
    <row r="1806" spans="1:15" x14ac:dyDescent="0.3">
      <c r="A1806" t="s">
        <v>1831</v>
      </c>
      <c r="B1806" t="s">
        <v>15</v>
      </c>
      <c r="C1806">
        <v>42</v>
      </c>
      <c r="D1806" t="s">
        <v>20</v>
      </c>
      <c r="E1806">
        <v>37</v>
      </c>
      <c r="F1806" t="str">
        <f t="shared" si="28"/>
        <v>25-48 Months</v>
      </c>
      <c r="G1806" t="s">
        <v>23</v>
      </c>
      <c r="H1806" t="s">
        <v>18</v>
      </c>
      <c r="I1806" t="s">
        <v>19</v>
      </c>
      <c r="J1806" t="s">
        <v>16</v>
      </c>
      <c r="K1806" t="s">
        <v>20</v>
      </c>
      <c r="L1806">
        <v>3</v>
      </c>
      <c r="M1806" s="7">
        <v>76.209999999999994</v>
      </c>
      <c r="N1806" s="7">
        <v>2744.11</v>
      </c>
      <c r="O1806" t="s">
        <v>20</v>
      </c>
    </row>
    <row r="1807" spans="1:15" x14ac:dyDescent="0.3">
      <c r="A1807" t="s">
        <v>1832</v>
      </c>
      <c r="B1807" t="s">
        <v>15</v>
      </c>
      <c r="C1807">
        <v>53</v>
      </c>
      <c r="D1807" t="s">
        <v>20</v>
      </c>
      <c r="E1807">
        <v>64</v>
      </c>
      <c r="F1807" t="str">
        <f t="shared" si="28"/>
        <v>49+ Months</v>
      </c>
      <c r="G1807" t="s">
        <v>17</v>
      </c>
      <c r="H1807" t="s">
        <v>36</v>
      </c>
      <c r="I1807" t="s">
        <v>30</v>
      </c>
      <c r="J1807" t="s">
        <v>16</v>
      </c>
      <c r="K1807" t="s">
        <v>20</v>
      </c>
      <c r="L1807">
        <v>2</v>
      </c>
      <c r="M1807" s="7">
        <v>49.66</v>
      </c>
      <c r="N1807" s="7">
        <v>3066.47</v>
      </c>
      <c r="O1807" t="s">
        <v>20</v>
      </c>
    </row>
    <row r="1808" spans="1:15" x14ac:dyDescent="0.3">
      <c r="A1808" t="s">
        <v>1833</v>
      </c>
      <c r="B1808" t="s">
        <v>22</v>
      </c>
      <c r="C1808">
        <v>38</v>
      </c>
      <c r="D1808" t="s">
        <v>20</v>
      </c>
      <c r="E1808">
        <v>54</v>
      </c>
      <c r="F1808" t="str">
        <f t="shared" si="28"/>
        <v>49+ Months</v>
      </c>
      <c r="G1808" t="s">
        <v>35</v>
      </c>
      <c r="H1808" t="s">
        <v>18</v>
      </c>
      <c r="I1808" t="s">
        <v>19</v>
      </c>
      <c r="J1808" t="s">
        <v>20</v>
      </c>
      <c r="K1808" t="s">
        <v>20</v>
      </c>
      <c r="L1808">
        <v>2</v>
      </c>
      <c r="M1808" s="7">
        <v>69.53</v>
      </c>
      <c r="N1808" s="7">
        <v>3905.66</v>
      </c>
      <c r="O1808" t="s">
        <v>20</v>
      </c>
    </row>
    <row r="1809" spans="1:15" x14ac:dyDescent="0.3">
      <c r="A1809" t="s">
        <v>1834</v>
      </c>
      <c r="B1809" t="s">
        <v>15</v>
      </c>
      <c r="C1809">
        <v>47</v>
      </c>
      <c r="D1809" t="s">
        <v>20</v>
      </c>
      <c r="E1809">
        <v>72</v>
      </c>
      <c r="F1809" t="str">
        <f t="shared" si="28"/>
        <v>49+ Months</v>
      </c>
      <c r="G1809" t="s">
        <v>17</v>
      </c>
      <c r="H1809" t="s">
        <v>18</v>
      </c>
      <c r="I1809" t="s">
        <v>30</v>
      </c>
      <c r="J1809" t="s">
        <v>20</v>
      </c>
      <c r="K1809" t="s">
        <v>20</v>
      </c>
      <c r="L1809">
        <v>2</v>
      </c>
      <c r="M1809" s="7">
        <v>58.76</v>
      </c>
      <c r="N1809" s="7">
        <v>3991.43</v>
      </c>
      <c r="O1809" t="s">
        <v>20</v>
      </c>
    </row>
    <row r="1810" spans="1:15" x14ac:dyDescent="0.3">
      <c r="A1810" t="s">
        <v>1835</v>
      </c>
      <c r="B1810" t="s">
        <v>22</v>
      </c>
      <c r="C1810">
        <v>41</v>
      </c>
      <c r="D1810" t="s">
        <v>20</v>
      </c>
      <c r="E1810">
        <v>49</v>
      </c>
      <c r="F1810" t="str">
        <f t="shared" si="28"/>
        <v>49+ Months</v>
      </c>
      <c r="G1810" t="s">
        <v>17</v>
      </c>
      <c r="H1810" t="s">
        <v>20</v>
      </c>
      <c r="I1810" t="s">
        <v>30</v>
      </c>
      <c r="J1810" t="s">
        <v>20</v>
      </c>
      <c r="K1810" t="s">
        <v>20</v>
      </c>
      <c r="L1810">
        <v>7</v>
      </c>
      <c r="M1810" s="7">
        <v>58.14</v>
      </c>
      <c r="N1810" s="7">
        <v>3049.73</v>
      </c>
      <c r="O1810" t="s">
        <v>20</v>
      </c>
    </row>
    <row r="1811" spans="1:15" x14ac:dyDescent="0.3">
      <c r="A1811" t="s">
        <v>1836</v>
      </c>
      <c r="B1811" t="s">
        <v>22</v>
      </c>
      <c r="C1811">
        <v>61</v>
      </c>
      <c r="D1811" t="s">
        <v>16</v>
      </c>
      <c r="E1811">
        <v>11</v>
      </c>
      <c r="F1811" t="str">
        <f t="shared" si="28"/>
        <v>7-12 Months</v>
      </c>
      <c r="G1811" t="s">
        <v>17</v>
      </c>
      <c r="H1811" t="s">
        <v>20</v>
      </c>
      <c r="I1811" t="s">
        <v>19</v>
      </c>
      <c r="J1811" t="s">
        <v>20</v>
      </c>
      <c r="K1811" t="s">
        <v>20</v>
      </c>
      <c r="L1811">
        <v>6</v>
      </c>
      <c r="M1811" s="7">
        <v>50.87</v>
      </c>
      <c r="N1811" s="7">
        <v>530.07000000000005</v>
      </c>
      <c r="O1811" t="s">
        <v>16</v>
      </c>
    </row>
    <row r="1812" spans="1:15" x14ac:dyDescent="0.3">
      <c r="A1812" t="s">
        <v>1837</v>
      </c>
      <c r="B1812" t="s">
        <v>22</v>
      </c>
      <c r="C1812">
        <v>59</v>
      </c>
      <c r="D1812" t="s">
        <v>20</v>
      </c>
      <c r="E1812">
        <v>49</v>
      </c>
      <c r="F1812" t="str">
        <f t="shared" si="28"/>
        <v>49+ Months</v>
      </c>
      <c r="G1812" t="s">
        <v>17</v>
      </c>
      <c r="H1812" t="s">
        <v>36</v>
      </c>
      <c r="I1812" t="s">
        <v>19</v>
      </c>
      <c r="J1812" t="s">
        <v>20</v>
      </c>
      <c r="K1812" t="s">
        <v>20</v>
      </c>
      <c r="L1812">
        <v>3</v>
      </c>
      <c r="M1812" s="7">
        <v>63.4</v>
      </c>
      <c r="N1812" s="7">
        <v>3042</v>
      </c>
      <c r="O1812" t="s">
        <v>16</v>
      </c>
    </row>
    <row r="1813" spans="1:15" x14ac:dyDescent="0.3">
      <c r="A1813" t="s">
        <v>1838</v>
      </c>
      <c r="B1813" t="s">
        <v>15</v>
      </c>
      <c r="C1813">
        <v>47</v>
      </c>
      <c r="D1813" t="s">
        <v>20</v>
      </c>
      <c r="E1813">
        <v>21</v>
      </c>
      <c r="F1813" t="str">
        <f t="shared" si="28"/>
        <v>13-24 Months</v>
      </c>
      <c r="G1813" t="s">
        <v>35</v>
      </c>
      <c r="H1813" t="s">
        <v>20</v>
      </c>
      <c r="I1813" t="s">
        <v>24</v>
      </c>
      <c r="J1813" t="s">
        <v>16</v>
      </c>
      <c r="K1813" t="s">
        <v>16</v>
      </c>
      <c r="L1813">
        <v>4</v>
      </c>
      <c r="M1813" s="7">
        <v>37.119999999999997</v>
      </c>
      <c r="N1813" s="7">
        <v>742.07</v>
      </c>
      <c r="O1813" t="s">
        <v>20</v>
      </c>
    </row>
    <row r="1814" spans="1:15" x14ac:dyDescent="0.3">
      <c r="A1814" t="s">
        <v>1839</v>
      </c>
      <c r="B1814" t="s">
        <v>15</v>
      </c>
      <c r="C1814">
        <v>39</v>
      </c>
      <c r="D1814" t="s">
        <v>20</v>
      </c>
      <c r="E1814">
        <v>66</v>
      </c>
      <c r="F1814" t="str">
        <f t="shared" si="28"/>
        <v>49+ Months</v>
      </c>
      <c r="G1814" t="s">
        <v>17</v>
      </c>
      <c r="H1814" t="s">
        <v>36</v>
      </c>
      <c r="I1814" t="s">
        <v>19</v>
      </c>
      <c r="J1814" t="s">
        <v>16</v>
      </c>
      <c r="K1814" t="s">
        <v>20</v>
      </c>
      <c r="L1814">
        <v>2</v>
      </c>
      <c r="M1814" s="7">
        <v>59.82</v>
      </c>
      <c r="N1814" s="7">
        <v>3813.38</v>
      </c>
      <c r="O1814" t="s">
        <v>20</v>
      </c>
    </row>
    <row r="1815" spans="1:15" x14ac:dyDescent="0.3">
      <c r="A1815" t="s">
        <v>1840</v>
      </c>
      <c r="B1815" t="s">
        <v>15</v>
      </c>
      <c r="C1815">
        <v>45</v>
      </c>
      <c r="D1815" t="s">
        <v>20</v>
      </c>
      <c r="E1815">
        <v>63</v>
      </c>
      <c r="F1815" t="str">
        <f t="shared" si="28"/>
        <v>49+ Months</v>
      </c>
      <c r="G1815" t="s">
        <v>23</v>
      </c>
      <c r="H1815" t="s">
        <v>18</v>
      </c>
      <c r="I1815" t="s">
        <v>30</v>
      </c>
      <c r="J1815" t="s">
        <v>20</v>
      </c>
      <c r="K1815" t="s">
        <v>16</v>
      </c>
      <c r="L1815">
        <v>3</v>
      </c>
      <c r="M1815" s="7">
        <v>73.66</v>
      </c>
      <c r="N1815" s="7">
        <v>4834.3900000000003</v>
      </c>
      <c r="O1815" t="s">
        <v>20</v>
      </c>
    </row>
    <row r="1816" spans="1:15" x14ac:dyDescent="0.3">
      <c r="A1816" t="s">
        <v>1841</v>
      </c>
      <c r="B1816" t="s">
        <v>22</v>
      </c>
      <c r="C1816">
        <v>24</v>
      </c>
      <c r="D1816" t="s">
        <v>20</v>
      </c>
      <c r="E1816">
        <v>28</v>
      </c>
      <c r="F1816" t="str">
        <f t="shared" si="28"/>
        <v>25-48 Months</v>
      </c>
      <c r="G1816" t="s">
        <v>23</v>
      </c>
      <c r="H1816" t="s">
        <v>18</v>
      </c>
      <c r="I1816" t="s">
        <v>19</v>
      </c>
      <c r="J1816" t="s">
        <v>20</v>
      </c>
      <c r="K1816" t="s">
        <v>20</v>
      </c>
      <c r="L1816">
        <v>4</v>
      </c>
      <c r="M1816" s="7">
        <v>74.989999999999995</v>
      </c>
      <c r="N1816" s="7">
        <v>2091.79</v>
      </c>
      <c r="O1816" t="s">
        <v>20</v>
      </c>
    </row>
    <row r="1817" spans="1:15" x14ac:dyDescent="0.3">
      <c r="A1817" t="s">
        <v>1842</v>
      </c>
      <c r="B1817" t="s">
        <v>15</v>
      </c>
      <c r="C1817">
        <v>52</v>
      </c>
      <c r="D1817" t="s">
        <v>20</v>
      </c>
      <c r="E1817">
        <v>17</v>
      </c>
      <c r="F1817" t="str">
        <f t="shared" si="28"/>
        <v>13-24 Months</v>
      </c>
      <c r="G1817" t="s">
        <v>17</v>
      </c>
      <c r="H1817" t="s">
        <v>20</v>
      </c>
      <c r="I1817" t="s">
        <v>24</v>
      </c>
      <c r="J1817" t="s">
        <v>16</v>
      </c>
      <c r="K1817" t="s">
        <v>20</v>
      </c>
      <c r="L1817">
        <v>4</v>
      </c>
      <c r="M1817" s="7">
        <v>51.82</v>
      </c>
      <c r="N1817" s="7">
        <v>833.38</v>
      </c>
      <c r="O1817" t="s">
        <v>16</v>
      </c>
    </row>
    <row r="1818" spans="1:15" x14ac:dyDescent="0.3">
      <c r="A1818" t="s">
        <v>1843</v>
      </c>
      <c r="B1818" t="s">
        <v>22</v>
      </c>
      <c r="C1818">
        <v>72</v>
      </c>
      <c r="D1818" t="s">
        <v>16</v>
      </c>
      <c r="E1818">
        <v>6</v>
      </c>
      <c r="F1818" t="str">
        <f t="shared" si="28"/>
        <v>0-6 Months</v>
      </c>
      <c r="G1818" t="s">
        <v>23</v>
      </c>
      <c r="H1818" t="s">
        <v>18</v>
      </c>
      <c r="I1818" t="s">
        <v>30</v>
      </c>
      <c r="J1818" t="s">
        <v>20</v>
      </c>
      <c r="K1818" t="s">
        <v>20</v>
      </c>
      <c r="L1818">
        <v>1</v>
      </c>
      <c r="M1818" s="7">
        <v>69.55</v>
      </c>
      <c r="N1818" s="7">
        <v>387.03</v>
      </c>
      <c r="O1818" t="s">
        <v>20</v>
      </c>
    </row>
    <row r="1819" spans="1:15" x14ac:dyDescent="0.3">
      <c r="A1819" t="s">
        <v>1844</v>
      </c>
      <c r="B1819" t="s">
        <v>15</v>
      </c>
      <c r="C1819">
        <v>45</v>
      </c>
      <c r="D1819" t="s">
        <v>20</v>
      </c>
      <c r="E1819">
        <v>19</v>
      </c>
      <c r="F1819" t="str">
        <f t="shared" si="28"/>
        <v>13-24 Months</v>
      </c>
      <c r="G1819" t="s">
        <v>17</v>
      </c>
      <c r="H1819" t="s">
        <v>36</v>
      </c>
      <c r="I1819" t="s">
        <v>24</v>
      </c>
      <c r="J1819" t="s">
        <v>16</v>
      </c>
      <c r="K1819" t="s">
        <v>16</v>
      </c>
      <c r="L1819">
        <v>4</v>
      </c>
      <c r="M1819" s="7">
        <v>70.7</v>
      </c>
      <c r="N1819" s="7">
        <v>1285.25</v>
      </c>
      <c r="O1819" t="s">
        <v>20</v>
      </c>
    </row>
    <row r="1820" spans="1:15" x14ac:dyDescent="0.3">
      <c r="A1820" t="s">
        <v>1845</v>
      </c>
      <c r="B1820" t="s">
        <v>22</v>
      </c>
      <c r="C1820">
        <v>31</v>
      </c>
      <c r="D1820" t="s">
        <v>20</v>
      </c>
      <c r="E1820">
        <v>56</v>
      </c>
      <c r="F1820" t="str">
        <f t="shared" si="28"/>
        <v>49+ Months</v>
      </c>
      <c r="G1820" t="s">
        <v>17</v>
      </c>
      <c r="H1820" t="s">
        <v>36</v>
      </c>
      <c r="I1820" t="s">
        <v>27</v>
      </c>
      <c r="J1820" t="s">
        <v>20</v>
      </c>
      <c r="K1820" t="s">
        <v>20</v>
      </c>
      <c r="L1820">
        <v>4</v>
      </c>
      <c r="M1820" s="7">
        <v>60.19</v>
      </c>
      <c r="N1820" s="7">
        <v>3610.95</v>
      </c>
      <c r="O1820" t="s">
        <v>20</v>
      </c>
    </row>
    <row r="1821" spans="1:15" x14ac:dyDescent="0.3">
      <c r="A1821" t="s">
        <v>1846</v>
      </c>
      <c r="B1821" t="s">
        <v>15</v>
      </c>
      <c r="C1821">
        <v>73</v>
      </c>
      <c r="D1821" t="s">
        <v>16</v>
      </c>
      <c r="E1821">
        <v>28</v>
      </c>
      <c r="F1821" t="str">
        <f t="shared" si="28"/>
        <v>25-48 Months</v>
      </c>
      <c r="G1821" t="s">
        <v>17</v>
      </c>
      <c r="H1821" t="s">
        <v>36</v>
      </c>
      <c r="I1821" t="s">
        <v>24</v>
      </c>
      <c r="J1821" t="s">
        <v>16</v>
      </c>
      <c r="K1821" t="s">
        <v>16</v>
      </c>
      <c r="L1821">
        <v>3</v>
      </c>
      <c r="M1821" s="7">
        <v>60.65</v>
      </c>
      <c r="N1821" s="7">
        <v>1792.03</v>
      </c>
      <c r="O1821" t="s">
        <v>20</v>
      </c>
    </row>
    <row r="1822" spans="1:15" x14ac:dyDescent="0.3">
      <c r="A1822" t="s">
        <v>1847</v>
      </c>
      <c r="B1822" t="s">
        <v>15</v>
      </c>
      <c r="C1822">
        <v>27</v>
      </c>
      <c r="D1822" t="s">
        <v>20</v>
      </c>
      <c r="E1822">
        <v>66</v>
      </c>
      <c r="F1822" t="str">
        <f t="shared" si="28"/>
        <v>49+ Months</v>
      </c>
      <c r="G1822" t="s">
        <v>35</v>
      </c>
      <c r="H1822" t="s">
        <v>36</v>
      </c>
      <c r="I1822" t="s">
        <v>27</v>
      </c>
      <c r="J1822" t="s">
        <v>20</v>
      </c>
      <c r="K1822" t="s">
        <v>16</v>
      </c>
      <c r="L1822">
        <v>2</v>
      </c>
      <c r="M1822" s="7">
        <v>58.2</v>
      </c>
      <c r="N1822" s="7">
        <v>3804.43</v>
      </c>
      <c r="O1822" t="s">
        <v>20</v>
      </c>
    </row>
    <row r="1823" spans="1:15" x14ac:dyDescent="0.3">
      <c r="A1823" t="s">
        <v>1848</v>
      </c>
      <c r="B1823" t="s">
        <v>15</v>
      </c>
      <c r="C1823">
        <v>33</v>
      </c>
      <c r="D1823" t="s">
        <v>20</v>
      </c>
      <c r="E1823">
        <v>38</v>
      </c>
      <c r="F1823" t="str">
        <f t="shared" si="28"/>
        <v>25-48 Months</v>
      </c>
      <c r="G1823" t="s">
        <v>35</v>
      </c>
      <c r="H1823" t="s">
        <v>18</v>
      </c>
      <c r="I1823" t="s">
        <v>19</v>
      </c>
      <c r="J1823" t="s">
        <v>16</v>
      </c>
      <c r="K1823" t="s">
        <v>20</v>
      </c>
      <c r="L1823">
        <v>7</v>
      </c>
      <c r="M1823" s="7">
        <v>89.03</v>
      </c>
      <c r="N1823" s="7">
        <v>3373.39</v>
      </c>
      <c r="O1823" t="s">
        <v>16</v>
      </c>
    </row>
    <row r="1824" spans="1:15" x14ac:dyDescent="0.3">
      <c r="A1824" t="s">
        <v>1849</v>
      </c>
      <c r="B1824" t="s">
        <v>22</v>
      </c>
      <c r="C1824">
        <v>33</v>
      </c>
      <c r="D1824" t="s">
        <v>20</v>
      </c>
      <c r="E1824">
        <v>37</v>
      </c>
      <c r="F1824" t="str">
        <f t="shared" si="28"/>
        <v>25-48 Months</v>
      </c>
      <c r="G1824" t="s">
        <v>17</v>
      </c>
      <c r="H1824" t="s">
        <v>18</v>
      </c>
      <c r="I1824" t="s">
        <v>19</v>
      </c>
      <c r="J1824" t="s">
        <v>20</v>
      </c>
      <c r="K1824" t="s">
        <v>16</v>
      </c>
      <c r="L1824">
        <v>2</v>
      </c>
      <c r="M1824" s="7">
        <v>73.42</v>
      </c>
      <c r="N1824" s="7">
        <v>2890.12</v>
      </c>
      <c r="O1824" t="s">
        <v>20</v>
      </c>
    </row>
    <row r="1825" spans="1:15" x14ac:dyDescent="0.3">
      <c r="A1825" t="s">
        <v>1850</v>
      </c>
      <c r="B1825" t="s">
        <v>22</v>
      </c>
      <c r="C1825">
        <v>71</v>
      </c>
      <c r="D1825" t="s">
        <v>16</v>
      </c>
      <c r="E1825">
        <v>68</v>
      </c>
      <c r="F1825" t="str">
        <f t="shared" si="28"/>
        <v>49+ Months</v>
      </c>
      <c r="G1825" t="s">
        <v>17</v>
      </c>
      <c r="H1825" t="s">
        <v>36</v>
      </c>
      <c r="I1825" t="s">
        <v>24</v>
      </c>
      <c r="J1825" t="s">
        <v>16</v>
      </c>
      <c r="K1825" t="s">
        <v>20</v>
      </c>
      <c r="L1825">
        <v>4</v>
      </c>
      <c r="M1825" s="7">
        <v>60.08</v>
      </c>
      <c r="N1825" s="7">
        <v>4145.1499999999996</v>
      </c>
      <c r="O1825" t="s">
        <v>20</v>
      </c>
    </row>
    <row r="1826" spans="1:15" x14ac:dyDescent="0.3">
      <c r="A1826" t="s">
        <v>1851</v>
      </c>
      <c r="B1826" t="s">
        <v>15</v>
      </c>
      <c r="C1826">
        <v>48</v>
      </c>
      <c r="D1826" t="s">
        <v>20</v>
      </c>
      <c r="E1826">
        <v>49</v>
      </c>
      <c r="F1826" t="str">
        <f t="shared" si="28"/>
        <v>49+ Months</v>
      </c>
      <c r="G1826" t="s">
        <v>23</v>
      </c>
      <c r="H1826" t="s">
        <v>36</v>
      </c>
      <c r="I1826" t="s">
        <v>24</v>
      </c>
      <c r="J1826" t="s">
        <v>20</v>
      </c>
      <c r="K1826" t="s">
        <v>20</v>
      </c>
      <c r="L1826">
        <v>5</v>
      </c>
      <c r="M1826" s="7">
        <v>68.83</v>
      </c>
      <c r="N1826" s="7">
        <v>3578.14</v>
      </c>
      <c r="O1826" t="s">
        <v>20</v>
      </c>
    </row>
    <row r="1827" spans="1:15" x14ac:dyDescent="0.3">
      <c r="A1827" t="s">
        <v>1852</v>
      </c>
      <c r="B1827" t="s">
        <v>15</v>
      </c>
      <c r="C1827">
        <v>59</v>
      </c>
      <c r="D1827" t="s">
        <v>20</v>
      </c>
      <c r="E1827">
        <v>43</v>
      </c>
      <c r="F1827" t="str">
        <f t="shared" si="28"/>
        <v>25-48 Months</v>
      </c>
      <c r="G1827" t="s">
        <v>17</v>
      </c>
      <c r="H1827" t="s">
        <v>36</v>
      </c>
      <c r="I1827" t="s">
        <v>24</v>
      </c>
      <c r="J1827" t="s">
        <v>20</v>
      </c>
      <c r="K1827" t="s">
        <v>20</v>
      </c>
      <c r="L1827">
        <v>5</v>
      </c>
      <c r="M1827" s="7">
        <v>55.54</v>
      </c>
      <c r="N1827" s="7">
        <v>2385.1</v>
      </c>
      <c r="O1827" t="s">
        <v>20</v>
      </c>
    </row>
    <row r="1828" spans="1:15" x14ac:dyDescent="0.3">
      <c r="A1828" t="s">
        <v>1853</v>
      </c>
      <c r="B1828" t="s">
        <v>22</v>
      </c>
      <c r="C1828">
        <v>42</v>
      </c>
      <c r="D1828" t="s">
        <v>20</v>
      </c>
      <c r="E1828">
        <v>36</v>
      </c>
      <c r="F1828" t="str">
        <f t="shared" si="28"/>
        <v>25-48 Months</v>
      </c>
      <c r="G1828" t="s">
        <v>35</v>
      </c>
      <c r="H1828" t="s">
        <v>36</v>
      </c>
      <c r="I1828" t="s">
        <v>24</v>
      </c>
      <c r="J1828" t="s">
        <v>16</v>
      </c>
      <c r="K1828" t="s">
        <v>20</v>
      </c>
      <c r="L1828">
        <v>4</v>
      </c>
      <c r="M1828" s="7">
        <v>63.21</v>
      </c>
      <c r="N1828" s="7">
        <v>2166.37</v>
      </c>
      <c r="O1828" t="s">
        <v>20</v>
      </c>
    </row>
    <row r="1829" spans="1:15" x14ac:dyDescent="0.3">
      <c r="A1829" t="s">
        <v>1854</v>
      </c>
      <c r="B1829" t="s">
        <v>22</v>
      </c>
      <c r="C1829">
        <v>30</v>
      </c>
      <c r="D1829" t="s">
        <v>20</v>
      </c>
      <c r="E1829">
        <v>58</v>
      </c>
      <c r="F1829" t="str">
        <f t="shared" si="28"/>
        <v>49+ Months</v>
      </c>
      <c r="G1829" t="s">
        <v>23</v>
      </c>
      <c r="H1829" t="s">
        <v>18</v>
      </c>
      <c r="I1829" t="s">
        <v>30</v>
      </c>
      <c r="J1829" t="s">
        <v>16</v>
      </c>
      <c r="K1829" t="s">
        <v>20</v>
      </c>
      <c r="L1829">
        <v>3</v>
      </c>
      <c r="M1829" s="7">
        <v>81.44</v>
      </c>
      <c r="N1829" s="7">
        <v>4894.2700000000004</v>
      </c>
      <c r="O1829" t="s">
        <v>20</v>
      </c>
    </row>
    <row r="1830" spans="1:15" x14ac:dyDescent="0.3">
      <c r="A1830" t="s">
        <v>1855</v>
      </c>
      <c r="B1830" t="s">
        <v>22</v>
      </c>
      <c r="C1830">
        <v>23</v>
      </c>
      <c r="D1830" t="s">
        <v>20</v>
      </c>
      <c r="E1830">
        <v>13</v>
      </c>
      <c r="F1830" t="str">
        <f t="shared" si="28"/>
        <v>13-24 Months</v>
      </c>
      <c r="G1830" t="s">
        <v>17</v>
      </c>
      <c r="H1830" t="s">
        <v>20</v>
      </c>
      <c r="I1830" t="s">
        <v>24</v>
      </c>
      <c r="J1830" t="s">
        <v>20</v>
      </c>
      <c r="K1830" t="s">
        <v>20</v>
      </c>
      <c r="L1830">
        <v>4</v>
      </c>
      <c r="M1830" s="7">
        <v>36.22</v>
      </c>
      <c r="N1830" s="7">
        <v>472.85</v>
      </c>
      <c r="O1830" t="s">
        <v>20</v>
      </c>
    </row>
    <row r="1831" spans="1:15" x14ac:dyDescent="0.3">
      <c r="A1831" t="s">
        <v>1856</v>
      </c>
      <c r="B1831" t="s">
        <v>15</v>
      </c>
      <c r="C1831">
        <v>61</v>
      </c>
      <c r="D1831" t="s">
        <v>16</v>
      </c>
      <c r="E1831">
        <v>52</v>
      </c>
      <c r="F1831" t="str">
        <f t="shared" si="28"/>
        <v>49+ Months</v>
      </c>
      <c r="G1831" t="s">
        <v>35</v>
      </c>
      <c r="H1831" t="s">
        <v>36</v>
      </c>
      <c r="I1831" t="s">
        <v>27</v>
      </c>
      <c r="J1831" t="s">
        <v>20</v>
      </c>
      <c r="K1831" t="s">
        <v>20</v>
      </c>
      <c r="L1831">
        <v>6</v>
      </c>
      <c r="M1831" s="7">
        <v>60.83</v>
      </c>
      <c r="N1831" s="7">
        <v>3248.41</v>
      </c>
      <c r="O1831" t="s">
        <v>20</v>
      </c>
    </row>
    <row r="1832" spans="1:15" x14ac:dyDescent="0.3">
      <c r="A1832" t="s">
        <v>1857</v>
      </c>
      <c r="B1832" t="s">
        <v>22</v>
      </c>
      <c r="C1832">
        <v>26</v>
      </c>
      <c r="D1832" t="s">
        <v>20</v>
      </c>
      <c r="E1832">
        <v>58</v>
      </c>
      <c r="F1832" t="str">
        <f t="shared" si="28"/>
        <v>49+ Months</v>
      </c>
      <c r="G1832" t="s">
        <v>17</v>
      </c>
      <c r="H1832" t="s">
        <v>18</v>
      </c>
      <c r="I1832" t="s">
        <v>24</v>
      </c>
      <c r="J1832" t="s">
        <v>16</v>
      </c>
      <c r="K1832" t="s">
        <v>20</v>
      </c>
      <c r="L1832">
        <v>7</v>
      </c>
      <c r="M1832" s="7">
        <v>79.39</v>
      </c>
      <c r="N1832" s="7">
        <v>4352.09</v>
      </c>
      <c r="O1832" t="s">
        <v>20</v>
      </c>
    </row>
    <row r="1833" spans="1:15" x14ac:dyDescent="0.3">
      <c r="A1833" t="s">
        <v>1858</v>
      </c>
      <c r="B1833" t="s">
        <v>15</v>
      </c>
      <c r="C1833">
        <v>62</v>
      </c>
      <c r="D1833" t="s">
        <v>16</v>
      </c>
      <c r="E1833">
        <v>32</v>
      </c>
      <c r="F1833" t="str">
        <f t="shared" si="28"/>
        <v>25-48 Months</v>
      </c>
      <c r="G1833" t="s">
        <v>35</v>
      </c>
      <c r="H1833" t="s">
        <v>36</v>
      </c>
      <c r="I1833" t="s">
        <v>27</v>
      </c>
      <c r="J1833" t="s">
        <v>16</v>
      </c>
      <c r="K1833" t="s">
        <v>20</v>
      </c>
      <c r="L1833">
        <v>4</v>
      </c>
      <c r="M1833" s="7">
        <v>73.55</v>
      </c>
      <c r="N1833" s="7">
        <v>2409.1799999999998</v>
      </c>
      <c r="O1833" t="s">
        <v>16</v>
      </c>
    </row>
    <row r="1834" spans="1:15" x14ac:dyDescent="0.3">
      <c r="A1834" t="s">
        <v>1859</v>
      </c>
      <c r="B1834" t="s">
        <v>22</v>
      </c>
      <c r="C1834">
        <v>53</v>
      </c>
      <c r="D1834" t="s">
        <v>20</v>
      </c>
      <c r="E1834">
        <v>60</v>
      </c>
      <c r="F1834" t="str">
        <f t="shared" si="28"/>
        <v>49+ Months</v>
      </c>
      <c r="G1834" t="s">
        <v>35</v>
      </c>
      <c r="H1834" t="s">
        <v>20</v>
      </c>
      <c r="I1834" t="s">
        <v>30</v>
      </c>
      <c r="J1834" t="s">
        <v>16</v>
      </c>
      <c r="K1834" t="s">
        <v>20</v>
      </c>
      <c r="L1834">
        <v>3</v>
      </c>
      <c r="M1834" s="7">
        <v>31.88</v>
      </c>
      <c r="N1834" s="7">
        <v>1876.77</v>
      </c>
      <c r="O1834" t="s">
        <v>20</v>
      </c>
    </row>
    <row r="1835" spans="1:15" x14ac:dyDescent="0.3">
      <c r="A1835" t="s">
        <v>1860</v>
      </c>
      <c r="B1835" t="s">
        <v>15</v>
      </c>
      <c r="C1835">
        <v>73</v>
      </c>
      <c r="D1835" t="s">
        <v>16</v>
      </c>
      <c r="E1835">
        <v>58</v>
      </c>
      <c r="F1835" t="str">
        <f t="shared" si="28"/>
        <v>49+ Months</v>
      </c>
      <c r="G1835" t="s">
        <v>17</v>
      </c>
      <c r="H1835" t="s">
        <v>20</v>
      </c>
      <c r="I1835" t="s">
        <v>24</v>
      </c>
      <c r="J1835" t="s">
        <v>16</v>
      </c>
      <c r="K1835" t="s">
        <v>16</v>
      </c>
      <c r="L1835">
        <v>2</v>
      </c>
      <c r="M1835" s="7">
        <v>42.93</v>
      </c>
      <c r="N1835" s="7">
        <v>2423.0100000000002</v>
      </c>
      <c r="O1835" t="s">
        <v>20</v>
      </c>
    </row>
    <row r="1836" spans="1:15" x14ac:dyDescent="0.3">
      <c r="A1836" t="s">
        <v>1861</v>
      </c>
      <c r="B1836" t="s">
        <v>22</v>
      </c>
      <c r="C1836">
        <v>60</v>
      </c>
      <c r="D1836" t="s">
        <v>16</v>
      </c>
      <c r="E1836">
        <v>56</v>
      </c>
      <c r="F1836" t="str">
        <f t="shared" si="28"/>
        <v>49+ Months</v>
      </c>
      <c r="G1836" t="s">
        <v>17</v>
      </c>
      <c r="H1836" t="s">
        <v>18</v>
      </c>
      <c r="I1836" t="s">
        <v>19</v>
      </c>
      <c r="J1836" t="s">
        <v>20</v>
      </c>
      <c r="K1836" t="s">
        <v>20</v>
      </c>
      <c r="L1836">
        <v>3</v>
      </c>
      <c r="M1836" s="7">
        <v>73.540000000000006</v>
      </c>
      <c r="N1836" s="7">
        <v>4231.2299999999996</v>
      </c>
      <c r="O1836" t="s">
        <v>20</v>
      </c>
    </row>
    <row r="1837" spans="1:15" x14ac:dyDescent="0.3">
      <c r="A1837" t="s">
        <v>1862</v>
      </c>
      <c r="B1837" t="s">
        <v>22</v>
      </c>
      <c r="C1837">
        <v>37</v>
      </c>
      <c r="D1837" t="s">
        <v>20</v>
      </c>
      <c r="E1837">
        <v>28</v>
      </c>
      <c r="F1837" t="str">
        <f t="shared" si="28"/>
        <v>25-48 Months</v>
      </c>
      <c r="G1837" t="s">
        <v>35</v>
      </c>
      <c r="H1837" t="s">
        <v>36</v>
      </c>
      <c r="I1837" t="s">
        <v>24</v>
      </c>
      <c r="J1837" t="s">
        <v>20</v>
      </c>
      <c r="K1837" t="s">
        <v>20</v>
      </c>
      <c r="L1837">
        <v>2</v>
      </c>
      <c r="M1837" s="7">
        <v>58.69</v>
      </c>
      <c r="N1837" s="7">
        <v>1667.57</v>
      </c>
      <c r="O1837" t="s">
        <v>20</v>
      </c>
    </row>
    <row r="1838" spans="1:15" x14ac:dyDescent="0.3">
      <c r="A1838" t="s">
        <v>1863</v>
      </c>
      <c r="B1838" t="s">
        <v>22</v>
      </c>
      <c r="C1838">
        <v>35</v>
      </c>
      <c r="D1838" t="s">
        <v>20</v>
      </c>
      <c r="E1838">
        <v>1</v>
      </c>
      <c r="F1838" t="str">
        <f t="shared" si="28"/>
        <v>0-6 Months</v>
      </c>
      <c r="G1838" t="s">
        <v>35</v>
      </c>
      <c r="H1838" t="s">
        <v>18</v>
      </c>
      <c r="I1838" t="s">
        <v>24</v>
      </c>
      <c r="J1838" t="s">
        <v>20</v>
      </c>
      <c r="K1838" t="s">
        <v>16</v>
      </c>
      <c r="L1838">
        <v>4</v>
      </c>
      <c r="M1838" s="7">
        <v>83.07</v>
      </c>
      <c r="N1838" s="7">
        <v>85.05</v>
      </c>
      <c r="O1838" t="s">
        <v>20</v>
      </c>
    </row>
    <row r="1839" spans="1:15" x14ac:dyDescent="0.3">
      <c r="A1839" t="s">
        <v>1864</v>
      </c>
      <c r="B1839" t="s">
        <v>22</v>
      </c>
      <c r="C1839">
        <v>75</v>
      </c>
      <c r="D1839" t="s">
        <v>16</v>
      </c>
      <c r="E1839">
        <v>42</v>
      </c>
      <c r="F1839" t="str">
        <f t="shared" si="28"/>
        <v>25-48 Months</v>
      </c>
      <c r="G1839" t="s">
        <v>17</v>
      </c>
      <c r="H1839" t="s">
        <v>18</v>
      </c>
      <c r="I1839" t="s">
        <v>19</v>
      </c>
      <c r="J1839" t="s">
        <v>20</v>
      </c>
      <c r="K1839" t="s">
        <v>20</v>
      </c>
      <c r="L1839">
        <v>8</v>
      </c>
      <c r="M1839" s="7">
        <v>109.72</v>
      </c>
      <c r="N1839" s="7">
        <v>4951.34</v>
      </c>
      <c r="O1839" t="s">
        <v>20</v>
      </c>
    </row>
    <row r="1840" spans="1:15" x14ac:dyDescent="0.3">
      <c r="A1840" t="s">
        <v>1865</v>
      </c>
      <c r="B1840" t="s">
        <v>22</v>
      </c>
      <c r="C1840">
        <v>60</v>
      </c>
      <c r="D1840" t="s">
        <v>16</v>
      </c>
      <c r="E1840">
        <v>48</v>
      </c>
      <c r="F1840" t="str">
        <f t="shared" si="28"/>
        <v>25-48 Months</v>
      </c>
      <c r="G1840" t="s">
        <v>35</v>
      </c>
      <c r="H1840" t="s">
        <v>36</v>
      </c>
      <c r="I1840" t="s">
        <v>30</v>
      </c>
      <c r="J1840" t="s">
        <v>20</v>
      </c>
      <c r="K1840" t="s">
        <v>20</v>
      </c>
      <c r="L1840">
        <v>8</v>
      </c>
      <c r="M1840" s="7">
        <v>85.12</v>
      </c>
      <c r="N1840" s="7">
        <v>4217.29</v>
      </c>
      <c r="O1840" t="s">
        <v>20</v>
      </c>
    </row>
    <row r="1841" spans="1:15" x14ac:dyDescent="0.3">
      <c r="A1841" t="s">
        <v>1866</v>
      </c>
      <c r="B1841" t="s">
        <v>15</v>
      </c>
      <c r="C1841">
        <v>74</v>
      </c>
      <c r="D1841" t="s">
        <v>16</v>
      </c>
      <c r="E1841">
        <v>40</v>
      </c>
      <c r="F1841" t="str">
        <f t="shared" si="28"/>
        <v>25-48 Months</v>
      </c>
      <c r="G1841" t="s">
        <v>17</v>
      </c>
      <c r="H1841" t="s">
        <v>36</v>
      </c>
      <c r="I1841" t="s">
        <v>27</v>
      </c>
      <c r="J1841" t="s">
        <v>20</v>
      </c>
      <c r="K1841" t="s">
        <v>20</v>
      </c>
      <c r="L1841">
        <v>4</v>
      </c>
      <c r="M1841" s="7">
        <v>60.49</v>
      </c>
      <c r="N1841" s="7">
        <v>2474.15</v>
      </c>
      <c r="O1841" t="s">
        <v>20</v>
      </c>
    </row>
    <row r="1842" spans="1:15" x14ac:dyDescent="0.3">
      <c r="A1842" t="s">
        <v>1867</v>
      </c>
      <c r="B1842" t="s">
        <v>22</v>
      </c>
      <c r="C1842">
        <v>38</v>
      </c>
      <c r="D1842" t="s">
        <v>20</v>
      </c>
      <c r="E1842">
        <v>63</v>
      </c>
      <c r="F1842" t="str">
        <f t="shared" si="28"/>
        <v>49+ Months</v>
      </c>
      <c r="G1842" t="s">
        <v>17</v>
      </c>
      <c r="H1842" t="s">
        <v>36</v>
      </c>
      <c r="I1842" t="s">
        <v>19</v>
      </c>
      <c r="J1842" t="s">
        <v>20</v>
      </c>
      <c r="K1842" t="s">
        <v>20</v>
      </c>
      <c r="L1842">
        <v>3</v>
      </c>
      <c r="M1842" s="7">
        <v>57.17</v>
      </c>
      <c r="N1842" s="7">
        <v>3667.15</v>
      </c>
      <c r="O1842" t="s">
        <v>20</v>
      </c>
    </row>
    <row r="1843" spans="1:15" x14ac:dyDescent="0.3">
      <c r="A1843" t="s">
        <v>1868</v>
      </c>
      <c r="B1843" t="s">
        <v>22</v>
      </c>
      <c r="C1843">
        <v>21</v>
      </c>
      <c r="D1843" t="s">
        <v>20</v>
      </c>
      <c r="E1843">
        <v>72</v>
      </c>
      <c r="F1843" t="str">
        <f t="shared" si="28"/>
        <v>49+ Months</v>
      </c>
      <c r="G1843" t="s">
        <v>35</v>
      </c>
      <c r="H1843" t="s">
        <v>18</v>
      </c>
      <c r="I1843" t="s">
        <v>27</v>
      </c>
      <c r="J1843" t="s">
        <v>20</v>
      </c>
      <c r="K1843" t="s">
        <v>16</v>
      </c>
      <c r="L1843">
        <v>3</v>
      </c>
      <c r="M1843" s="7">
        <v>79.75</v>
      </c>
      <c r="N1843" s="7">
        <v>5648.95</v>
      </c>
      <c r="O1843" t="s">
        <v>20</v>
      </c>
    </row>
    <row r="1844" spans="1:15" x14ac:dyDescent="0.3">
      <c r="A1844" t="s">
        <v>1869</v>
      </c>
      <c r="B1844" t="s">
        <v>22</v>
      </c>
      <c r="C1844">
        <v>67</v>
      </c>
      <c r="D1844" t="s">
        <v>16</v>
      </c>
      <c r="E1844">
        <v>4</v>
      </c>
      <c r="F1844" t="str">
        <f t="shared" si="28"/>
        <v>0-6 Months</v>
      </c>
      <c r="G1844" t="s">
        <v>17</v>
      </c>
      <c r="H1844" t="s">
        <v>18</v>
      </c>
      <c r="I1844" t="s">
        <v>27</v>
      </c>
      <c r="J1844" t="s">
        <v>20</v>
      </c>
      <c r="K1844" t="s">
        <v>20</v>
      </c>
      <c r="L1844">
        <v>3</v>
      </c>
      <c r="M1844" s="7">
        <v>93.77</v>
      </c>
      <c r="N1844" s="7">
        <v>395.44</v>
      </c>
      <c r="O1844" t="s">
        <v>20</v>
      </c>
    </row>
    <row r="1845" spans="1:15" x14ac:dyDescent="0.3">
      <c r="A1845" t="s">
        <v>1870</v>
      </c>
      <c r="B1845" t="s">
        <v>15</v>
      </c>
      <c r="C1845">
        <v>50</v>
      </c>
      <c r="D1845" t="s">
        <v>20</v>
      </c>
      <c r="E1845">
        <v>38</v>
      </c>
      <c r="F1845" t="str">
        <f t="shared" si="28"/>
        <v>25-48 Months</v>
      </c>
      <c r="G1845" t="s">
        <v>35</v>
      </c>
      <c r="H1845" t="s">
        <v>36</v>
      </c>
      <c r="I1845" t="s">
        <v>27</v>
      </c>
      <c r="J1845" t="s">
        <v>16</v>
      </c>
      <c r="K1845" t="s">
        <v>20</v>
      </c>
      <c r="L1845">
        <v>6</v>
      </c>
      <c r="M1845" s="7">
        <v>67.47</v>
      </c>
      <c r="N1845" s="7">
        <v>2515.02</v>
      </c>
      <c r="O1845" t="s">
        <v>20</v>
      </c>
    </row>
    <row r="1846" spans="1:15" x14ac:dyDescent="0.3">
      <c r="A1846" t="s">
        <v>1871</v>
      </c>
      <c r="B1846" t="s">
        <v>22</v>
      </c>
      <c r="C1846">
        <v>44</v>
      </c>
      <c r="D1846" t="s">
        <v>20</v>
      </c>
      <c r="E1846">
        <v>27</v>
      </c>
      <c r="F1846" t="str">
        <f t="shared" si="28"/>
        <v>25-48 Months</v>
      </c>
      <c r="G1846" t="s">
        <v>17</v>
      </c>
      <c r="H1846" t="s">
        <v>18</v>
      </c>
      <c r="I1846" t="s">
        <v>19</v>
      </c>
      <c r="J1846" t="s">
        <v>16</v>
      </c>
      <c r="K1846" t="s">
        <v>20</v>
      </c>
      <c r="L1846">
        <v>3</v>
      </c>
      <c r="M1846" s="7">
        <v>65.95</v>
      </c>
      <c r="N1846" s="7">
        <v>1837.7</v>
      </c>
      <c r="O1846" t="s">
        <v>20</v>
      </c>
    </row>
    <row r="1847" spans="1:15" x14ac:dyDescent="0.3">
      <c r="A1847" t="s">
        <v>1872</v>
      </c>
      <c r="B1847" t="s">
        <v>15</v>
      </c>
      <c r="C1847">
        <v>24</v>
      </c>
      <c r="D1847" t="s">
        <v>20</v>
      </c>
      <c r="E1847">
        <v>9</v>
      </c>
      <c r="F1847" t="str">
        <f t="shared" si="28"/>
        <v>7-12 Months</v>
      </c>
      <c r="G1847" t="s">
        <v>23</v>
      </c>
      <c r="H1847" t="s">
        <v>18</v>
      </c>
      <c r="I1847" t="s">
        <v>24</v>
      </c>
      <c r="J1847" t="s">
        <v>16</v>
      </c>
      <c r="K1847" t="s">
        <v>20</v>
      </c>
      <c r="L1847">
        <v>7</v>
      </c>
      <c r="M1847" s="7">
        <v>92.71</v>
      </c>
      <c r="N1847" s="7">
        <v>806.77</v>
      </c>
      <c r="O1847" t="s">
        <v>16</v>
      </c>
    </row>
    <row r="1848" spans="1:15" x14ac:dyDescent="0.3">
      <c r="A1848" t="s">
        <v>1873</v>
      </c>
      <c r="B1848" t="s">
        <v>22</v>
      </c>
      <c r="C1848">
        <v>23</v>
      </c>
      <c r="D1848" t="s">
        <v>20</v>
      </c>
      <c r="E1848">
        <v>16</v>
      </c>
      <c r="F1848" t="str">
        <f t="shared" si="28"/>
        <v>13-24 Months</v>
      </c>
      <c r="G1848" t="s">
        <v>17</v>
      </c>
      <c r="H1848" t="s">
        <v>18</v>
      </c>
      <c r="I1848" t="s">
        <v>24</v>
      </c>
      <c r="J1848" t="s">
        <v>16</v>
      </c>
      <c r="K1848" t="s">
        <v>16</v>
      </c>
      <c r="L1848">
        <v>3</v>
      </c>
      <c r="M1848" s="7">
        <v>70.52</v>
      </c>
      <c r="N1848" s="7">
        <v>1064.73</v>
      </c>
      <c r="O1848" t="s">
        <v>20</v>
      </c>
    </row>
    <row r="1849" spans="1:15" x14ac:dyDescent="0.3">
      <c r="A1849" t="s">
        <v>1874</v>
      </c>
      <c r="B1849" t="s">
        <v>22</v>
      </c>
      <c r="C1849">
        <v>32</v>
      </c>
      <c r="D1849" t="s">
        <v>20</v>
      </c>
      <c r="E1849">
        <v>56</v>
      </c>
      <c r="F1849" t="str">
        <f t="shared" si="28"/>
        <v>49+ Months</v>
      </c>
      <c r="G1849" t="s">
        <v>17</v>
      </c>
      <c r="H1849" t="s">
        <v>18</v>
      </c>
      <c r="I1849" t="s">
        <v>30</v>
      </c>
      <c r="J1849" t="s">
        <v>20</v>
      </c>
      <c r="K1849" t="s">
        <v>20</v>
      </c>
      <c r="L1849">
        <v>4</v>
      </c>
      <c r="M1849" s="7">
        <v>80.48</v>
      </c>
      <c r="N1849" s="7">
        <v>4239.8999999999996</v>
      </c>
      <c r="O1849" t="s">
        <v>20</v>
      </c>
    </row>
    <row r="1850" spans="1:15" x14ac:dyDescent="0.3">
      <c r="A1850" t="s">
        <v>1875</v>
      </c>
      <c r="B1850" t="s">
        <v>15</v>
      </c>
      <c r="C1850">
        <v>35</v>
      </c>
      <c r="D1850" t="s">
        <v>20</v>
      </c>
      <c r="E1850">
        <v>31</v>
      </c>
      <c r="F1850" t="str">
        <f t="shared" si="28"/>
        <v>25-48 Months</v>
      </c>
      <c r="G1850" t="s">
        <v>23</v>
      </c>
      <c r="H1850" t="s">
        <v>18</v>
      </c>
      <c r="I1850" t="s">
        <v>19</v>
      </c>
      <c r="J1850" t="s">
        <v>20</v>
      </c>
      <c r="K1850" t="s">
        <v>16</v>
      </c>
      <c r="L1850">
        <v>7</v>
      </c>
      <c r="M1850" s="7">
        <v>99.06</v>
      </c>
      <c r="N1850" s="7">
        <v>3136.97</v>
      </c>
      <c r="O1850" t="s">
        <v>16</v>
      </c>
    </row>
    <row r="1851" spans="1:15" x14ac:dyDescent="0.3">
      <c r="A1851" t="s">
        <v>1876</v>
      </c>
      <c r="B1851" t="s">
        <v>22</v>
      </c>
      <c r="C1851">
        <v>49</v>
      </c>
      <c r="D1851" t="s">
        <v>20</v>
      </c>
      <c r="E1851">
        <v>14</v>
      </c>
      <c r="F1851" t="str">
        <f t="shared" si="28"/>
        <v>13-24 Months</v>
      </c>
      <c r="G1851" t="s">
        <v>17</v>
      </c>
      <c r="H1851" t="s">
        <v>36</v>
      </c>
      <c r="I1851" t="s">
        <v>24</v>
      </c>
      <c r="J1851" t="s">
        <v>20</v>
      </c>
      <c r="K1851" t="s">
        <v>16</v>
      </c>
      <c r="L1851">
        <v>6</v>
      </c>
      <c r="M1851" s="7">
        <v>70.53</v>
      </c>
      <c r="N1851" s="7">
        <v>960.24</v>
      </c>
      <c r="O1851" t="s">
        <v>20</v>
      </c>
    </row>
    <row r="1852" spans="1:15" x14ac:dyDescent="0.3">
      <c r="A1852" t="s">
        <v>1877</v>
      </c>
      <c r="B1852" t="s">
        <v>15</v>
      </c>
      <c r="C1852">
        <v>73</v>
      </c>
      <c r="D1852" t="s">
        <v>16</v>
      </c>
      <c r="E1852">
        <v>25</v>
      </c>
      <c r="F1852" t="str">
        <f t="shared" si="28"/>
        <v>25-48 Months</v>
      </c>
      <c r="G1852" t="s">
        <v>17</v>
      </c>
      <c r="H1852" t="s">
        <v>18</v>
      </c>
      <c r="I1852" t="s">
        <v>19</v>
      </c>
      <c r="J1852" t="s">
        <v>16</v>
      </c>
      <c r="K1852" t="s">
        <v>16</v>
      </c>
      <c r="L1852">
        <v>3</v>
      </c>
      <c r="M1852" s="7">
        <v>70.849999999999994</v>
      </c>
      <c r="N1852" s="7">
        <v>1707.5</v>
      </c>
      <c r="O1852" t="s">
        <v>20</v>
      </c>
    </row>
    <row r="1853" spans="1:15" x14ac:dyDescent="0.3">
      <c r="A1853" t="s">
        <v>1878</v>
      </c>
      <c r="B1853" t="s">
        <v>15</v>
      </c>
      <c r="C1853">
        <v>28</v>
      </c>
      <c r="D1853" t="s">
        <v>20</v>
      </c>
      <c r="E1853">
        <v>34</v>
      </c>
      <c r="F1853" t="str">
        <f t="shared" si="28"/>
        <v>25-48 Months</v>
      </c>
      <c r="G1853" t="s">
        <v>17</v>
      </c>
      <c r="H1853" t="s">
        <v>18</v>
      </c>
      <c r="I1853" t="s">
        <v>24</v>
      </c>
      <c r="J1853" t="s">
        <v>20</v>
      </c>
      <c r="K1853" t="s">
        <v>16</v>
      </c>
      <c r="L1853">
        <v>3</v>
      </c>
      <c r="M1853" s="7">
        <v>73.58</v>
      </c>
      <c r="N1853" s="7">
        <v>2538.5700000000002</v>
      </c>
      <c r="O1853" t="s">
        <v>20</v>
      </c>
    </row>
    <row r="1854" spans="1:15" x14ac:dyDescent="0.3">
      <c r="A1854" t="s">
        <v>1879</v>
      </c>
      <c r="B1854" t="s">
        <v>22</v>
      </c>
      <c r="C1854">
        <v>37</v>
      </c>
      <c r="D1854" t="s">
        <v>20</v>
      </c>
      <c r="E1854">
        <v>67</v>
      </c>
      <c r="F1854" t="str">
        <f t="shared" si="28"/>
        <v>49+ Months</v>
      </c>
      <c r="G1854" t="s">
        <v>17</v>
      </c>
      <c r="H1854" t="s">
        <v>36</v>
      </c>
      <c r="I1854" t="s">
        <v>30</v>
      </c>
      <c r="J1854" t="s">
        <v>16</v>
      </c>
      <c r="K1854" t="s">
        <v>16</v>
      </c>
      <c r="L1854">
        <v>4</v>
      </c>
      <c r="M1854" s="7">
        <v>51.54</v>
      </c>
      <c r="N1854" s="7">
        <v>3191.11</v>
      </c>
      <c r="O1854" t="s">
        <v>20</v>
      </c>
    </row>
    <row r="1855" spans="1:15" x14ac:dyDescent="0.3">
      <c r="A1855" t="s">
        <v>1880</v>
      </c>
      <c r="B1855" t="s">
        <v>15</v>
      </c>
      <c r="C1855">
        <v>41</v>
      </c>
      <c r="D1855" t="s">
        <v>20</v>
      </c>
      <c r="E1855">
        <v>24</v>
      </c>
      <c r="F1855" t="str">
        <f t="shared" si="28"/>
        <v>13-24 Months</v>
      </c>
      <c r="G1855" t="s">
        <v>35</v>
      </c>
      <c r="H1855" t="s">
        <v>18</v>
      </c>
      <c r="I1855" t="s">
        <v>24</v>
      </c>
      <c r="J1855" t="s">
        <v>20</v>
      </c>
      <c r="K1855" t="s">
        <v>20</v>
      </c>
      <c r="L1855">
        <v>4</v>
      </c>
      <c r="M1855" s="7">
        <v>87.93</v>
      </c>
      <c r="N1855" s="7">
        <v>2024.63</v>
      </c>
      <c r="O1855" t="s">
        <v>20</v>
      </c>
    </row>
    <row r="1856" spans="1:15" x14ac:dyDescent="0.3">
      <c r="A1856" t="s">
        <v>1881</v>
      </c>
      <c r="B1856" t="s">
        <v>22</v>
      </c>
      <c r="C1856">
        <v>32</v>
      </c>
      <c r="D1856" t="s">
        <v>20</v>
      </c>
      <c r="E1856">
        <v>26</v>
      </c>
      <c r="F1856" t="str">
        <f t="shared" si="28"/>
        <v>25-48 Months</v>
      </c>
      <c r="G1856" t="s">
        <v>17</v>
      </c>
      <c r="H1856" t="s">
        <v>36</v>
      </c>
      <c r="I1856" t="s">
        <v>30</v>
      </c>
      <c r="J1856" t="s">
        <v>20</v>
      </c>
      <c r="K1856" t="s">
        <v>20</v>
      </c>
      <c r="L1856">
        <v>4</v>
      </c>
      <c r="M1856" s="7">
        <v>64.739999999999995</v>
      </c>
      <c r="N1856" s="7">
        <v>1640.3</v>
      </c>
      <c r="O1856" t="s">
        <v>20</v>
      </c>
    </row>
    <row r="1857" spans="1:15" x14ac:dyDescent="0.3">
      <c r="A1857" t="s">
        <v>1882</v>
      </c>
      <c r="B1857" t="s">
        <v>22</v>
      </c>
      <c r="C1857">
        <v>65</v>
      </c>
      <c r="D1857" t="s">
        <v>16</v>
      </c>
      <c r="E1857">
        <v>20</v>
      </c>
      <c r="F1857" t="str">
        <f t="shared" si="28"/>
        <v>13-24 Months</v>
      </c>
      <c r="G1857" t="s">
        <v>23</v>
      </c>
      <c r="H1857" t="s">
        <v>18</v>
      </c>
      <c r="I1857" t="s">
        <v>27</v>
      </c>
      <c r="J1857" t="s">
        <v>16</v>
      </c>
      <c r="K1857" t="s">
        <v>16</v>
      </c>
      <c r="L1857">
        <v>3</v>
      </c>
      <c r="M1857" s="7">
        <v>67.38</v>
      </c>
      <c r="N1857" s="7">
        <v>1392.53</v>
      </c>
      <c r="O1857" t="s">
        <v>20</v>
      </c>
    </row>
    <row r="1858" spans="1:15" x14ac:dyDescent="0.3">
      <c r="A1858" t="s">
        <v>1883</v>
      </c>
      <c r="B1858" t="s">
        <v>15</v>
      </c>
      <c r="C1858">
        <v>24</v>
      </c>
      <c r="D1858" t="s">
        <v>20</v>
      </c>
      <c r="E1858">
        <v>64</v>
      </c>
      <c r="F1858" t="str">
        <f t="shared" ref="F1858:F1921" si="29">IF(E1858&lt;=6,"0-6 Months",
 IF(E1858&lt;=12,"7-12 Months",
 IF(E1858&lt;=24,"13-24 Months",
 IF(E1858&lt;=48,"25-48 Months","49+ Months"))))</f>
        <v>49+ Months</v>
      </c>
      <c r="G1858" t="s">
        <v>17</v>
      </c>
      <c r="H1858" t="s">
        <v>18</v>
      </c>
      <c r="I1858" t="s">
        <v>24</v>
      </c>
      <c r="J1858" t="s">
        <v>20</v>
      </c>
      <c r="K1858" t="s">
        <v>16</v>
      </c>
      <c r="L1858">
        <v>4</v>
      </c>
      <c r="M1858" s="7">
        <v>96.65</v>
      </c>
      <c r="N1858" s="7">
        <v>6230.14</v>
      </c>
      <c r="O1858" t="s">
        <v>16</v>
      </c>
    </row>
    <row r="1859" spans="1:15" x14ac:dyDescent="0.3">
      <c r="A1859" t="s">
        <v>1884</v>
      </c>
      <c r="B1859" t="s">
        <v>15</v>
      </c>
      <c r="C1859">
        <v>38</v>
      </c>
      <c r="D1859" t="s">
        <v>20</v>
      </c>
      <c r="E1859">
        <v>10</v>
      </c>
      <c r="F1859" t="str">
        <f t="shared" si="29"/>
        <v>7-12 Months</v>
      </c>
      <c r="G1859" t="s">
        <v>17</v>
      </c>
      <c r="H1859" t="s">
        <v>18</v>
      </c>
      <c r="I1859" t="s">
        <v>19</v>
      </c>
      <c r="J1859" t="s">
        <v>20</v>
      </c>
      <c r="K1859" t="s">
        <v>20</v>
      </c>
      <c r="L1859">
        <v>4</v>
      </c>
      <c r="M1859" s="7">
        <v>77.48</v>
      </c>
      <c r="N1859" s="7">
        <v>818.93</v>
      </c>
      <c r="O1859" t="s">
        <v>16</v>
      </c>
    </row>
    <row r="1860" spans="1:15" x14ac:dyDescent="0.3">
      <c r="A1860" t="s">
        <v>1885</v>
      </c>
      <c r="B1860" t="s">
        <v>15</v>
      </c>
      <c r="C1860">
        <v>59</v>
      </c>
      <c r="D1860" t="s">
        <v>20</v>
      </c>
      <c r="E1860">
        <v>67</v>
      </c>
      <c r="F1860" t="str">
        <f t="shared" si="29"/>
        <v>49+ Months</v>
      </c>
      <c r="G1860" t="s">
        <v>17</v>
      </c>
      <c r="H1860" t="s">
        <v>18</v>
      </c>
      <c r="I1860" t="s">
        <v>27</v>
      </c>
      <c r="J1860" t="s">
        <v>16</v>
      </c>
      <c r="K1860" t="s">
        <v>20</v>
      </c>
      <c r="L1860">
        <v>5</v>
      </c>
      <c r="M1860" s="7">
        <v>85.07</v>
      </c>
      <c r="N1860" s="7">
        <v>5548.77</v>
      </c>
      <c r="O1860" t="s">
        <v>16</v>
      </c>
    </row>
    <row r="1861" spans="1:15" x14ac:dyDescent="0.3">
      <c r="A1861" t="s">
        <v>1886</v>
      </c>
      <c r="B1861" t="s">
        <v>15</v>
      </c>
      <c r="C1861">
        <v>43</v>
      </c>
      <c r="D1861" t="s">
        <v>20</v>
      </c>
      <c r="E1861">
        <v>24</v>
      </c>
      <c r="F1861" t="str">
        <f t="shared" si="29"/>
        <v>13-24 Months</v>
      </c>
      <c r="G1861" t="s">
        <v>17</v>
      </c>
      <c r="H1861" t="s">
        <v>36</v>
      </c>
      <c r="I1861" t="s">
        <v>24</v>
      </c>
      <c r="J1861" t="s">
        <v>16</v>
      </c>
      <c r="K1861" t="s">
        <v>16</v>
      </c>
      <c r="L1861">
        <v>7</v>
      </c>
      <c r="M1861" s="7">
        <v>68.64</v>
      </c>
      <c r="N1861" s="7">
        <v>1593.71</v>
      </c>
      <c r="O1861" t="s">
        <v>20</v>
      </c>
    </row>
    <row r="1862" spans="1:15" x14ac:dyDescent="0.3">
      <c r="A1862" t="s">
        <v>1887</v>
      </c>
      <c r="B1862" t="s">
        <v>22</v>
      </c>
      <c r="C1862">
        <v>61</v>
      </c>
      <c r="D1862" t="s">
        <v>16</v>
      </c>
      <c r="E1862">
        <v>5</v>
      </c>
      <c r="F1862" t="str">
        <f t="shared" si="29"/>
        <v>0-6 Months</v>
      </c>
      <c r="G1862" t="s">
        <v>17</v>
      </c>
      <c r="H1862" t="s">
        <v>20</v>
      </c>
      <c r="I1862" t="s">
        <v>24</v>
      </c>
      <c r="J1862" t="s">
        <v>20</v>
      </c>
      <c r="K1862" t="s">
        <v>20</v>
      </c>
      <c r="L1862">
        <v>4</v>
      </c>
      <c r="M1862" s="7">
        <v>43.94</v>
      </c>
      <c r="N1862" s="7">
        <v>203.29</v>
      </c>
      <c r="O1862" t="s">
        <v>20</v>
      </c>
    </row>
    <row r="1863" spans="1:15" x14ac:dyDescent="0.3">
      <c r="A1863" t="s">
        <v>1888</v>
      </c>
      <c r="B1863" t="s">
        <v>22</v>
      </c>
      <c r="C1863">
        <v>73</v>
      </c>
      <c r="D1863" t="s">
        <v>16</v>
      </c>
      <c r="E1863">
        <v>67</v>
      </c>
      <c r="F1863" t="str">
        <f t="shared" si="29"/>
        <v>49+ Months</v>
      </c>
      <c r="G1863" t="s">
        <v>23</v>
      </c>
      <c r="H1863" t="s">
        <v>18</v>
      </c>
      <c r="I1863" t="s">
        <v>24</v>
      </c>
      <c r="J1863" t="s">
        <v>16</v>
      </c>
      <c r="K1863" t="s">
        <v>20</v>
      </c>
      <c r="L1863">
        <v>8</v>
      </c>
      <c r="M1863" s="7">
        <v>95.66</v>
      </c>
      <c r="N1863" s="7">
        <v>6872.44</v>
      </c>
      <c r="O1863" t="s">
        <v>20</v>
      </c>
    </row>
    <row r="1864" spans="1:15" x14ac:dyDescent="0.3">
      <c r="A1864" t="s">
        <v>1889</v>
      </c>
      <c r="B1864" t="s">
        <v>15</v>
      </c>
      <c r="C1864">
        <v>31</v>
      </c>
      <c r="D1864" t="s">
        <v>20</v>
      </c>
      <c r="E1864">
        <v>58</v>
      </c>
      <c r="F1864" t="str">
        <f t="shared" si="29"/>
        <v>49+ Months</v>
      </c>
      <c r="G1864" t="s">
        <v>35</v>
      </c>
      <c r="H1864" t="s">
        <v>18</v>
      </c>
      <c r="I1864" t="s">
        <v>30</v>
      </c>
      <c r="J1864" t="s">
        <v>20</v>
      </c>
      <c r="K1864" t="s">
        <v>16</v>
      </c>
      <c r="L1864">
        <v>7</v>
      </c>
      <c r="M1864" s="7">
        <v>81.22</v>
      </c>
      <c r="N1864" s="7">
        <v>4711.88</v>
      </c>
      <c r="O1864" t="s">
        <v>20</v>
      </c>
    </row>
    <row r="1865" spans="1:15" x14ac:dyDescent="0.3">
      <c r="A1865" t="s">
        <v>1890</v>
      </c>
      <c r="B1865" t="s">
        <v>22</v>
      </c>
      <c r="C1865">
        <v>74</v>
      </c>
      <c r="D1865" t="s">
        <v>16</v>
      </c>
      <c r="E1865">
        <v>27</v>
      </c>
      <c r="F1865" t="str">
        <f t="shared" si="29"/>
        <v>25-48 Months</v>
      </c>
      <c r="G1865" t="s">
        <v>17</v>
      </c>
      <c r="H1865" t="s">
        <v>36</v>
      </c>
      <c r="I1865" t="s">
        <v>30</v>
      </c>
      <c r="J1865" t="s">
        <v>20</v>
      </c>
      <c r="K1865" t="s">
        <v>20</v>
      </c>
      <c r="L1865">
        <v>4</v>
      </c>
      <c r="M1865" s="7">
        <v>67.209999999999994</v>
      </c>
      <c r="N1865" s="7">
        <v>1815.4</v>
      </c>
      <c r="O1865" t="s">
        <v>16</v>
      </c>
    </row>
    <row r="1866" spans="1:15" x14ac:dyDescent="0.3">
      <c r="A1866" t="s">
        <v>1891</v>
      </c>
      <c r="B1866" t="s">
        <v>22</v>
      </c>
      <c r="C1866">
        <v>54</v>
      </c>
      <c r="D1866" t="s">
        <v>20</v>
      </c>
      <c r="E1866">
        <v>15</v>
      </c>
      <c r="F1866" t="str">
        <f t="shared" si="29"/>
        <v>13-24 Months</v>
      </c>
      <c r="G1866" t="s">
        <v>17</v>
      </c>
      <c r="H1866" t="s">
        <v>36</v>
      </c>
      <c r="I1866" t="s">
        <v>24</v>
      </c>
      <c r="J1866" t="s">
        <v>16</v>
      </c>
      <c r="K1866" t="s">
        <v>20</v>
      </c>
      <c r="L1866">
        <v>5</v>
      </c>
      <c r="M1866" s="7">
        <v>57.2</v>
      </c>
      <c r="N1866" s="7">
        <v>916.13</v>
      </c>
      <c r="O1866" t="s">
        <v>16</v>
      </c>
    </row>
    <row r="1867" spans="1:15" x14ac:dyDescent="0.3">
      <c r="A1867" t="s">
        <v>1892</v>
      </c>
      <c r="B1867" t="s">
        <v>22</v>
      </c>
      <c r="C1867">
        <v>75</v>
      </c>
      <c r="D1867" t="s">
        <v>16</v>
      </c>
      <c r="E1867">
        <v>35</v>
      </c>
      <c r="F1867" t="str">
        <f t="shared" si="29"/>
        <v>25-48 Months</v>
      </c>
      <c r="G1867" t="s">
        <v>17</v>
      </c>
      <c r="H1867" t="s">
        <v>20</v>
      </c>
      <c r="I1867" t="s">
        <v>19</v>
      </c>
      <c r="J1867" t="s">
        <v>16</v>
      </c>
      <c r="K1867" t="s">
        <v>16</v>
      </c>
      <c r="L1867">
        <v>1</v>
      </c>
      <c r="M1867" s="7">
        <v>35.42</v>
      </c>
      <c r="N1867" s="7">
        <v>1198.03</v>
      </c>
      <c r="O1867" t="s">
        <v>20</v>
      </c>
    </row>
    <row r="1868" spans="1:15" x14ac:dyDescent="0.3">
      <c r="A1868" t="s">
        <v>1893</v>
      </c>
      <c r="B1868" t="s">
        <v>22</v>
      </c>
      <c r="C1868">
        <v>38</v>
      </c>
      <c r="D1868" t="s">
        <v>20</v>
      </c>
      <c r="E1868">
        <v>53</v>
      </c>
      <c r="F1868" t="str">
        <f t="shared" si="29"/>
        <v>49+ Months</v>
      </c>
      <c r="G1868" t="s">
        <v>17</v>
      </c>
      <c r="H1868" t="s">
        <v>18</v>
      </c>
      <c r="I1868" t="s">
        <v>24</v>
      </c>
      <c r="J1868" t="s">
        <v>20</v>
      </c>
      <c r="K1868" t="s">
        <v>20</v>
      </c>
      <c r="L1868">
        <v>4</v>
      </c>
      <c r="M1868" s="7">
        <v>77.38</v>
      </c>
      <c r="N1868" s="7">
        <v>3990.97</v>
      </c>
      <c r="O1868" t="s">
        <v>16</v>
      </c>
    </row>
    <row r="1869" spans="1:15" x14ac:dyDescent="0.3">
      <c r="A1869" t="s">
        <v>1894</v>
      </c>
      <c r="B1869" t="s">
        <v>15</v>
      </c>
      <c r="C1869">
        <v>35</v>
      </c>
      <c r="D1869" t="s">
        <v>20</v>
      </c>
      <c r="E1869">
        <v>44</v>
      </c>
      <c r="F1869" t="str">
        <f t="shared" si="29"/>
        <v>25-48 Months</v>
      </c>
      <c r="G1869" t="s">
        <v>17</v>
      </c>
      <c r="H1869" t="s">
        <v>20</v>
      </c>
      <c r="I1869" t="s">
        <v>27</v>
      </c>
      <c r="J1869" t="s">
        <v>20</v>
      </c>
      <c r="K1869" t="s">
        <v>20</v>
      </c>
      <c r="L1869">
        <v>3</v>
      </c>
      <c r="M1869" s="7">
        <v>37.44</v>
      </c>
      <c r="N1869" s="7">
        <v>1688.57</v>
      </c>
      <c r="O1869" t="s">
        <v>16</v>
      </c>
    </row>
    <row r="1870" spans="1:15" x14ac:dyDescent="0.3">
      <c r="A1870" t="s">
        <v>1895</v>
      </c>
      <c r="B1870" t="s">
        <v>15</v>
      </c>
      <c r="C1870">
        <v>22</v>
      </c>
      <c r="D1870" t="s">
        <v>20</v>
      </c>
      <c r="E1870">
        <v>26</v>
      </c>
      <c r="F1870" t="str">
        <f t="shared" si="29"/>
        <v>25-48 Months</v>
      </c>
      <c r="G1870" t="s">
        <v>17</v>
      </c>
      <c r="H1870" t="s">
        <v>18</v>
      </c>
      <c r="I1870" t="s">
        <v>24</v>
      </c>
      <c r="J1870" t="s">
        <v>20</v>
      </c>
      <c r="K1870" t="s">
        <v>16</v>
      </c>
      <c r="L1870">
        <v>6</v>
      </c>
      <c r="M1870" s="7">
        <v>90.37</v>
      </c>
      <c r="N1870" s="7">
        <v>2456.83</v>
      </c>
      <c r="O1870" t="s">
        <v>16</v>
      </c>
    </row>
    <row r="1871" spans="1:15" x14ac:dyDescent="0.3">
      <c r="A1871" t="s">
        <v>1896</v>
      </c>
      <c r="B1871" t="s">
        <v>22</v>
      </c>
      <c r="C1871">
        <v>20</v>
      </c>
      <c r="D1871" t="s">
        <v>20</v>
      </c>
      <c r="E1871">
        <v>47</v>
      </c>
      <c r="F1871" t="str">
        <f t="shared" si="29"/>
        <v>25-48 Months</v>
      </c>
      <c r="G1871" t="s">
        <v>17</v>
      </c>
      <c r="H1871" t="s">
        <v>18</v>
      </c>
      <c r="I1871" t="s">
        <v>27</v>
      </c>
      <c r="J1871" t="s">
        <v>20</v>
      </c>
      <c r="K1871" t="s">
        <v>16</v>
      </c>
      <c r="L1871">
        <v>8</v>
      </c>
      <c r="M1871" s="7">
        <v>95.96</v>
      </c>
      <c r="N1871" s="7">
        <v>4653.95</v>
      </c>
      <c r="O1871" t="s">
        <v>20</v>
      </c>
    </row>
    <row r="1872" spans="1:15" x14ac:dyDescent="0.3">
      <c r="A1872" t="s">
        <v>1897</v>
      </c>
      <c r="B1872" t="s">
        <v>15</v>
      </c>
      <c r="C1872">
        <v>40</v>
      </c>
      <c r="D1872" t="s">
        <v>20</v>
      </c>
      <c r="E1872">
        <v>34</v>
      </c>
      <c r="F1872" t="str">
        <f t="shared" si="29"/>
        <v>25-48 Months</v>
      </c>
      <c r="G1872" t="s">
        <v>17</v>
      </c>
      <c r="H1872" t="s">
        <v>20</v>
      </c>
      <c r="I1872" t="s">
        <v>19</v>
      </c>
      <c r="J1872" t="s">
        <v>20</v>
      </c>
      <c r="K1872" t="s">
        <v>16</v>
      </c>
      <c r="L1872">
        <v>4</v>
      </c>
      <c r="M1872" s="7">
        <v>46.21</v>
      </c>
      <c r="N1872" s="7">
        <v>1643.72</v>
      </c>
      <c r="O1872" t="s">
        <v>20</v>
      </c>
    </row>
    <row r="1873" spans="1:15" x14ac:dyDescent="0.3">
      <c r="A1873" t="s">
        <v>1898</v>
      </c>
      <c r="B1873" t="s">
        <v>15</v>
      </c>
      <c r="C1873">
        <v>43</v>
      </c>
      <c r="D1873" t="s">
        <v>20</v>
      </c>
      <c r="E1873">
        <v>50</v>
      </c>
      <c r="F1873" t="str">
        <f t="shared" si="29"/>
        <v>49+ Months</v>
      </c>
      <c r="G1873" t="s">
        <v>17</v>
      </c>
      <c r="H1873" t="s">
        <v>36</v>
      </c>
      <c r="I1873" t="s">
        <v>30</v>
      </c>
      <c r="J1873" t="s">
        <v>16</v>
      </c>
      <c r="K1873" t="s">
        <v>20</v>
      </c>
      <c r="L1873">
        <v>5</v>
      </c>
      <c r="M1873" s="7">
        <v>58.04</v>
      </c>
      <c r="N1873" s="7">
        <v>2936.87</v>
      </c>
      <c r="O1873" t="s">
        <v>20</v>
      </c>
    </row>
    <row r="1874" spans="1:15" x14ac:dyDescent="0.3">
      <c r="A1874" t="s">
        <v>1899</v>
      </c>
      <c r="B1874" t="s">
        <v>15</v>
      </c>
      <c r="C1874">
        <v>54</v>
      </c>
      <c r="D1874" t="s">
        <v>20</v>
      </c>
      <c r="E1874">
        <v>12</v>
      </c>
      <c r="F1874" t="str">
        <f t="shared" si="29"/>
        <v>7-12 Months</v>
      </c>
      <c r="G1874" t="s">
        <v>17</v>
      </c>
      <c r="H1874" t="s">
        <v>36</v>
      </c>
      <c r="I1874" t="s">
        <v>19</v>
      </c>
      <c r="J1874" t="s">
        <v>20</v>
      </c>
      <c r="K1874" t="s">
        <v>16</v>
      </c>
      <c r="L1874">
        <v>5</v>
      </c>
      <c r="M1874" s="7">
        <v>70.260000000000005</v>
      </c>
      <c r="N1874" s="7">
        <v>892.06</v>
      </c>
      <c r="O1874" t="s">
        <v>20</v>
      </c>
    </row>
    <row r="1875" spans="1:15" x14ac:dyDescent="0.3">
      <c r="A1875" t="s">
        <v>1900</v>
      </c>
      <c r="B1875" t="s">
        <v>22</v>
      </c>
      <c r="C1875">
        <v>41</v>
      </c>
      <c r="D1875" t="s">
        <v>20</v>
      </c>
      <c r="E1875">
        <v>4</v>
      </c>
      <c r="F1875" t="str">
        <f t="shared" si="29"/>
        <v>0-6 Months</v>
      </c>
      <c r="G1875" t="s">
        <v>17</v>
      </c>
      <c r="H1875" t="s">
        <v>36</v>
      </c>
      <c r="I1875" t="s">
        <v>30</v>
      </c>
      <c r="J1875" t="s">
        <v>20</v>
      </c>
      <c r="K1875" t="s">
        <v>20</v>
      </c>
      <c r="L1875">
        <v>6</v>
      </c>
      <c r="M1875" s="7">
        <v>59.79</v>
      </c>
      <c r="N1875" s="7">
        <v>241.08</v>
      </c>
      <c r="O1875" t="s">
        <v>16</v>
      </c>
    </row>
    <row r="1876" spans="1:15" x14ac:dyDescent="0.3">
      <c r="A1876" t="s">
        <v>1901</v>
      </c>
      <c r="B1876" t="s">
        <v>22</v>
      </c>
      <c r="C1876">
        <v>66</v>
      </c>
      <c r="D1876" t="s">
        <v>16</v>
      </c>
      <c r="E1876">
        <v>48</v>
      </c>
      <c r="F1876" t="str">
        <f t="shared" si="29"/>
        <v>25-48 Months</v>
      </c>
      <c r="G1876" t="s">
        <v>17</v>
      </c>
      <c r="H1876" t="s">
        <v>36</v>
      </c>
      <c r="I1876" t="s">
        <v>19</v>
      </c>
      <c r="J1876" t="s">
        <v>20</v>
      </c>
      <c r="K1876" t="s">
        <v>16</v>
      </c>
      <c r="L1876">
        <v>2</v>
      </c>
      <c r="M1876" s="7">
        <v>44.61</v>
      </c>
      <c r="N1876" s="7">
        <v>2048.5500000000002</v>
      </c>
      <c r="O1876" t="s">
        <v>20</v>
      </c>
    </row>
    <row r="1877" spans="1:15" x14ac:dyDescent="0.3">
      <c r="A1877" t="s">
        <v>1902</v>
      </c>
      <c r="B1877" t="s">
        <v>22</v>
      </c>
      <c r="C1877">
        <v>36</v>
      </c>
      <c r="D1877" t="s">
        <v>20</v>
      </c>
      <c r="E1877">
        <v>55</v>
      </c>
      <c r="F1877" t="str">
        <f t="shared" si="29"/>
        <v>49+ Months</v>
      </c>
      <c r="G1877" t="s">
        <v>17</v>
      </c>
      <c r="H1877" t="s">
        <v>18</v>
      </c>
      <c r="I1877" t="s">
        <v>27</v>
      </c>
      <c r="J1877" t="s">
        <v>20</v>
      </c>
      <c r="K1877" t="s">
        <v>20</v>
      </c>
      <c r="L1877">
        <v>4</v>
      </c>
      <c r="M1877" s="7">
        <v>83.05</v>
      </c>
      <c r="N1877" s="7">
        <v>4598.2299999999996</v>
      </c>
      <c r="O1877" t="s">
        <v>20</v>
      </c>
    </row>
    <row r="1878" spans="1:15" x14ac:dyDescent="0.3">
      <c r="A1878" t="s">
        <v>1903</v>
      </c>
      <c r="B1878" t="s">
        <v>15</v>
      </c>
      <c r="C1878">
        <v>68</v>
      </c>
      <c r="D1878" t="s">
        <v>16</v>
      </c>
      <c r="E1878">
        <v>1</v>
      </c>
      <c r="F1878" t="str">
        <f t="shared" si="29"/>
        <v>0-6 Months</v>
      </c>
      <c r="G1878" t="s">
        <v>17</v>
      </c>
      <c r="H1878" t="s">
        <v>36</v>
      </c>
      <c r="I1878" t="s">
        <v>19</v>
      </c>
      <c r="J1878" t="s">
        <v>20</v>
      </c>
      <c r="K1878" t="s">
        <v>20</v>
      </c>
      <c r="L1878">
        <v>4</v>
      </c>
      <c r="M1878" s="7">
        <v>66.349999999999994</v>
      </c>
      <c r="N1878" s="7">
        <v>68.61</v>
      </c>
      <c r="O1878" t="s">
        <v>16</v>
      </c>
    </row>
    <row r="1879" spans="1:15" x14ac:dyDescent="0.3">
      <c r="A1879" t="s">
        <v>1904</v>
      </c>
      <c r="B1879" t="s">
        <v>22</v>
      </c>
      <c r="C1879">
        <v>42</v>
      </c>
      <c r="D1879" t="s">
        <v>20</v>
      </c>
      <c r="E1879">
        <v>66</v>
      </c>
      <c r="F1879" t="str">
        <f t="shared" si="29"/>
        <v>49+ Months</v>
      </c>
      <c r="G1879" t="s">
        <v>17</v>
      </c>
      <c r="H1879" t="s">
        <v>18</v>
      </c>
      <c r="I1879" t="s">
        <v>19</v>
      </c>
      <c r="J1879" t="s">
        <v>20</v>
      </c>
      <c r="K1879" t="s">
        <v>20</v>
      </c>
      <c r="L1879">
        <v>4</v>
      </c>
      <c r="M1879" s="7">
        <v>80.989999999999995</v>
      </c>
      <c r="N1879" s="7">
        <v>5476.69</v>
      </c>
      <c r="O1879" t="s">
        <v>20</v>
      </c>
    </row>
    <row r="1880" spans="1:15" x14ac:dyDescent="0.3">
      <c r="A1880" t="s">
        <v>1905</v>
      </c>
      <c r="B1880" t="s">
        <v>22</v>
      </c>
      <c r="C1880">
        <v>38</v>
      </c>
      <c r="D1880" t="s">
        <v>20</v>
      </c>
      <c r="E1880">
        <v>30</v>
      </c>
      <c r="F1880" t="str">
        <f t="shared" si="29"/>
        <v>25-48 Months</v>
      </c>
      <c r="G1880" t="s">
        <v>17</v>
      </c>
      <c r="H1880" t="s">
        <v>20</v>
      </c>
      <c r="I1880" t="s">
        <v>19</v>
      </c>
      <c r="J1880" t="s">
        <v>20</v>
      </c>
      <c r="K1880" t="s">
        <v>20</v>
      </c>
      <c r="L1880">
        <v>3</v>
      </c>
      <c r="M1880" s="7">
        <v>47.45</v>
      </c>
      <c r="N1880" s="7">
        <v>1364.97</v>
      </c>
      <c r="O1880" t="s">
        <v>20</v>
      </c>
    </row>
    <row r="1881" spans="1:15" x14ac:dyDescent="0.3">
      <c r="A1881" t="s">
        <v>1906</v>
      </c>
      <c r="B1881" t="s">
        <v>15</v>
      </c>
      <c r="C1881">
        <v>29</v>
      </c>
      <c r="D1881" t="s">
        <v>20</v>
      </c>
      <c r="E1881">
        <v>3</v>
      </c>
      <c r="F1881" t="str">
        <f t="shared" si="29"/>
        <v>0-6 Months</v>
      </c>
      <c r="G1881" t="s">
        <v>17</v>
      </c>
      <c r="H1881" t="s">
        <v>20</v>
      </c>
      <c r="I1881" t="s">
        <v>27</v>
      </c>
      <c r="J1881" t="s">
        <v>20</v>
      </c>
      <c r="K1881" t="s">
        <v>20</v>
      </c>
      <c r="L1881">
        <v>6</v>
      </c>
      <c r="M1881" s="7">
        <v>43.16</v>
      </c>
      <c r="N1881" s="7">
        <v>119.97</v>
      </c>
      <c r="O1881" t="s">
        <v>20</v>
      </c>
    </row>
    <row r="1882" spans="1:15" x14ac:dyDescent="0.3">
      <c r="A1882" t="s">
        <v>1907</v>
      </c>
      <c r="B1882" t="s">
        <v>22</v>
      </c>
      <c r="C1882">
        <v>74</v>
      </c>
      <c r="D1882" t="s">
        <v>16</v>
      </c>
      <c r="E1882">
        <v>21</v>
      </c>
      <c r="F1882" t="str">
        <f t="shared" si="29"/>
        <v>13-24 Months</v>
      </c>
      <c r="G1882" t="s">
        <v>17</v>
      </c>
      <c r="H1882" t="s">
        <v>18</v>
      </c>
      <c r="I1882" t="s">
        <v>30</v>
      </c>
      <c r="J1882" t="s">
        <v>16</v>
      </c>
      <c r="K1882" t="s">
        <v>20</v>
      </c>
      <c r="L1882">
        <v>4</v>
      </c>
      <c r="M1882" s="7">
        <v>70.84</v>
      </c>
      <c r="N1882" s="7">
        <v>1428.72</v>
      </c>
      <c r="O1882" t="s">
        <v>20</v>
      </c>
    </row>
    <row r="1883" spans="1:15" x14ac:dyDescent="0.3">
      <c r="A1883" t="s">
        <v>1908</v>
      </c>
      <c r="B1883" t="s">
        <v>22</v>
      </c>
      <c r="C1883">
        <v>58</v>
      </c>
      <c r="D1883" t="s">
        <v>20</v>
      </c>
      <c r="E1883">
        <v>49</v>
      </c>
      <c r="F1883" t="str">
        <f t="shared" si="29"/>
        <v>49+ Months</v>
      </c>
      <c r="G1883" t="s">
        <v>17</v>
      </c>
      <c r="H1883" t="s">
        <v>18</v>
      </c>
      <c r="I1883" t="s">
        <v>19</v>
      </c>
      <c r="J1883" t="s">
        <v>16</v>
      </c>
      <c r="K1883" t="s">
        <v>20</v>
      </c>
      <c r="L1883">
        <v>4</v>
      </c>
      <c r="M1883" s="7">
        <v>84.87</v>
      </c>
      <c r="N1883" s="7">
        <v>4480.7</v>
      </c>
      <c r="O1883" t="s">
        <v>20</v>
      </c>
    </row>
    <row r="1884" spans="1:15" x14ac:dyDescent="0.3">
      <c r="A1884" t="s">
        <v>1909</v>
      </c>
      <c r="B1884" t="s">
        <v>15</v>
      </c>
      <c r="C1884">
        <v>50</v>
      </c>
      <c r="D1884" t="s">
        <v>20</v>
      </c>
      <c r="E1884">
        <v>62</v>
      </c>
      <c r="F1884" t="str">
        <f t="shared" si="29"/>
        <v>49+ Months</v>
      </c>
      <c r="G1884" t="s">
        <v>17</v>
      </c>
      <c r="H1884" t="s">
        <v>18</v>
      </c>
      <c r="I1884" t="s">
        <v>30</v>
      </c>
      <c r="J1884" t="s">
        <v>20</v>
      </c>
      <c r="K1884" t="s">
        <v>20</v>
      </c>
      <c r="L1884">
        <v>4</v>
      </c>
      <c r="M1884" s="7">
        <v>79.86</v>
      </c>
      <c r="N1884" s="7">
        <v>4701.3500000000004</v>
      </c>
      <c r="O1884" t="s">
        <v>20</v>
      </c>
    </row>
    <row r="1885" spans="1:15" x14ac:dyDescent="0.3">
      <c r="A1885" t="s">
        <v>1910</v>
      </c>
      <c r="B1885" t="s">
        <v>15</v>
      </c>
      <c r="C1885">
        <v>67</v>
      </c>
      <c r="D1885" t="s">
        <v>16</v>
      </c>
      <c r="E1885">
        <v>38</v>
      </c>
      <c r="F1885" t="str">
        <f t="shared" si="29"/>
        <v>25-48 Months</v>
      </c>
      <c r="G1885" t="s">
        <v>23</v>
      </c>
      <c r="H1885" t="s">
        <v>18</v>
      </c>
      <c r="I1885" t="s">
        <v>30</v>
      </c>
      <c r="J1885" t="s">
        <v>16</v>
      </c>
      <c r="K1885" t="s">
        <v>20</v>
      </c>
      <c r="L1885">
        <v>6</v>
      </c>
      <c r="M1885" s="7">
        <v>92.64</v>
      </c>
      <c r="N1885" s="7">
        <v>3500.25</v>
      </c>
      <c r="O1885" t="s">
        <v>20</v>
      </c>
    </row>
    <row r="1886" spans="1:15" x14ac:dyDescent="0.3">
      <c r="A1886" t="s">
        <v>1911</v>
      </c>
      <c r="B1886" t="s">
        <v>15</v>
      </c>
      <c r="C1886">
        <v>70</v>
      </c>
      <c r="D1886" t="s">
        <v>16</v>
      </c>
      <c r="E1886">
        <v>15</v>
      </c>
      <c r="F1886" t="str">
        <f t="shared" si="29"/>
        <v>13-24 Months</v>
      </c>
      <c r="G1886" t="s">
        <v>17</v>
      </c>
      <c r="H1886" t="s">
        <v>20</v>
      </c>
      <c r="I1886" t="s">
        <v>27</v>
      </c>
      <c r="J1886" t="s">
        <v>20</v>
      </c>
      <c r="K1886" t="s">
        <v>16</v>
      </c>
      <c r="L1886">
        <v>4</v>
      </c>
      <c r="M1886" s="7">
        <v>33.799999999999997</v>
      </c>
      <c r="N1886" s="7">
        <v>518.22</v>
      </c>
      <c r="O1886" t="s">
        <v>20</v>
      </c>
    </row>
    <row r="1887" spans="1:15" x14ac:dyDescent="0.3">
      <c r="A1887" t="s">
        <v>1912</v>
      </c>
      <c r="B1887" t="s">
        <v>22</v>
      </c>
      <c r="C1887">
        <v>21</v>
      </c>
      <c r="D1887" t="s">
        <v>20</v>
      </c>
      <c r="E1887">
        <v>52</v>
      </c>
      <c r="F1887" t="str">
        <f t="shared" si="29"/>
        <v>49+ Months</v>
      </c>
      <c r="G1887" t="s">
        <v>17</v>
      </c>
      <c r="H1887" t="s">
        <v>18</v>
      </c>
      <c r="I1887" t="s">
        <v>27</v>
      </c>
      <c r="J1887" t="s">
        <v>20</v>
      </c>
      <c r="K1887" t="s">
        <v>16</v>
      </c>
      <c r="L1887">
        <v>4</v>
      </c>
      <c r="M1887" s="7">
        <v>75.900000000000006</v>
      </c>
      <c r="N1887" s="7">
        <v>4186.43</v>
      </c>
      <c r="O1887" t="s">
        <v>16</v>
      </c>
    </row>
    <row r="1888" spans="1:15" x14ac:dyDescent="0.3">
      <c r="A1888" t="s">
        <v>1913</v>
      </c>
      <c r="B1888" t="s">
        <v>22</v>
      </c>
      <c r="C1888">
        <v>59</v>
      </c>
      <c r="D1888" t="s">
        <v>20</v>
      </c>
      <c r="E1888">
        <v>46</v>
      </c>
      <c r="F1888" t="str">
        <f t="shared" si="29"/>
        <v>25-48 Months</v>
      </c>
      <c r="G1888" t="s">
        <v>35</v>
      </c>
      <c r="H1888" t="s">
        <v>18</v>
      </c>
      <c r="I1888" t="s">
        <v>30</v>
      </c>
      <c r="J1888" t="s">
        <v>16</v>
      </c>
      <c r="K1888" t="s">
        <v>20</v>
      </c>
      <c r="L1888">
        <v>6</v>
      </c>
      <c r="M1888" s="7">
        <v>99.2</v>
      </c>
      <c r="N1888" s="7">
        <v>4753.22</v>
      </c>
      <c r="O1888" t="s">
        <v>20</v>
      </c>
    </row>
    <row r="1889" spans="1:15" x14ac:dyDescent="0.3">
      <c r="A1889" t="s">
        <v>1914</v>
      </c>
      <c r="B1889" t="s">
        <v>22</v>
      </c>
      <c r="C1889">
        <v>74</v>
      </c>
      <c r="D1889" t="s">
        <v>16</v>
      </c>
      <c r="E1889">
        <v>25</v>
      </c>
      <c r="F1889" t="str">
        <f t="shared" si="29"/>
        <v>25-48 Months</v>
      </c>
      <c r="G1889" t="s">
        <v>17</v>
      </c>
      <c r="H1889" t="s">
        <v>20</v>
      </c>
      <c r="I1889" t="s">
        <v>19</v>
      </c>
      <c r="J1889" t="s">
        <v>20</v>
      </c>
      <c r="K1889" t="s">
        <v>20</v>
      </c>
      <c r="L1889">
        <v>6</v>
      </c>
      <c r="M1889" s="7">
        <v>47.59</v>
      </c>
      <c r="N1889" s="7">
        <v>1267.5999999999999</v>
      </c>
      <c r="O1889" t="s">
        <v>16</v>
      </c>
    </row>
    <row r="1890" spans="1:15" x14ac:dyDescent="0.3">
      <c r="A1890" t="s">
        <v>1915</v>
      </c>
      <c r="B1890" t="s">
        <v>15</v>
      </c>
      <c r="C1890">
        <v>24</v>
      </c>
      <c r="D1890" t="s">
        <v>20</v>
      </c>
      <c r="E1890">
        <v>21</v>
      </c>
      <c r="F1890" t="str">
        <f t="shared" si="29"/>
        <v>13-24 Months</v>
      </c>
      <c r="G1890" t="s">
        <v>17</v>
      </c>
      <c r="H1890" t="s">
        <v>20</v>
      </c>
      <c r="I1890" t="s">
        <v>27</v>
      </c>
      <c r="J1890" t="s">
        <v>20</v>
      </c>
      <c r="K1890" t="s">
        <v>20</v>
      </c>
      <c r="L1890">
        <v>1</v>
      </c>
      <c r="M1890" s="7">
        <v>38.99</v>
      </c>
      <c r="N1890" s="7">
        <v>832.46</v>
      </c>
      <c r="O1890" t="s">
        <v>20</v>
      </c>
    </row>
    <row r="1891" spans="1:15" x14ac:dyDescent="0.3">
      <c r="A1891" t="s">
        <v>1916</v>
      </c>
      <c r="B1891" t="s">
        <v>15</v>
      </c>
      <c r="C1891">
        <v>39</v>
      </c>
      <c r="D1891" t="s">
        <v>20</v>
      </c>
      <c r="E1891">
        <v>5</v>
      </c>
      <c r="F1891" t="str">
        <f t="shared" si="29"/>
        <v>0-6 Months</v>
      </c>
      <c r="G1891" t="s">
        <v>35</v>
      </c>
      <c r="H1891" t="s">
        <v>36</v>
      </c>
      <c r="I1891" t="s">
        <v>30</v>
      </c>
      <c r="J1891" t="s">
        <v>20</v>
      </c>
      <c r="K1891" t="s">
        <v>16</v>
      </c>
      <c r="L1891">
        <v>4</v>
      </c>
      <c r="M1891" s="7">
        <v>64.44</v>
      </c>
      <c r="N1891" s="7">
        <v>341.03</v>
      </c>
      <c r="O1891" t="s">
        <v>20</v>
      </c>
    </row>
    <row r="1892" spans="1:15" x14ac:dyDescent="0.3">
      <c r="A1892" t="s">
        <v>1917</v>
      </c>
      <c r="B1892" t="s">
        <v>22</v>
      </c>
      <c r="C1892">
        <v>72</v>
      </c>
      <c r="D1892" t="s">
        <v>16</v>
      </c>
      <c r="E1892">
        <v>70</v>
      </c>
      <c r="F1892" t="str">
        <f t="shared" si="29"/>
        <v>49+ Months</v>
      </c>
      <c r="G1892" t="s">
        <v>35</v>
      </c>
      <c r="H1892" t="s">
        <v>36</v>
      </c>
      <c r="I1892" t="s">
        <v>27</v>
      </c>
      <c r="J1892" t="s">
        <v>20</v>
      </c>
      <c r="K1892" t="s">
        <v>16</v>
      </c>
      <c r="L1892">
        <v>5</v>
      </c>
      <c r="M1892" s="7">
        <v>61</v>
      </c>
      <c r="N1892" s="7">
        <v>4108.66</v>
      </c>
      <c r="O1892" t="s">
        <v>20</v>
      </c>
    </row>
    <row r="1893" spans="1:15" x14ac:dyDescent="0.3">
      <c r="A1893" t="s">
        <v>1918</v>
      </c>
      <c r="B1893" t="s">
        <v>22</v>
      </c>
      <c r="C1893">
        <v>50</v>
      </c>
      <c r="D1893" t="s">
        <v>20</v>
      </c>
      <c r="E1893">
        <v>47</v>
      </c>
      <c r="F1893" t="str">
        <f t="shared" si="29"/>
        <v>25-48 Months</v>
      </c>
      <c r="G1893" t="s">
        <v>17</v>
      </c>
      <c r="H1893" t="s">
        <v>36</v>
      </c>
      <c r="I1893" t="s">
        <v>24</v>
      </c>
      <c r="J1893" t="s">
        <v>20</v>
      </c>
      <c r="K1893" t="s">
        <v>20</v>
      </c>
      <c r="L1893">
        <v>4</v>
      </c>
      <c r="M1893" s="7">
        <v>68.88</v>
      </c>
      <c r="N1893" s="7">
        <v>3201.39</v>
      </c>
      <c r="O1893" t="s">
        <v>20</v>
      </c>
    </row>
    <row r="1894" spans="1:15" x14ac:dyDescent="0.3">
      <c r="A1894" t="s">
        <v>1919</v>
      </c>
      <c r="B1894" t="s">
        <v>15</v>
      </c>
      <c r="C1894">
        <v>34</v>
      </c>
      <c r="D1894" t="s">
        <v>20</v>
      </c>
      <c r="E1894">
        <v>68</v>
      </c>
      <c r="F1894" t="str">
        <f t="shared" si="29"/>
        <v>49+ Months</v>
      </c>
      <c r="G1894" t="s">
        <v>17</v>
      </c>
      <c r="H1894" t="s">
        <v>20</v>
      </c>
      <c r="I1894" t="s">
        <v>24</v>
      </c>
      <c r="J1894" t="s">
        <v>20</v>
      </c>
      <c r="K1894" t="s">
        <v>16</v>
      </c>
      <c r="L1894">
        <v>4</v>
      </c>
      <c r="M1894" s="7">
        <v>43.28</v>
      </c>
      <c r="N1894" s="7">
        <v>3104.92</v>
      </c>
      <c r="O1894" t="s">
        <v>20</v>
      </c>
    </row>
    <row r="1895" spans="1:15" x14ac:dyDescent="0.3">
      <c r="A1895" t="s">
        <v>1920</v>
      </c>
      <c r="B1895" t="s">
        <v>15</v>
      </c>
      <c r="C1895">
        <v>41</v>
      </c>
      <c r="D1895" t="s">
        <v>20</v>
      </c>
      <c r="E1895">
        <v>18</v>
      </c>
      <c r="F1895" t="str">
        <f t="shared" si="29"/>
        <v>13-24 Months</v>
      </c>
      <c r="G1895" t="s">
        <v>17</v>
      </c>
      <c r="H1895" t="s">
        <v>36</v>
      </c>
      <c r="I1895" t="s">
        <v>24</v>
      </c>
      <c r="J1895" t="s">
        <v>16</v>
      </c>
      <c r="K1895" t="s">
        <v>16</v>
      </c>
      <c r="L1895">
        <v>4</v>
      </c>
      <c r="M1895" s="7">
        <v>59.09</v>
      </c>
      <c r="N1895" s="7">
        <v>1033.93</v>
      </c>
      <c r="O1895" t="s">
        <v>20</v>
      </c>
    </row>
    <row r="1896" spans="1:15" x14ac:dyDescent="0.3">
      <c r="A1896" t="s">
        <v>1921</v>
      </c>
      <c r="B1896" t="s">
        <v>15</v>
      </c>
      <c r="C1896">
        <v>51</v>
      </c>
      <c r="D1896" t="s">
        <v>20</v>
      </c>
      <c r="E1896">
        <v>21</v>
      </c>
      <c r="F1896" t="str">
        <f t="shared" si="29"/>
        <v>13-24 Months</v>
      </c>
      <c r="G1896" t="s">
        <v>17</v>
      </c>
      <c r="H1896" t="s">
        <v>36</v>
      </c>
      <c r="I1896" t="s">
        <v>30</v>
      </c>
      <c r="J1896" t="s">
        <v>20</v>
      </c>
      <c r="K1896" t="s">
        <v>20</v>
      </c>
      <c r="L1896">
        <v>3</v>
      </c>
      <c r="M1896" s="7">
        <v>54.44</v>
      </c>
      <c r="N1896" s="7">
        <v>1211.1400000000001</v>
      </c>
      <c r="O1896" t="s">
        <v>20</v>
      </c>
    </row>
    <row r="1897" spans="1:15" x14ac:dyDescent="0.3">
      <c r="A1897" t="s">
        <v>1922</v>
      </c>
      <c r="B1897" t="s">
        <v>15</v>
      </c>
      <c r="C1897">
        <v>45</v>
      </c>
      <c r="D1897" t="s">
        <v>20</v>
      </c>
      <c r="E1897">
        <v>23</v>
      </c>
      <c r="F1897" t="str">
        <f t="shared" si="29"/>
        <v>13-24 Months</v>
      </c>
      <c r="G1897" t="s">
        <v>23</v>
      </c>
      <c r="H1897" t="s">
        <v>18</v>
      </c>
      <c r="I1897" t="s">
        <v>27</v>
      </c>
      <c r="J1897" t="s">
        <v>20</v>
      </c>
      <c r="K1897" t="s">
        <v>20</v>
      </c>
      <c r="L1897">
        <v>2</v>
      </c>
      <c r="M1897" s="7">
        <v>74.069999999999993</v>
      </c>
      <c r="N1897" s="7">
        <v>1666.3</v>
      </c>
      <c r="O1897" t="s">
        <v>16</v>
      </c>
    </row>
    <row r="1898" spans="1:15" x14ac:dyDescent="0.3">
      <c r="A1898" t="s">
        <v>1923</v>
      </c>
      <c r="B1898" t="s">
        <v>22</v>
      </c>
      <c r="C1898">
        <v>75</v>
      </c>
      <c r="D1898" t="s">
        <v>16</v>
      </c>
      <c r="E1898">
        <v>64</v>
      </c>
      <c r="F1898" t="str">
        <f t="shared" si="29"/>
        <v>49+ Months</v>
      </c>
      <c r="G1898" t="s">
        <v>17</v>
      </c>
      <c r="H1898" t="s">
        <v>18</v>
      </c>
      <c r="I1898" t="s">
        <v>24</v>
      </c>
      <c r="J1898" t="s">
        <v>16</v>
      </c>
      <c r="K1898" t="s">
        <v>20</v>
      </c>
      <c r="L1898">
        <v>5</v>
      </c>
      <c r="M1898" s="7">
        <v>75.099999999999994</v>
      </c>
      <c r="N1898" s="7">
        <v>4701.3500000000004</v>
      </c>
      <c r="O1898" t="s">
        <v>20</v>
      </c>
    </row>
    <row r="1899" spans="1:15" x14ac:dyDescent="0.3">
      <c r="A1899" t="s">
        <v>1924</v>
      </c>
      <c r="B1899" t="s">
        <v>15</v>
      </c>
      <c r="C1899">
        <v>60</v>
      </c>
      <c r="D1899" t="s">
        <v>16</v>
      </c>
      <c r="E1899">
        <v>67</v>
      </c>
      <c r="F1899" t="str">
        <f t="shared" si="29"/>
        <v>49+ Months</v>
      </c>
      <c r="G1899" t="s">
        <v>17</v>
      </c>
      <c r="H1899" t="s">
        <v>36</v>
      </c>
      <c r="I1899" t="s">
        <v>30</v>
      </c>
      <c r="J1899" t="s">
        <v>20</v>
      </c>
      <c r="K1899" t="s">
        <v>20</v>
      </c>
      <c r="L1899">
        <v>3</v>
      </c>
      <c r="M1899" s="7">
        <v>61.29</v>
      </c>
      <c r="N1899" s="7">
        <v>3980.96</v>
      </c>
      <c r="O1899" t="s">
        <v>20</v>
      </c>
    </row>
    <row r="1900" spans="1:15" x14ac:dyDescent="0.3">
      <c r="A1900" t="s">
        <v>1925</v>
      </c>
      <c r="B1900" t="s">
        <v>22</v>
      </c>
      <c r="C1900">
        <v>58</v>
      </c>
      <c r="D1900" t="s">
        <v>20</v>
      </c>
      <c r="E1900">
        <v>40</v>
      </c>
      <c r="F1900" t="str">
        <f t="shared" si="29"/>
        <v>25-48 Months</v>
      </c>
      <c r="G1900" t="s">
        <v>35</v>
      </c>
      <c r="H1900" t="s">
        <v>20</v>
      </c>
      <c r="I1900" t="s">
        <v>30</v>
      </c>
      <c r="J1900" t="s">
        <v>20</v>
      </c>
      <c r="K1900" t="s">
        <v>16</v>
      </c>
      <c r="L1900">
        <v>4</v>
      </c>
      <c r="M1900" s="7">
        <v>44.09</v>
      </c>
      <c r="N1900" s="7">
        <v>1776.85</v>
      </c>
      <c r="O1900" t="s">
        <v>20</v>
      </c>
    </row>
    <row r="1901" spans="1:15" x14ac:dyDescent="0.3">
      <c r="A1901" t="s">
        <v>1926</v>
      </c>
      <c r="B1901" t="s">
        <v>22</v>
      </c>
      <c r="C1901">
        <v>56</v>
      </c>
      <c r="D1901" t="s">
        <v>20</v>
      </c>
      <c r="E1901">
        <v>10</v>
      </c>
      <c r="F1901" t="str">
        <f t="shared" si="29"/>
        <v>7-12 Months</v>
      </c>
      <c r="G1901" t="s">
        <v>35</v>
      </c>
      <c r="H1901" t="s">
        <v>20</v>
      </c>
      <c r="I1901" t="s">
        <v>30</v>
      </c>
      <c r="J1901" t="s">
        <v>20</v>
      </c>
      <c r="K1901" t="s">
        <v>20</v>
      </c>
      <c r="L1901">
        <v>2</v>
      </c>
      <c r="M1901" s="7">
        <v>29</v>
      </c>
      <c r="N1901" s="7">
        <v>272.79000000000002</v>
      </c>
      <c r="O1901" t="s">
        <v>20</v>
      </c>
    </row>
    <row r="1902" spans="1:15" x14ac:dyDescent="0.3">
      <c r="A1902" t="s">
        <v>1927</v>
      </c>
      <c r="B1902" t="s">
        <v>22</v>
      </c>
      <c r="C1902">
        <v>39</v>
      </c>
      <c r="D1902" t="s">
        <v>20</v>
      </c>
      <c r="E1902">
        <v>52</v>
      </c>
      <c r="F1902" t="str">
        <f t="shared" si="29"/>
        <v>49+ Months</v>
      </c>
      <c r="G1902" t="s">
        <v>17</v>
      </c>
      <c r="H1902" t="s">
        <v>20</v>
      </c>
      <c r="I1902" t="s">
        <v>19</v>
      </c>
      <c r="J1902" t="s">
        <v>20</v>
      </c>
      <c r="K1902" t="s">
        <v>16</v>
      </c>
      <c r="L1902">
        <v>5</v>
      </c>
      <c r="M1902" s="7">
        <v>36.119999999999997</v>
      </c>
      <c r="N1902" s="7">
        <v>1738.98</v>
      </c>
      <c r="O1902" t="s">
        <v>20</v>
      </c>
    </row>
    <row r="1903" spans="1:15" x14ac:dyDescent="0.3">
      <c r="A1903" t="s">
        <v>1928</v>
      </c>
      <c r="B1903" t="s">
        <v>15</v>
      </c>
      <c r="C1903">
        <v>66</v>
      </c>
      <c r="D1903" t="s">
        <v>16</v>
      </c>
      <c r="E1903">
        <v>72</v>
      </c>
      <c r="F1903" t="str">
        <f t="shared" si="29"/>
        <v>49+ Months</v>
      </c>
      <c r="G1903" t="s">
        <v>23</v>
      </c>
      <c r="H1903" t="s">
        <v>36</v>
      </c>
      <c r="I1903" t="s">
        <v>27</v>
      </c>
      <c r="J1903" t="s">
        <v>20</v>
      </c>
      <c r="K1903" t="s">
        <v>20</v>
      </c>
      <c r="L1903">
        <v>6</v>
      </c>
      <c r="M1903" s="7">
        <v>65.25</v>
      </c>
      <c r="N1903" s="7">
        <v>4996.7299999999996</v>
      </c>
      <c r="O1903" t="s">
        <v>20</v>
      </c>
    </row>
    <row r="1904" spans="1:15" x14ac:dyDescent="0.3">
      <c r="A1904" t="s">
        <v>1929</v>
      </c>
      <c r="B1904" t="s">
        <v>15</v>
      </c>
      <c r="C1904">
        <v>34</v>
      </c>
      <c r="D1904" t="s">
        <v>20</v>
      </c>
      <c r="E1904">
        <v>61</v>
      </c>
      <c r="F1904" t="str">
        <f t="shared" si="29"/>
        <v>49+ Months</v>
      </c>
      <c r="G1904" t="s">
        <v>17</v>
      </c>
      <c r="H1904" t="s">
        <v>36</v>
      </c>
      <c r="I1904" t="s">
        <v>24</v>
      </c>
      <c r="J1904" t="s">
        <v>20</v>
      </c>
      <c r="K1904" t="s">
        <v>20</v>
      </c>
      <c r="L1904">
        <v>2</v>
      </c>
      <c r="M1904" s="7">
        <v>52.75</v>
      </c>
      <c r="N1904" s="7">
        <v>3438.58</v>
      </c>
      <c r="O1904" t="s">
        <v>20</v>
      </c>
    </row>
    <row r="1905" spans="1:15" x14ac:dyDescent="0.3">
      <c r="A1905" t="s">
        <v>1930</v>
      </c>
      <c r="B1905" t="s">
        <v>15</v>
      </c>
      <c r="C1905">
        <v>51</v>
      </c>
      <c r="D1905" t="s">
        <v>20</v>
      </c>
      <c r="E1905">
        <v>64</v>
      </c>
      <c r="F1905" t="str">
        <f t="shared" si="29"/>
        <v>49+ Months</v>
      </c>
      <c r="G1905" t="s">
        <v>35</v>
      </c>
      <c r="H1905" t="s">
        <v>20</v>
      </c>
      <c r="I1905" t="s">
        <v>30</v>
      </c>
      <c r="J1905" t="s">
        <v>20</v>
      </c>
      <c r="K1905" t="s">
        <v>16</v>
      </c>
      <c r="L1905">
        <v>4</v>
      </c>
      <c r="M1905" s="7">
        <v>42.09</v>
      </c>
      <c r="N1905" s="7">
        <v>2511.09</v>
      </c>
      <c r="O1905" t="s">
        <v>20</v>
      </c>
    </row>
    <row r="1906" spans="1:15" x14ac:dyDescent="0.3">
      <c r="A1906" t="s">
        <v>1931</v>
      </c>
      <c r="B1906" t="s">
        <v>15</v>
      </c>
      <c r="C1906">
        <v>23</v>
      </c>
      <c r="D1906" t="s">
        <v>20</v>
      </c>
      <c r="E1906">
        <v>5</v>
      </c>
      <c r="F1906" t="str">
        <f t="shared" si="29"/>
        <v>0-6 Months</v>
      </c>
      <c r="G1906" t="s">
        <v>17</v>
      </c>
      <c r="H1906" t="s">
        <v>36</v>
      </c>
      <c r="I1906" t="s">
        <v>24</v>
      </c>
      <c r="J1906" t="s">
        <v>20</v>
      </c>
      <c r="K1906" t="s">
        <v>20</v>
      </c>
      <c r="L1906">
        <v>2</v>
      </c>
      <c r="M1906" s="7">
        <v>52.05</v>
      </c>
      <c r="N1906" s="7">
        <v>262.32</v>
      </c>
      <c r="O1906" t="s">
        <v>16</v>
      </c>
    </row>
    <row r="1907" spans="1:15" x14ac:dyDescent="0.3">
      <c r="A1907" t="s">
        <v>1932</v>
      </c>
      <c r="B1907" t="s">
        <v>22</v>
      </c>
      <c r="C1907">
        <v>63</v>
      </c>
      <c r="D1907" t="s">
        <v>16</v>
      </c>
      <c r="E1907">
        <v>53</v>
      </c>
      <c r="F1907" t="str">
        <f t="shared" si="29"/>
        <v>49+ Months</v>
      </c>
      <c r="G1907" t="s">
        <v>17</v>
      </c>
      <c r="H1907" t="s">
        <v>18</v>
      </c>
      <c r="I1907" t="s">
        <v>19</v>
      </c>
      <c r="J1907" t="s">
        <v>20</v>
      </c>
      <c r="K1907" t="s">
        <v>20</v>
      </c>
      <c r="L1907">
        <v>5</v>
      </c>
      <c r="M1907" s="7">
        <v>87.72</v>
      </c>
      <c r="N1907" s="7">
        <v>4678.68</v>
      </c>
      <c r="O1907" t="s">
        <v>16</v>
      </c>
    </row>
    <row r="1908" spans="1:15" x14ac:dyDescent="0.3">
      <c r="A1908" t="s">
        <v>1933</v>
      </c>
      <c r="B1908" t="s">
        <v>15</v>
      </c>
      <c r="C1908">
        <v>23</v>
      </c>
      <c r="D1908" t="s">
        <v>20</v>
      </c>
      <c r="E1908">
        <v>55</v>
      </c>
      <c r="F1908" t="str">
        <f t="shared" si="29"/>
        <v>49+ Months</v>
      </c>
      <c r="G1908" t="s">
        <v>17</v>
      </c>
      <c r="H1908" t="s">
        <v>36</v>
      </c>
      <c r="I1908" t="s">
        <v>27</v>
      </c>
      <c r="J1908" t="s">
        <v>20</v>
      </c>
      <c r="K1908" t="s">
        <v>20</v>
      </c>
      <c r="L1908">
        <v>6</v>
      </c>
      <c r="M1908" s="7">
        <v>58.95</v>
      </c>
      <c r="N1908" s="7">
        <v>3176.07</v>
      </c>
      <c r="O1908" t="s">
        <v>20</v>
      </c>
    </row>
    <row r="1909" spans="1:15" x14ac:dyDescent="0.3">
      <c r="A1909" t="s">
        <v>1934</v>
      </c>
      <c r="B1909" t="s">
        <v>15</v>
      </c>
      <c r="C1909">
        <v>51</v>
      </c>
      <c r="D1909" t="s">
        <v>20</v>
      </c>
      <c r="E1909">
        <v>37</v>
      </c>
      <c r="F1909" t="str">
        <f t="shared" si="29"/>
        <v>25-48 Months</v>
      </c>
      <c r="G1909" t="s">
        <v>17</v>
      </c>
      <c r="H1909" t="s">
        <v>20</v>
      </c>
      <c r="I1909" t="s">
        <v>24</v>
      </c>
      <c r="J1909" t="s">
        <v>20</v>
      </c>
      <c r="K1909" t="s">
        <v>20</v>
      </c>
      <c r="L1909">
        <v>2</v>
      </c>
      <c r="M1909" s="7">
        <v>32.54</v>
      </c>
      <c r="N1909" s="7">
        <v>1217.25</v>
      </c>
      <c r="O1909" t="s">
        <v>20</v>
      </c>
    </row>
    <row r="1910" spans="1:15" x14ac:dyDescent="0.3">
      <c r="A1910" t="s">
        <v>1935</v>
      </c>
      <c r="B1910" t="s">
        <v>22</v>
      </c>
      <c r="C1910">
        <v>18</v>
      </c>
      <c r="D1910" t="s">
        <v>20</v>
      </c>
      <c r="E1910">
        <v>56</v>
      </c>
      <c r="F1910" t="str">
        <f t="shared" si="29"/>
        <v>49+ Months</v>
      </c>
      <c r="G1910" t="s">
        <v>17</v>
      </c>
      <c r="H1910" t="s">
        <v>18</v>
      </c>
      <c r="I1910" t="s">
        <v>24</v>
      </c>
      <c r="J1910" t="s">
        <v>16</v>
      </c>
      <c r="K1910" t="s">
        <v>16</v>
      </c>
      <c r="L1910">
        <v>4</v>
      </c>
      <c r="M1910" s="7">
        <v>81.08</v>
      </c>
      <c r="N1910" s="7">
        <v>4510.05</v>
      </c>
      <c r="O1910" t="s">
        <v>20</v>
      </c>
    </row>
    <row r="1911" spans="1:15" x14ac:dyDescent="0.3">
      <c r="A1911" t="s">
        <v>1936</v>
      </c>
      <c r="B1911" t="s">
        <v>15</v>
      </c>
      <c r="C1911">
        <v>27</v>
      </c>
      <c r="D1911" t="s">
        <v>20</v>
      </c>
      <c r="E1911">
        <v>59</v>
      </c>
      <c r="F1911" t="str">
        <f t="shared" si="29"/>
        <v>49+ Months</v>
      </c>
      <c r="G1911" t="s">
        <v>23</v>
      </c>
      <c r="H1911" t="s">
        <v>20</v>
      </c>
      <c r="I1911" t="s">
        <v>30</v>
      </c>
      <c r="J1911" t="s">
        <v>16</v>
      </c>
      <c r="K1911" t="s">
        <v>16</v>
      </c>
      <c r="L1911">
        <v>3</v>
      </c>
      <c r="M1911" s="7">
        <v>40.22</v>
      </c>
      <c r="N1911" s="7">
        <v>2369.04</v>
      </c>
      <c r="O1911" t="s">
        <v>20</v>
      </c>
    </row>
    <row r="1912" spans="1:15" x14ac:dyDescent="0.3">
      <c r="A1912" t="s">
        <v>1937</v>
      </c>
      <c r="B1912" t="s">
        <v>22</v>
      </c>
      <c r="C1912">
        <v>38</v>
      </c>
      <c r="D1912" t="s">
        <v>20</v>
      </c>
      <c r="E1912">
        <v>69</v>
      </c>
      <c r="F1912" t="str">
        <f t="shared" si="29"/>
        <v>49+ Months</v>
      </c>
      <c r="G1912" t="s">
        <v>23</v>
      </c>
      <c r="H1912" t="s">
        <v>18</v>
      </c>
      <c r="I1912" t="s">
        <v>30</v>
      </c>
      <c r="J1912" t="s">
        <v>20</v>
      </c>
      <c r="K1912" t="s">
        <v>16</v>
      </c>
      <c r="L1912">
        <v>5</v>
      </c>
      <c r="M1912" s="7">
        <v>89.29</v>
      </c>
      <c r="N1912" s="7">
        <v>6412.71</v>
      </c>
      <c r="O1912" t="s">
        <v>20</v>
      </c>
    </row>
    <row r="1913" spans="1:15" x14ac:dyDescent="0.3">
      <c r="A1913" t="s">
        <v>1938</v>
      </c>
      <c r="B1913" t="s">
        <v>22</v>
      </c>
      <c r="C1913">
        <v>22</v>
      </c>
      <c r="D1913" t="s">
        <v>20</v>
      </c>
      <c r="E1913">
        <v>59</v>
      </c>
      <c r="F1913" t="str">
        <f t="shared" si="29"/>
        <v>49+ Months</v>
      </c>
      <c r="G1913" t="s">
        <v>17</v>
      </c>
      <c r="H1913" t="s">
        <v>36</v>
      </c>
      <c r="I1913" t="s">
        <v>19</v>
      </c>
      <c r="J1913" t="s">
        <v>16</v>
      </c>
      <c r="K1913" t="s">
        <v>16</v>
      </c>
      <c r="L1913">
        <v>5</v>
      </c>
      <c r="M1913" s="7">
        <v>61.58</v>
      </c>
      <c r="N1913" s="7">
        <v>3648.31</v>
      </c>
      <c r="O1913" t="s">
        <v>20</v>
      </c>
    </row>
    <row r="1914" spans="1:15" x14ac:dyDescent="0.3">
      <c r="A1914" t="s">
        <v>1939</v>
      </c>
      <c r="B1914" t="s">
        <v>22</v>
      </c>
      <c r="C1914">
        <v>19</v>
      </c>
      <c r="D1914" t="s">
        <v>20</v>
      </c>
      <c r="E1914">
        <v>2</v>
      </c>
      <c r="F1914" t="str">
        <f t="shared" si="29"/>
        <v>0-6 Months</v>
      </c>
      <c r="G1914" t="s">
        <v>17</v>
      </c>
      <c r="H1914" t="s">
        <v>36</v>
      </c>
      <c r="I1914" t="s">
        <v>24</v>
      </c>
      <c r="J1914" t="s">
        <v>16</v>
      </c>
      <c r="K1914" t="s">
        <v>16</v>
      </c>
      <c r="L1914">
        <v>2</v>
      </c>
      <c r="M1914" s="7">
        <v>51.37</v>
      </c>
      <c r="N1914" s="7">
        <v>99.84</v>
      </c>
      <c r="O1914" t="s">
        <v>20</v>
      </c>
    </row>
    <row r="1915" spans="1:15" x14ac:dyDescent="0.3">
      <c r="A1915" t="s">
        <v>1940</v>
      </c>
      <c r="B1915" t="s">
        <v>22</v>
      </c>
      <c r="C1915">
        <v>39</v>
      </c>
      <c r="D1915" t="s">
        <v>20</v>
      </c>
      <c r="E1915">
        <v>65</v>
      </c>
      <c r="F1915" t="str">
        <f t="shared" si="29"/>
        <v>49+ Months</v>
      </c>
      <c r="G1915" t="s">
        <v>17</v>
      </c>
      <c r="H1915" t="s">
        <v>36</v>
      </c>
      <c r="I1915" t="s">
        <v>24</v>
      </c>
      <c r="J1915" t="s">
        <v>16</v>
      </c>
      <c r="K1915" t="s">
        <v>20</v>
      </c>
      <c r="L1915">
        <v>5</v>
      </c>
      <c r="M1915" s="7">
        <v>57.81</v>
      </c>
      <c r="N1915" s="7">
        <v>3806.62</v>
      </c>
      <c r="O1915" t="s">
        <v>20</v>
      </c>
    </row>
    <row r="1916" spans="1:15" x14ac:dyDescent="0.3">
      <c r="A1916" t="s">
        <v>1941</v>
      </c>
      <c r="B1916" t="s">
        <v>22</v>
      </c>
      <c r="C1916">
        <v>65</v>
      </c>
      <c r="D1916" t="s">
        <v>16</v>
      </c>
      <c r="E1916">
        <v>60</v>
      </c>
      <c r="F1916" t="str">
        <f t="shared" si="29"/>
        <v>49+ Months</v>
      </c>
      <c r="G1916" t="s">
        <v>35</v>
      </c>
      <c r="H1916" t="s">
        <v>18</v>
      </c>
      <c r="I1916" t="s">
        <v>19</v>
      </c>
      <c r="J1916" t="s">
        <v>20</v>
      </c>
      <c r="K1916" t="s">
        <v>16</v>
      </c>
      <c r="L1916">
        <v>4</v>
      </c>
      <c r="M1916" s="7">
        <v>81.72</v>
      </c>
      <c r="N1916" s="7">
        <v>5013.62</v>
      </c>
      <c r="O1916" t="s">
        <v>20</v>
      </c>
    </row>
    <row r="1917" spans="1:15" x14ac:dyDescent="0.3">
      <c r="A1917" t="s">
        <v>1942</v>
      </c>
      <c r="B1917" t="s">
        <v>22</v>
      </c>
      <c r="C1917">
        <v>74</v>
      </c>
      <c r="D1917" t="s">
        <v>16</v>
      </c>
      <c r="E1917">
        <v>51</v>
      </c>
      <c r="F1917" t="str">
        <f t="shared" si="29"/>
        <v>49+ Months</v>
      </c>
      <c r="G1917" t="s">
        <v>35</v>
      </c>
      <c r="H1917" t="s">
        <v>20</v>
      </c>
      <c r="I1917" t="s">
        <v>24</v>
      </c>
      <c r="J1917" t="s">
        <v>16</v>
      </c>
      <c r="K1917" t="s">
        <v>20</v>
      </c>
      <c r="L1917">
        <v>4</v>
      </c>
      <c r="M1917" s="7">
        <v>34.909999999999997</v>
      </c>
      <c r="N1917" s="7">
        <v>1826.65</v>
      </c>
      <c r="O1917" t="s">
        <v>20</v>
      </c>
    </row>
    <row r="1918" spans="1:15" x14ac:dyDescent="0.3">
      <c r="A1918" t="s">
        <v>1943</v>
      </c>
      <c r="B1918" t="s">
        <v>22</v>
      </c>
      <c r="C1918">
        <v>19</v>
      </c>
      <c r="D1918" t="s">
        <v>20</v>
      </c>
      <c r="E1918">
        <v>30</v>
      </c>
      <c r="F1918" t="str">
        <f t="shared" si="29"/>
        <v>25-48 Months</v>
      </c>
      <c r="G1918" t="s">
        <v>35</v>
      </c>
      <c r="H1918" t="s">
        <v>36</v>
      </c>
      <c r="I1918" t="s">
        <v>27</v>
      </c>
      <c r="J1918" t="s">
        <v>20</v>
      </c>
      <c r="K1918" t="s">
        <v>16</v>
      </c>
      <c r="L1918">
        <v>4</v>
      </c>
      <c r="M1918" s="7">
        <v>63.02</v>
      </c>
      <c r="N1918" s="7">
        <v>1926.39</v>
      </c>
      <c r="O1918" t="s">
        <v>20</v>
      </c>
    </row>
    <row r="1919" spans="1:15" x14ac:dyDescent="0.3">
      <c r="A1919" t="s">
        <v>1944</v>
      </c>
      <c r="B1919" t="s">
        <v>22</v>
      </c>
      <c r="C1919">
        <v>27</v>
      </c>
      <c r="D1919" t="s">
        <v>20</v>
      </c>
      <c r="E1919">
        <v>11</v>
      </c>
      <c r="F1919" t="str">
        <f t="shared" si="29"/>
        <v>7-12 Months</v>
      </c>
      <c r="G1919" t="s">
        <v>35</v>
      </c>
      <c r="H1919" t="s">
        <v>18</v>
      </c>
      <c r="I1919" t="s">
        <v>24</v>
      </c>
      <c r="J1919" t="s">
        <v>20</v>
      </c>
      <c r="K1919" t="s">
        <v>16</v>
      </c>
      <c r="L1919">
        <v>3</v>
      </c>
      <c r="M1919" s="7">
        <v>83.27</v>
      </c>
      <c r="N1919" s="7">
        <v>940.09</v>
      </c>
      <c r="O1919" t="s">
        <v>20</v>
      </c>
    </row>
    <row r="1920" spans="1:15" x14ac:dyDescent="0.3">
      <c r="A1920" t="s">
        <v>1945</v>
      </c>
      <c r="B1920" t="s">
        <v>15</v>
      </c>
      <c r="C1920">
        <v>51</v>
      </c>
      <c r="D1920" t="s">
        <v>20</v>
      </c>
      <c r="E1920">
        <v>39</v>
      </c>
      <c r="F1920" t="str">
        <f t="shared" si="29"/>
        <v>25-48 Months</v>
      </c>
      <c r="G1920" t="s">
        <v>17</v>
      </c>
      <c r="H1920" t="s">
        <v>36</v>
      </c>
      <c r="I1920" t="s">
        <v>19</v>
      </c>
      <c r="J1920" t="s">
        <v>20</v>
      </c>
      <c r="K1920" t="s">
        <v>16</v>
      </c>
      <c r="L1920">
        <v>5</v>
      </c>
      <c r="M1920" s="7">
        <v>66.28</v>
      </c>
      <c r="N1920" s="7">
        <v>2506.38</v>
      </c>
      <c r="O1920" t="s">
        <v>20</v>
      </c>
    </row>
    <row r="1921" spans="1:15" x14ac:dyDescent="0.3">
      <c r="A1921" t="s">
        <v>1946</v>
      </c>
      <c r="B1921" t="s">
        <v>15</v>
      </c>
      <c r="C1921">
        <v>33</v>
      </c>
      <c r="D1921" t="s">
        <v>20</v>
      </c>
      <c r="E1921">
        <v>72</v>
      </c>
      <c r="F1921" t="str">
        <f t="shared" si="29"/>
        <v>49+ Months</v>
      </c>
      <c r="G1921" t="s">
        <v>17</v>
      </c>
      <c r="H1921" t="s">
        <v>18</v>
      </c>
      <c r="I1921" t="s">
        <v>24</v>
      </c>
      <c r="J1921" t="s">
        <v>20</v>
      </c>
      <c r="K1921" t="s">
        <v>20</v>
      </c>
      <c r="L1921">
        <v>7</v>
      </c>
      <c r="M1921" s="7">
        <v>99.98</v>
      </c>
      <c r="N1921" s="7">
        <v>7136.52</v>
      </c>
      <c r="O1921" t="s">
        <v>20</v>
      </c>
    </row>
    <row r="1922" spans="1:15" x14ac:dyDescent="0.3">
      <c r="A1922" t="s">
        <v>1947</v>
      </c>
      <c r="B1922" t="s">
        <v>15</v>
      </c>
      <c r="C1922">
        <v>65</v>
      </c>
      <c r="D1922" t="s">
        <v>16</v>
      </c>
      <c r="E1922">
        <v>63</v>
      </c>
      <c r="F1922" t="str">
        <f t="shared" ref="F1922:F1985" si="30">IF(E1922&lt;=6,"0-6 Months",
 IF(E1922&lt;=12,"7-12 Months",
 IF(E1922&lt;=24,"13-24 Months",
 IF(E1922&lt;=48,"25-48 Months","49+ Months"))))</f>
        <v>49+ Months</v>
      </c>
      <c r="G1922" t="s">
        <v>23</v>
      </c>
      <c r="H1922" t="s">
        <v>18</v>
      </c>
      <c r="I1922" t="s">
        <v>24</v>
      </c>
      <c r="J1922" t="s">
        <v>16</v>
      </c>
      <c r="K1922" t="s">
        <v>20</v>
      </c>
      <c r="L1922">
        <v>6</v>
      </c>
      <c r="M1922" s="7">
        <v>83.83</v>
      </c>
      <c r="N1922" s="7">
        <v>5423.85</v>
      </c>
      <c r="O1922" t="s">
        <v>20</v>
      </c>
    </row>
    <row r="1923" spans="1:15" x14ac:dyDescent="0.3">
      <c r="A1923" t="s">
        <v>1948</v>
      </c>
      <c r="B1923" t="s">
        <v>15</v>
      </c>
      <c r="C1923">
        <v>68</v>
      </c>
      <c r="D1923" t="s">
        <v>16</v>
      </c>
      <c r="E1923">
        <v>64</v>
      </c>
      <c r="F1923" t="str">
        <f t="shared" si="30"/>
        <v>49+ Months</v>
      </c>
      <c r="G1923" t="s">
        <v>35</v>
      </c>
      <c r="H1923" t="s">
        <v>18</v>
      </c>
      <c r="I1923" t="s">
        <v>30</v>
      </c>
      <c r="J1923" t="s">
        <v>20</v>
      </c>
      <c r="K1923" t="s">
        <v>20</v>
      </c>
      <c r="L1923">
        <v>5</v>
      </c>
      <c r="M1923" s="7">
        <v>74.61</v>
      </c>
      <c r="N1923" s="7">
        <v>4969.38</v>
      </c>
      <c r="O1923" t="s">
        <v>20</v>
      </c>
    </row>
    <row r="1924" spans="1:15" x14ac:dyDescent="0.3">
      <c r="A1924" t="s">
        <v>1949</v>
      </c>
      <c r="B1924" t="s">
        <v>22</v>
      </c>
      <c r="C1924">
        <v>56</v>
      </c>
      <c r="D1924" t="s">
        <v>20</v>
      </c>
      <c r="E1924">
        <v>61</v>
      </c>
      <c r="F1924" t="str">
        <f t="shared" si="30"/>
        <v>49+ Months</v>
      </c>
      <c r="G1924" t="s">
        <v>17</v>
      </c>
      <c r="H1924" t="s">
        <v>20</v>
      </c>
      <c r="I1924" t="s">
        <v>30</v>
      </c>
      <c r="J1924" t="s">
        <v>20</v>
      </c>
      <c r="K1924" t="s">
        <v>20</v>
      </c>
      <c r="L1924">
        <v>1</v>
      </c>
      <c r="M1924" s="7">
        <v>27.87</v>
      </c>
      <c r="N1924" s="7">
        <v>1682.16</v>
      </c>
      <c r="O1924" t="s">
        <v>20</v>
      </c>
    </row>
    <row r="1925" spans="1:15" x14ac:dyDescent="0.3">
      <c r="A1925" t="s">
        <v>1950</v>
      </c>
      <c r="B1925" t="s">
        <v>15</v>
      </c>
      <c r="C1925">
        <v>39</v>
      </c>
      <c r="D1925" t="s">
        <v>20</v>
      </c>
      <c r="E1925">
        <v>54</v>
      </c>
      <c r="F1925" t="str">
        <f t="shared" si="30"/>
        <v>49+ Months</v>
      </c>
      <c r="G1925" t="s">
        <v>17</v>
      </c>
      <c r="H1925" t="s">
        <v>36</v>
      </c>
      <c r="I1925" t="s">
        <v>24</v>
      </c>
      <c r="J1925" t="s">
        <v>20</v>
      </c>
      <c r="K1925" t="s">
        <v>20</v>
      </c>
      <c r="L1925">
        <v>6</v>
      </c>
      <c r="M1925" s="7">
        <v>62.7</v>
      </c>
      <c r="N1925" s="7">
        <v>3312.85</v>
      </c>
      <c r="O1925" t="s">
        <v>20</v>
      </c>
    </row>
    <row r="1926" spans="1:15" x14ac:dyDescent="0.3">
      <c r="A1926" t="s">
        <v>1951</v>
      </c>
      <c r="B1926" t="s">
        <v>22</v>
      </c>
      <c r="C1926">
        <v>29</v>
      </c>
      <c r="D1926" t="s">
        <v>20</v>
      </c>
      <c r="E1926">
        <v>58</v>
      </c>
      <c r="F1926" t="str">
        <f t="shared" si="30"/>
        <v>49+ Months</v>
      </c>
      <c r="G1926" t="s">
        <v>35</v>
      </c>
      <c r="H1926" t="s">
        <v>36</v>
      </c>
      <c r="I1926" t="s">
        <v>24</v>
      </c>
      <c r="J1926" t="s">
        <v>16</v>
      </c>
      <c r="K1926" t="s">
        <v>20</v>
      </c>
      <c r="L1926">
        <v>6</v>
      </c>
      <c r="M1926" s="7">
        <v>63.55</v>
      </c>
      <c r="N1926" s="7">
        <v>3813.22</v>
      </c>
      <c r="O1926" t="s">
        <v>20</v>
      </c>
    </row>
    <row r="1927" spans="1:15" x14ac:dyDescent="0.3">
      <c r="A1927" t="s">
        <v>1952</v>
      </c>
      <c r="B1927" t="s">
        <v>15</v>
      </c>
      <c r="C1927">
        <v>41</v>
      </c>
      <c r="D1927" t="s">
        <v>20</v>
      </c>
      <c r="E1927">
        <v>56</v>
      </c>
      <c r="F1927" t="str">
        <f t="shared" si="30"/>
        <v>49+ Months</v>
      </c>
      <c r="G1927" t="s">
        <v>17</v>
      </c>
      <c r="H1927" t="s">
        <v>18</v>
      </c>
      <c r="I1927" t="s">
        <v>24</v>
      </c>
      <c r="J1927" t="s">
        <v>20</v>
      </c>
      <c r="K1927" t="s">
        <v>16</v>
      </c>
      <c r="L1927">
        <v>4</v>
      </c>
      <c r="M1927" s="7">
        <v>63.45</v>
      </c>
      <c r="N1927" s="7">
        <v>3395.25</v>
      </c>
      <c r="O1927" t="s">
        <v>16</v>
      </c>
    </row>
    <row r="1928" spans="1:15" x14ac:dyDescent="0.3">
      <c r="A1928" t="s">
        <v>1953</v>
      </c>
      <c r="B1928" t="s">
        <v>15</v>
      </c>
      <c r="C1928">
        <v>64</v>
      </c>
      <c r="D1928" t="s">
        <v>16</v>
      </c>
      <c r="E1928">
        <v>34</v>
      </c>
      <c r="F1928" t="str">
        <f t="shared" si="30"/>
        <v>25-48 Months</v>
      </c>
      <c r="G1928" t="s">
        <v>17</v>
      </c>
      <c r="H1928" t="s">
        <v>18</v>
      </c>
      <c r="I1928" t="s">
        <v>27</v>
      </c>
      <c r="J1928" t="s">
        <v>20</v>
      </c>
      <c r="K1928" t="s">
        <v>20</v>
      </c>
      <c r="L1928">
        <v>5</v>
      </c>
      <c r="M1928" s="7">
        <v>84.23</v>
      </c>
      <c r="N1928" s="7">
        <v>2639.06</v>
      </c>
      <c r="O1928" t="s">
        <v>20</v>
      </c>
    </row>
    <row r="1929" spans="1:15" x14ac:dyDescent="0.3">
      <c r="A1929" t="s">
        <v>1954</v>
      </c>
      <c r="B1929" t="s">
        <v>15</v>
      </c>
      <c r="C1929">
        <v>57</v>
      </c>
      <c r="D1929" t="s">
        <v>20</v>
      </c>
      <c r="E1929">
        <v>31</v>
      </c>
      <c r="F1929" t="str">
        <f t="shared" si="30"/>
        <v>25-48 Months</v>
      </c>
      <c r="G1929" t="s">
        <v>23</v>
      </c>
      <c r="H1929" t="s">
        <v>20</v>
      </c>
      <c r="I1929" t="s">
        <v>30</v>
      </c>
      <c r="J1929" t="s">
        <v>20</v>
      </c>
      <c r="K1929" t="s">
        <v>20</v>
      </c>
      <c r="L1929">
        <v>4</v>
      </c>
      <c r="M1929" s="7">
        <v>41.15</v>
      </c>
      <c r="N1929" s="7">
        <v>1269.76</v>
      </c>
      <c r="O1929" t="s">
        <v>20</v>
      </c>
    </row>
    <row r="1930" spans="1:15" x14ac:dyDescent="0.3">
      <c r="A1930" t="s">
        <v>1955</v>
      </c>
      <c r="B1930" t="s">
        <v>22</v>
      </c>
      <c r="C1930">
        <v>55</v>
      </c>
      <c r="D1930" t="s">
        <v>20</v>
      </c>
      <c r="E1930">
        <v>52</v>
      </c>
      <c r="F1930" t="str">
        <f t="shared" si="30"/>
        <v>49+ Months</v>
      </c>
      <c r="G1930" t="s">
        <v>17</v>
      </c>
      <c r="H1930" t="s">
        <v>36</v>
      </c>
      <c r="I1930" t="s">
        <v>24</v>
      </c>
      <c r="J1930" t="s">
        <v>20</v>
      </c>
      <c r="K1930" t="s">
        <v>20</v>
      </c>
      <c r="L1930">
        <v>4</v>
      </c>
      <c r="M1930" s="7">
        <v>64.900000000000006</v>
      </c>
      <c r="N1930" s="7">
        <v>3198.43</v>
      </c>
      <c r="O1930" t="s">
        <v>20</v>
      </c>
    </row>
    <row r="1931" spans="1:15" x14ac:dyDescent="0.3">
      <c r="A1931" t="s">
        <v>1956</v>
      </c>
      <c r="B1931" t="s">
        <v>15</v>
      </c>
      <c r="C1931">
        <v>27</v>
      </c>
      <c r="D1931" t="s">
        <v>20</v>
      </c>
      <c r="E1931">
        <v>1</v>
      </c>
      <c r="F1931" t="str">
        <f t="shared" si="30"/>
        <v>0-6 Months</v>
      </c>
      <c r="G1931" t="s">
        <v>17</v>
      </c>
      <c r="H1931" t="s">
        <v>20</v>
      </c>
      <c r="I1931" t="s">
        <v>19</v>
      </c>
      <c r="J1931" t="s">
        <v>20</v>
      </c>
      <c r="K1931" t="s">
        <v>16</v>
      </c>
      <c r="L1931">
        <v>1</v>
      </c>
      <c r="M1931" s="7">
        <v>32.869999999999997</v>
      </c>
      <c r="N1931" s="7">
        <v>32.229999999999997</v>
      </c>
      <c r="O1931" t="s">
        <v>20</v>
      </c>
    </row>
    <row r="1932" spans="1:15" x14ac:dyDescent="0.3">
      <c r="A1932" t="s">
        <v>1957</v>
      </c>
      <c r="B1932" t="s">
        <v>22</v>
      </c>
      <c r="C1932">
        <v>52</v>
      </c>
      <c r="D1932" t="s">
        <v>20</v>
      </c>
      <c r="E1932">
        <v>55</v>
      </c>
      <c r="F1932" t="str">
        <f t="shared" si="30"/>
        <v>49+ Months</v>
      </c>
      <c r="G1932" t="s">
        <v>23</v>
      </c>
      <c r="H1932" t="s">
        <v>18</v>
      </c>
      <c r="I1932" t="s">
        <v>30</v>
      </c>
      <c r="J1932" t="s">
        <v>20</v>
      </c>
      <c r="K1932" t="s">
        <v>20</v>
      </c>
      <c r="L1932">
        <v>7</v>
      </c>
      <c r="M1932" s="7">
        <v>89.77</v>
      </c>
      <c r="N1932" s="7">
        <v>4772.43</v>
      </c>
      <c r="O1932" t="s">
        <v>20</v>
      </c>
    </row>
    <row r="1933" spans="1:15" x14ac:dyDescent="0.3">
      <c r="A1933" t="s">
        <v>1958</v>
      </c>
      <c r="B1933" t="s">
        <v>22</v>
      </c>
      <c r="C1933">
        <v>68</v>
      </c>
      <c r="D1933" t="s">
        <v>16</v>
      </c>
      <c r="E1933">
        <v>22</v>
      </c>
      <c r="F1933" t="str">
        <f t="shared" si="30"/>
        <v>13-24 Months</v>
      </c>
      <c r="G1933" t="s">
        <v>23</v>
      </c>
      <c r="H1933" t="s">
        <v>18</v>
      </c>
      <c r="I1933" t="s">
        <v>27</v>
      </c>
      <c r="J1933" t="s">
        <v>20</v>
      </c>
      <c r="K1933" t="s">
        <v>16</v>
      </c>
      <c r="L1933">
        <v>1</v>
      </c>
      <c r="M1933" s="7">
        <v>73.39</v>
      </c>
      <c r="N1933" s="7">
        <v>1686.21</v>
      </c>
      <c r="O1933" t="s">
        <v>20</v>
      </c>
    </row>
    <row r="1934" spans="1:15" x14ac:dyDescent="0.3">
      <c r="A1934" t="s">
        <v>1959</v>
      </c>
      <c r="B1934" t="s">
        <v>15</v>
      </c>
      <c r="C1934">
        <v>66</v>
      </c>
      <c r="D1934" t="s">
        <v>16</v>
      </c>
      <c r="E1934">
        <v>40</v>
      </c>
      <c r="F1934" t="str">
        <f t="shared" si="30"/>
        <v>25-48 Months</v>
      </c>
      <c r="G1934" t="s">
        <v>35</v>
      </c>
      <c r="H1934" t="s">
        <v>20</v>
      </c>
      <c r="I1934" t="s">
        <v>27</v>
      </c>
      <c r="J1934" t="s">
        <v>16</v>
      </c>
      <c r="K1934" t="s">
        <v>16</v>
      </c>
      <c r="L1934">
        <v>3</v>
      </c>
      <c r="M1934" s="7">
        <v>43.21</v>
      </c>
      <c r="N1934" s="7">
        <v>1681.78</v>
      </c>
      <c r="O1934" t="s">
        <v>20</v>
      </c>
    </row>
    <row r="1935" spans="1:15" x14ac:dyDescent="0.3">
      <c r="A1935" t="s">
        <v>1960</v>
      </c>
      <c r="B1935" t="s">
        <v>15</v>
      </c>
      <c r="C1935">
        <v>49</v>
      </c>
      <c r="D1935" t="s">
        <v>20</v>
      </c>
      <c r="E1935">
        <v>1</v>
      </c>
      <c r="F1935" t="str">
        <f t="shared" si="30"/>
        <v>0-6 Months</v>
      </c>
      <c r="G1935" t="s">
        <v>17</v>
      </c>
      <c r="H1935" t="s">
        <v>36</v>
      </c>
      <c r="I1935" t="s">
        <v>24</v>
      </c>
      <c r="J1935" t="s">
        <v>20</v>
      </c>
      <c r="K1935" t="s">
        <v>20</v>
      </c>
      <c r="L1935">
        <v>5</v>
      </c>
      <c r="M1935" s="7">
        <v>59.59</v>
      </c>
      <c r="N1935" s="7">
        <v>60.93</v>
      </c>
      <c r="O1935" t="s">
        <v>16</v>
      </c>
    </row>
    <row r="1936" spans="1:15" x14ac:dyDescent="0.3">
      <c r="A1936" t="s">
        <v>1961</v>
      </c>
      <c r="B1936" t="s">
        <v>15</v>
      </c>
      <c r="C1936">
        <v>24</v>
      </c>
      <c r="D1936" t="s">
        <v>20</v>
      </c>
      <c r="E1936">
        <v>65</v>
      </c>
      <c r="F1936" t="str">
        <f t="shared" si="30"/>
        <v>49+ Months</v>
      </c>
      <c r="G1936" t="s">
        <v>17</v>
      </c>
      <c r="H1936" t="s">
        <v>18</v>
      </c>
      <c r="I1936" t="s">
        <v>24</v>
      </c>
      <c r="J1936" t="s">
        <v>20</v>
      </c>
      <c r="K1936" t="s">
        <v>20</v>
      </c>
      <c r="L1936">
        <v>5</v>
      </c>
      <c r="M1936" s="7">
        <v>84.37</v>
      </c>
      <c r="N1936" s="7">
        <v>5636.65</v>
      </c>
      <c r="O1936" t="s">
        <v>16</v>
      </c>
    </row>
    <row r="1937" spans="1:15" x14ac:dyDescent="0.3">
      <c r="A1937" t="s">
        <v>1962</v>
      </c>
      <c r="B1937" t="s">
        <v>22</v>
      </c>
      <c r="C1937">
        <v>38</v>
      </c>
      <c r="D1937" t="s">
        <v>20</v>
      </c>
      <c r="E1937">
        <v>63</v>
      </c>
      <c r="F1937" t="str">
        <f t="shared" si="30"/>
        <v>49+ Months</v>
      </c>
      <c r="G1937" t="s">
        <v>23</v>
      </c>
      <c r="H1937" t="s">
        <v>18</v>
      </c>
      <c r="I1937" t="s">
        <v>24</v>
      </c>
      <c r="J1937" t="s">
        <v>20</v>
      </c>
      <c r="K1937" t="s">
        <v>20</v>
      </c>
      <c r="L1937">
        <v>8</v>
      </c>
      <c r="M1937" s="7">
        <v>105.57</v>
      </c>
      <c r="N1937" s="7">
        <v>6604.57</v>
      </c>
      <c r="O1937" t="s">
        <v>20</v>
      </c>
    </row>
    <row r="1938" spans="1:15" x14ac:dyDescent="0.3">
      <c r="A1938" t="s">
        <v>1963</v>
      </c>
      <c r="B1938" t="s">
        <v>15</v>
      </c>
      <c r="C1938">
        <v>37</v>
      </c>
      <c r="D1938" t="s">
        <v>20</v>
      </c>
      <c r="E1938">
        <v>54</v>
      </c>
      <c r="F1938" t="str">
        <f t="shared" si="30"/>
        <v>49+ Months</v>
      </c>
      <c r="G1938" t="s">
        <v>17</v>
      </c>
      <c r="H1938" t="s">
        <v>20</v>
      </c>
      <c r="I1938" t="s">
        <v>27</v>
      </c>
      <c r="J1938" t="s">
        <v>16</v>
      </c>
      <c r="K1938" t="s">
        <v>20</v>
      </c>
      <c r="L1938">
        <v>2</v>
      </c>
      <c r="M1938" s="7">
        <v>35.29</v>
      </c>
      <c r="N1938" s="7">
        <v>1777.93</v>
      </c>
      <c r="O1938" t="s">
        <v>20</v>
      </c>
    </row>
    <row r="1939" spans="1:15" x14ac:dyDescent="0.3">
      <c r="A1939" t="s">
        <v>1964</v>
      </c>
      <c r="B1939" t="s">
        <v>22</v>
      </c>
      <c r="C1939">
        <v>43</v>
      </c>
      <c r="D1939" t="s">
        <v>20</v>
      </c>
      <c r="E1939">
        <v>42</v>
      </c>
      <c r="F1939" t="str">
        <f t="shared" si="30"/>
        <v>25-48 Months</v>
      </c>
      <c r="G1939" t="s">
        <v>17</v>
      </c>
      <c r="H1939" t="s">
        <v>36</v>
      </c>
      <c r="I1939" t="s">
        <v>27</v>
      </c>
      <c r="J1939" t="s">
        <v>16</v>
      </c>
      <c r="K1939" t="s">
        <v>16</v>
      </c>
      <c r="L1939">
        <v>4</v>
      </c>
      <c r="M1939" s="7">
        <v>53.24</v>
      </c>
      <c r="N1939" s="7">
        <v>2307.77</v>
      </c>
      <c r="O1939" t="s">
        <v>20</v>
      </c>
    </row>
    <row r="1940" spans="1:15" x14ac:dyDescent="0.3">
      <c r="A1940" t="s">
        <v>1965</v>
      </c>
      <c r="B1940" t="s">
        <v>22</v>
      </c>
      <c r="C1940">
        <v>21</v>
      </c>
      <c r="D1940" t="s">
        <v>20</v>
      </c>
      <c r="E1940">
        <v>21</v>
      </c>
      <c r="F1940" t="str">
        <f t="shared" si="30"/>
        <v>13-24 Months</v>
      </c>
      <c r="G1940" t="s">
        <v>23</v>
      </c>
      <c r="H1940" t="s">
        <v>36</v>
      </c>
      <c r="I1940" t="s">
        <v>19</v>
      </c>
      <c r="J1940" t="s">
        <v>20</v>
      </c>
      <c r="K1940" t="s">
        <v>16</v>
      </c>
      <c r="L1940">
        <v>2</v>
      </c>
      <c r="M1940" s="7">
        <v>43.14</v>
      </c>
      <c r="N1940" s="7">
        <v>844.36</v>
      </c>
      <c r="O1940" t="s">
        <v>20</v>
      </c>
    </row>
    <row r="1941" spans="1:15" x14ac:dyDescent="0.3">
      <c r="A1941" t="s">
        <v>1966</v>
      </c>
      <c r="B1941" t="s">
        <v>15</v>
      </c>
      <c r="C1941">
        <v>63</v>
      </c>
      <c r="D1941" t="s">
        <v>16</v>
      </c>
      <c r="E1941">
        <v>22</v>
      </c>
      <c r="F1941" t="str">
        <f t="shared" si="30"/>
        <v>13-24 Months</v>
      </c>
      <c r="G1941" t="s">
        <v>17</v>
      </c>
      <c r="H1941" t="s">
        <v>18</v>
      </c>
      <c r="I1941" t="s">
        <v>24</v>
      </c>
      <c r="J1941" t="s">
        <v>20</v>
      </c>
      <c r="K1941" t="s">
        <v>20</v>
      </c>
      <c r="L1941">
        <v>5</v>
      </c>
      <c r="M1941" s="7">
        <v>72.7</v>
      </c>
      <c r="N1941" s="7">
        <v>1496.84</v>
      </c>
      <c r="O1941" t="s">
        <v>20</v>
      </c>
    </row>
    <row r="1942" spans="1:15" x14ac:dyDescent="0.3">
      <c r="A1942" t="s">
        <v>1967</v>
      </c>
      <c r="B1942" t="s">
        <v>15</v>
      </c>
      <c r="C1942">
        <v>69</v>
      </c>
      <c r="D1942" t="s">
        <v>16</v>
      </c>
      <c r="E1942">
        <v>38</v>
      </c>
      <c r="F1942" t="str">
        <f t="shared" si="30"/>
        <v>25-48 Months</v>
      </c>
      <c r="G1942" t="s">
        <v>17</v>
      </c>
      <c r="H1942" t="s">
        <v>18</v>
      </c>
      <c r="I1942" t="s">
        <v>19</v>
      </c>
      <c r="J1942" t="s">
        <v>20</v>
      </c>
      <c r="K1942" t="s">
        <v>20</v>
      </c>
      <c r="L1942">
        <v>3</v>
      </c>
      <c r="M1942" s="7">
        <v>60.67</v>
      </c>
      <c r="N1942" s="7">
        <v>2193.3200000000002</v>
      </c>
      <c r="O1942" t="s">
        <v>20</v>
      </c>
    </row>
    <row r="1943" spans="1:15" x14ac:dyDescent="0.3">
      <c r="A1943" t="s">
        <v>1968</v>
      </c>
      <c r="B1943" t="s">
        <v>22</v>
      </c>
      <c r="C1943">
        <v>39</v>
      </c>
      <c r="D1943" t="s">
        <v>20</v>
      </c>
      <c r="E1943">
        <v>8</v>
      </c>
      <c r="F1943" t="str">
        <f t="shared" si="30"/>
        <v>7-12 Months</v>
      </c>
      <c r="G1943" t="s">
        <v>17</v>
      </c>
      <c r="H1943" t="s">
        <v>20</v>
      </c>
      <c r="I1943" t="s">
        <v>24</v>
      </c>
      <c r="J1943" t="s">
        <v>20</v>
      </c>
      <c r="K1943" t="s">
        <v>20</v>
      </c>
      <c r="L1943">
        <v>4</v>
      </c>
      <c r="M1943" s="7">
        <v>37.61</v>
      </c>
      <c r="N1943" s="7">
        <v>290.31</v>
      </c>
      <c r="O1943" t="s">
        <v>20</v>
      </c>
    </row>
    <row r="1944" spans="1:15" x14ac:dyDescent="0.3">
      <c r="A1944" t="s">
        <v>1969</v>
      </c>
      <c r="B1944" t="s">
        <v>22</v>
      </c>
      <c r="C1944">
        <v>32</v>
      </c>
      <c r="D1944" t="s">
        <v>20</v>
      </c>
      <c r="E1944">
        <v>62</v>
      </c>
      <c r="F1944" t="str">
        <f t="shared" si="30"/>
        <v>49+ Months</v>
      </c>
      <c r="G1944" t="s">
        <v>17</v>
      </c>
      <c r="H1944" t="s">
        <v>18</v>
      </c>
      <c r="I1944" t="s">
        <v>24</v>
      </c>
      <c r="J1944" t="s">
        <v>16</v>
      </c>
      <c r="K1944" t="s">
        <v>16</v>
      </c>
      <c r="L1944">
        <v>3</v>
      </c>
      <c r="M1944" s="7">
        <v>73.78</v>
      </c>
      <c r="N1944" s="7">
        <v>4827.93</v>
      </c>
      <c r="O1944" t="s">
        <v>20</v>
      </c>
    </row>
    <row r="1945" spans="1:15" x14ac:dyDescent="0.3">
      <c r="A1945" t="s">
        <v>1970</v>
      </c>
      <c r="B1945" t="s">
        <v>22</v>
      </c>
      <c r="C1945">
        <v>73</v>
      </c>
      <c r="D1945" t="s">
        <v>16</v>
      </c>
      <c r="E1945">
        <v>47</v>
      </c>
      <c r="F1945" t="str">
        <f t="shared" si="30"/>
        <v>25-48 Months</v>
      </c>
      <c r="G1945" t="s">
        <v>17</v>
      </c>
      <c r="H1945" t="s">
        <v>36</v>
      </c>
      <c r="I1945" t="s">
        <v>30</v>
      </c>
      <c r="J1945" t="s">
        <v>20</v>
      </c>
      <c r="K1945" t="s">
        <v>20</v>
      </c>
      <c r="L1945">
        <v>5</v>
      </c>
      <c r="M1945" s="7">
        <v>56.17</v>
      </c>
      <c r="N1945" s="7">
        <v>2713.88</v>
      </c>
      <c r="O1945" t="s">
        <v>16</v>
      </c>
    </row>
    <row r="1946" spans="1:15" x14ac:dyDescent="0.3">
      <c r="A1946" t="s">
        <v>1971</v>
      </c>
      <c r="B1946" t="s">
        <v>15</v>
      </c>
      <c r="C1946">
        <v>57</v>
      </c>
      <c r="D1946" t="s">
        <v>20</v>
      </c>
      <c r="E1946">
        <v>17</v>
      </c>
      <c r="F1946" t="str">
        <f t="shared" si="30"/>
        <v>13-24 Months</v>
      </c>
      <c r="G1946" t="s">
        <v>17</v>
      </c>
      <c r="H1946" t="s">
        <v>20</v>
      </c>
      <c r="I1946" t="s">
        <v>24</v>
      </c>
      <c r="J1946" t="s">
        <v>20</v>
      </c>
      <c r="K1946" t="s">
        <v>20</v>
      </c>
      <c r="L1946">
        <v>2</v>
      </c>
      <c r="M1946" s="7">
        <v>28.21</v>
      </c>
      <c r="N1946" s="7">
        <v>470.92</v>
      </c>
      <c r="O1946" t="s">
        <v>16</v>
      </c>
    </row>
    <row r="1947" spans="1:15" x14ac:dyDescent="0.3">
      <c r="A1947" t="s">
        <v>1972</v>
      </c>
      <c r="B1947" t="s">
        <v>22</v>
      </c>
      <c r="C1947">
        <v>38</v>
      </c>
      <c r="D1947" t="s">
        <v>20</v>
      </c>
      <c r="E1947">
        <v>17</v>
      </c>
      <c r="F1947" t="str">
        <f t="shared" si="30"/>
        <v>13-24 Months</v>
      </c>
      <c r="G1947" t="s">
        <v>23</v>
      </c>
      <c r="H1947" t="s">
        <v>18</v>
      </c>
      <c r="I1947" t="s">
        <v>24</v>
      </c>
      <c r="J1947" t="s">
        <v>20</v>
      </c>
      <c r="K1947" t="s">
        <v>16</v>
      </c>
      <c r="L1947">
        <v>4</v>
      </c>
      <c r="M1947" s="7">
        <v>72.319999999999993</v>
      </c>
      <c r="N1947" s="7">
        <v>1323.59</v>
      </c>
      <c r="O1947" t="s">
        <v>20</v>
      </c>
    </row>
    <row r="1948" spans="1:15" x14ac:dyDescent="0.3">
      <c r="A1948" t="s">
        <v>1973</v>
      </c>
      <c r="B1948" t="s">
        <v>15</v>
      </c>
      <c r="C1948">
        <v>32</v>
      </c>
      <c r="D1948" t="s">
        <v>20</v>
      </c>
      <c r="E1948">
        <v>13</v>
      </c>
      <c r="F1948" t="str">
        <f t="shared" si="30"/>
        <v>13-24 Months</v>
      </c>
      <c r="G1948" t="s">
        <v>35</v>
      </c>
      <c r="H1948" t="s">
        <v>18</v>
      </c>
      <c r="I1948" t="s">
        <v>30</v>
      </c>
      <c r="J1948" t="s">
        <v>20</v>
      </c>
      <c r="K1948" t="s">
        <v>20</v>
      </c>
      <c r="L1948">
        <v>8</v>
      </c>
      <c r="M1948" s="7">
        <v>83.94</v>
      </c>
      <c r="N1948" s="7">
        <v>1046.45</v>
      </c>
      <c r="O1948" t="s">
        <v>20</v>
      </c>
    </row>
    <row r="1949" spans="1:15" x14ac:dyDescent="0.3">
      <c r="A1949" t="s">
        <v>1974</v>
      </c>
      <c r="B1949" t="s">
        <v>22</v>
      </c>
      <c r="C1949">
        <v>39</v>
      </c>
      <c r="D1949" t="s">
        <v>20</v>
      </c>
      <c r="E1949">
        <v>17</v>
      </c>
      <c r="F1949" t="str">
        <f t="shared" si="30"/>
        <v>13-24 Months</v>
      </c>
      <c r="G1949" t="s">
        <v>17</v>
      </c>
      <c r="H1949" t="s">
        <v>36</v>
      </c>
      <c r="I1949" t="s">
        <v>24</v>
      </c>
      <c r="J1949" t="s">
        <v>20</v>
      </c>
      <c r="K1949" t="s">
        <v>20</v>
      </c>
      <c r="L1949">
        <v>3</v>
      </c>
      <c r="M1949" s="7">
        <v>53.81</v>
      </c>
      <c r="N1949" s="7">
        <v>930.84</v>
      </c>
      <c r="O1949" t="s">
        <v>16</v>
      </c>
    </row>
    <row r="1950" spans="1:15" x14ac:dyDescent="0.3">
      <c r="A1950" t="s">
        <v>1975</v>
      </c>
      <c r="B1950" t="s">
        <v>22</v>
      </c>
      <c r="C1950">
        <v>69</v>
      </c>
      <c r="D1950" t="s">
        <v>16</v>
      </c>
      <c r="E1950">
        <v>38</v>
      </c>
      <c r="F1950" t="str">
        <f t="shared" si="30"/>
        <v>25-48 Months</v>
      </c>
      <c r="G1950" t="s">
        <v>17</v>
      </c>
      <c r="H1950" t="s">
        <v>36</v>
      </c>
      <c r="I1950" t="s">
        <v>24</v>
      </c>
      <c r="J1950" t="s">
        <v>20</v>
      </c>
      <c r="K1950" t="s">
        <v>20</v>
      </c>
      <c r="L1950">
        <v>4</v>
      </c>
      <c r="M1950" s="7">
        <v>63.68</v>
      </c>
      <c r="N1950" s="7">
        <v>2554.27</v>
      </c>
      <c r="O1950" t="s">
        <v>20</v>
      </c>
    </row>
    <row r="1951" spans="1:15" x14ac:dyDescent="0.3">
      <c r="A1951" t="s">
        <v>1976</v>
      </c>
      <c r="B1951" t="s">
        <v>15</v>
      </c>
      <c r="C1951">
        <v>45</v>
      </c>
      <c r="D1951" t="s">
        <v>20</v>
      </c>
      <c r="E1951">
        <v>45</v>
      </c>
      <c r="F1951" t="str">
        <f t="shared" si="30"/>
        <v>25-48 Months</v>
      </c>
      <c r="G1951" t="s">
        <v>17</v>
      </c>
      <c r="H1951" t="s">
        <v>36</v>
      </c>
      <c r="I1951" t="s">
        <v>24</v>
      </c>
      <c r="J1951" t="s">
        <v>20</v>
      </c>
      <c r="K1951" t="s">
        <v>20</v>
      </c>
      <c r="L1951">
        <v>4</v>
      </c>
      <c r="M1951" s="7">
        <v>55.43</v>
      </c>
      <c r="N1951" s="7">
        <v>2614.89</v>
      </c>
      <c r="O1951" t="s">
        <v>20</v>
      </c>
    </row>
    <row r="1952" spans="1:15" x14ac:dyDescent="0.3">
      <c r="A1952" t="s">
        <v>1977</v>
      </c>
      <c r="B1952" t="s">
        <v>22</v>
      </c>
      <c r="C1952">
        <v>31</v>
      </c>
      <c r="D1952" t="s">
        <v>20</v>
      </c>
      <c r="E1952">
        <v>6</v>
      </c>
      <c r="F1952" t="str">
        <f t="shared" si="30"/>
        <v>0-6 Months</v>
      </c>
      <c r="G1952" t="s">
        <v>17</v>
      </c>
      <c r="H1952" t="s">
        <v>18</v>
      </c>
      <c r="I1952" t="s">
        <v>27</v>
      </c>
      <c r="J1952" t="s">
        <v>20</v>
      </c>
      <c r="K1952" t="s">
        <v>16</v>
      </c>
      <c r="L1952">
        <v>4</v>
      </c>
      <c r="M1952" s="7">
        <v>86.95</v>
      </c>
      <c r="N1952" s="7">
        <v>487.5</v>
      </c>
      <c r="O1952" t="s">
        <v>20</v>
      </c>
    </row>
    <row r="1953" spans="1:15" x14ac:dyDescent="0.3">
      <c r="A1953" t="s">
        <v>1978</v>
      </c>
      <c r="B1953" t="s">
        <v>15</v>
      </c>
      <c r="C1953">
        <v>44</v>
      </c>
      <c r="D1953" t="s">
        <v>20</v>
      </c>
      <c r="E1953">
        <v>35</v>
      </c>
      <c r="F1953" t="str">
        <f t="shared" si="30"/>
        <v>25-48 Months</v>
      </c>
      <c r="G1953" t="s">
        <v>23</v>
      </c>
      <c r="H1953" t="s">
        <v>36</v>
      </c>
      <c r="I1953" t="s">
        <v>27</v>
      </c>
      <c r="J1953" t="s">
        <v>16</v>
      </c>
      <c r="K1953" t="s">
        <v>20</v>
      </c>
      <c r="L1953">
        <v>4</v>
      </c>
      <c r="M1953" s="7">
        <v>60.07</v>
      </c>
      <c r="N1953" s="7">
        <v>2168.81</v>
      </c>
      <c r="O1953" t="s">
        <v>20</v>
      </c>
    </row>
    <row r="1954" spans="1:15" x14ac:dyDescent="0.3">
      <c r="A1954" t="s">
        <v>1979</v>
      </c>
      <c r="B1954" t="s">
        <v>15</v>
      </c>
      <c r="C1954">
        <v>58</v>
      </c>
      <c r="D1954" t="s">
        <v>20</v>
      </c>
      <c r="E1954">
        <v>14</v>
      </c>
      <c r="F1954" t="str">
        <f t="shared" si="30"/>
        <v>13-24 Months</v>
      </c>
      <c r="G1954" t="s">
        <v>23</v>
      </c>
      <c r="H1954" t="s">
        <v>36</v>
      </c>
      <c r="I1954" t="s">
        <v>24</v>
      </c>
      <c r="J1954" t="s">
        <v>20</v>
      </c>
      <c r="K1954" t="s">
        <v>16</v>
      </c>
      <c r="L1954">
        <v>4</v>
      </c>
      <c r="M1954" s="7">
        <v>65.25</v>
      </c>
      <c r="N1954" s="7">
        <v>878.11</v>
      </c>
      <c r="O1954" t="s">
        <v>16</v>
      </c>
    </row>
    <row r="1955" spans="1:15" x14ac:dyDescent="0.3">
      <c r="A1955" t="s">
        <v>1980</v>
      </c>
      <c r="B1955" t="s">
        <v>22</v>
      </c>
      <c r="C1955">
        <v>57</v>
      </c>
      <c r="D1955" t="s">
        <v>20</v>
      </c>
      <c r="E1955">
        <v>72</v>
      </c>
      <c r="F1955" t="str">
        <f t="shared" si="30"/>
        <v>49+ Months</v>
      </c>
      <c r="G1955" t="s">
        <v>23</v>
      </c>
      <c r="H1955" t="s">
        <v>36</v>
      </c>
      <c r="I1955" t="s">
        <v>19</v>
      </c>
      <c r="J1955" t="s">
        <v>20</v>
      </c>
      <c r="K1955" t="s">
        <v>16</v>
      </c>
      <c r="L1955">
        <v>2</v>
      </c>
      <c r="M1955" s="7">
        <v>51.22</v>
      </c>
      <c r="N1955" s="7">
        <v>3602.71</v>
      </c>
      <c r="O1955" t="s">
        <v>20</v>
      </c>
    </row>
    <row r="1956" spans="1:15" x14ac:dyDescent="0.3">
      <c r="A1956" t="s">
        <v>1981</v>
      </c>
      <c r="B1956" t="s">
        <v>15</v>
      </c>
      <c r="C1956">
        <v>75</v>
      </c>
      <c r="D1956" t="s">
        <v>16</v>
      </c>
      <c r="E1956">
        <v>61</v>
      </c>
      <c r="F1956" t="str">
        <f t="shared" si="30"/>
        <v>49+ Months</v>
      </c>
      <c r="G1956" t="s">
        <v>17</v>
      </c>
      <c r="H1956" t="s">
        <v>18</v>
      </c>
      <c r="I1956" t="s">
        <v>24</v>
      </c>
      <c r="J1956" t="s">
        <v>20</v>
      </c>
      <c r="K1956" t="s">
        <v>20</v>
      </c>
      <c r="L1956">
        <v>6</v>
      </c>
      <c r="M1956" s="7">
        <v>91.7</v>
      </c>
      <c r="N1956" s="7">
        <v>5583.85</v>
      </c>
      <c r="O1956" t="s">
        <v>16</v>
      </c>
    </row>
    <row r="1957" spans="1:15" x14ac:dyDescent="0.3">
      <c r="A1957" t="s">
        <v>1982</v>
      </c>
      <c r="B1957" t="s">
        <v>15</v>
      </c>
      <c r="C1957">
        <v>45</v>
      </c>
      <c r="D1957" t="s">
        <v>20</v>
      </c>
      <c r="E1957">
        <v>15</v>
      </c>
      <c r="F1957" t="str">
        <f t="shared" si="30"/>
        <v>13-24 Months</v>
      </c>
      <c r="G1957" t="s">
        <v>17</v>
      </c>
      <c r="H1957" t="s">
        <v>36</v>
      </c>
      <c r="I1957" t="s">
        <v>30</v>
      </c>
      <c r="J1957" t="s">
        <v>16</v>
      </c>
      <c r="K1957" t="s">
        <v>20</v>
      </c>
      <c r="L1957">
        <v>5</v>
      </c>
      <c r="M1957" s="7">
        <v>53.12</v>
      </c>
      <c r="N1957" s="7">
        <v>833.87</v>
      </c>
      <c r="O1957" t="s">
        <v>20</v>
      </c>
    </row>
    <row r="1958" spans="1:15" x14ac:dyDescent="0.3">
      <c r="A1958" t="s">
        <v>1983</v>
      </c>
      <c r="B1958" t="s">
        <v>22</v>
      </c>
      <c r="C1958">
        <v>43</v>
      </c>
      <c r="D1958" t="s">
        <v>20</v>
      </c>
      <c r="E1958">
        <v>54</v>
      </c>
      <c r="F1958" t="str">
        <f t="shared" si="30"/>
        <v>49+ Months</v>
      </c>
      <c r="G1958" t="s">
        <v>17</v>
      </c>
      <c r="H1958" t="s">
        <v>20</v>
      </c>
      <c r="I1958" t="s">
        <v>30</v>
      </c>
      <c r="J1958" t="s">
        <v>20</v>
      </c>
      <c r="K1958" t="s">
        <v>20</v>
      </c>
      <c r="L1958">
        <v>4</v>
      </c>
      <c r="M1958" s="7">
        <v>46.9</v>
      </c>
      <c r="N1958" s="7">
        <v>2397.34</v>
      </c>
      <c r="O1958" t="s">
        <v>20</v>
      </c>
    </row>
    <row r="1959" spans="1:15" x14ac:dyDescent="0.3">
      <c r="A1959" t="s">
        <v>1984</v>
      </c>
      <c r="B1959" t="s">
        <v>15</v>
      </c>
      <c r="C1959">
        <v>66</v>
      </c>
      <c r="D1959" t="s">
        <v>16</v>
      </c>
      <c r="E1959">
        <v>27</v>
      </c>
      <c r="F1959" t="str">
        <f t="shared" si="30"/>
        <v>25-48 Months</v>
      </c>
      <c r="G1959" t="s">
        <v>17</v>
      </c>
      <c r="H1959" t="s">
        <v>36</v>
      </c>
      <c r="I1959" t="s">
        <v>27</v>
      </c>
      <c r="J1959" t="s">
        <v>20</v>
      </c>
      <c r="K1959" t="s">
        <v>20</v>
      </c>
      <c r="L1959">
        <v>2</v>
      </c>
      <c r="M1959" s="7">
        <v>51.05</v>
      </c>
      <c r="N1959" s="7">
        <v>1292.02</v>
      </c>
      <c r="O1959" t="s">
        <v>20</v>
      </c>
    </row>
    <row r="1960" spans="1:15" x14ac:dyDescent="0.3">
      <c r="A1960" t="s">
        <v>1985</v>
      </c>
      <c r="B1960" t="s">
        <v>15</v>
      </c>
      <c r="C1960">
        <v>19</v>
      </c>
      <c r="D1960" t="s">
        <v>20</v>
      </c>
      <c r="E1960">
        <v>13</v>
      </c>
      <c r="F1960" t="str">
        <f t="shared" si="30"/>
        <v>13-24 Months</v>
      </c>
      <c r="G1960" t="s">
        <v>23</v>
      </c>
      <c r="H1960" t="s">
        <v>36</v>
      </c>
      <c r="I1960" t="s">
        <v>19</v>
      </c>
      <c r="J1960" t="s">
        <v>20</v>
      </c>
      <c r="K1960" t="s">
        <v>20</v>
      </c>
      <c r="L1960">
        <v>3</v>
      </c>
      <c r="M1960" s="7">
        <v>62.69</v>
      </c>
      <c r="N1960" s="7">
        <v>769.78</v>
      </c>
      <c r="O1960" t="s">
        <v>20</v>
      </c>
    </row>
    <row r="1961" spans="1:15" x14ac:dyDescent="0.3">
      <c r="A1961" t="s">
        <v>1986</v>
      </c>
      <c r="B1961" t="s">
        <v>15</v>
      </c>
      <c r="C1961">
        <v>42</v>
      </c>
      <c r="D1961" t="s">
        <v>20</v>
      </c>
      <c r="E1961">
        <v>31</v>
      </c>
      <c r="F1961" t="str">
        <f t="shared" si="30"/>
        <v>25-48 Months</v>
      </c>
      <c r="G1961" t="s">
        <v>35</v>
      </c>
      <c r="H1961" t="s">
        <v>36</v>
      </c>
      <c r="I1961" t="s">
        <v>27</v>
      </c>
      <c r="J1961" t="s">
        <v>16</v>
      </c>
      <c r="K1961" t="s">
        <v>16</v>
      </c>
      <c r="L1961">
        <v>2</v>
      </c>
      <c r="M1961" s="7">
        <v>49.23</v>
      </c>
      <c r="N1961" s="7">
        <v>1457.33</v>
      </c>
      <c r="O1961" t="s">
        <v>20</v>
      </c>
    </row>
    <row r="1962" spans="1:15" x14ac:dyDescent="0.3">
      <c r="A1962" t="s">
        <v>1987</v>
      </c>
      <c r="B1962" t="s">
        <v>22</v>
      </c>
      <c r="C1962">
        <v>73</v>
      </c>
      <c r="D1962" t="s">
        <v>16</v>
      </c>
      <c r="E1962">
        <v>35</v>
      </c>
      <c r="F1962" t="str">
        <f t="shared" si="30"/>
        <v>25-48 Months</v>
      </c>
      <c r="G1962" t="s">
        <v>17</v>
      </c>
      <c r="H1962" t="s">
        <v>20</v>
      </c>
      <c r="I1962" t="s">
        <v>27</v>
      </c>
      <c r="J1962" t="s">
        <v>20</v>
      </c>
      <c r="K1962" t="s">
        <v>16</v>
      </c>
      <c r="L1962">
        <v>3</v>
      </c>
      <c r="M1962" s="7">
        <v>49.19</v>
      </c>
      <c r="N1962" s="7">
        <v>1600.31</v>
      </c>
      <c r="O1962" t="s">
        <v>20</v>
      </c>
    </row>
    <row r="1963" spans="1:15" x14ac:dyDescent="0.3">
      <c r="A1963" t="s">
        <v>1988</v>
      </c>
      <c r="B1963" t="s">
        <v>15</v>
      </c>
      <c r="C1963">
        <v>20</v>
      </c>
      <c r="D1963" t="s">
        <v>20</v>
      </c>
      <c r="E1963">
        <v>60</v>
      </c>
      <c r="F1963" t="str">
        <f t="shared" si="30"/>
        <v>49+ Months</v>
      </c>
      <c r="G1963" t="s">
        <v>23</v>
      </c>
      <c r="H1963" t="s">
        <v>20</v>
      </c>
      <c r="I1963" t="s">
        <v>27</v>
      </c>
      <c r="J1963" t="s">
        <v>16</v>
      </c>
      <c r="K1963" t="s">
        <v>20</v>
      </c>
      <c r="L1963">
        <v>5</v>
      </c>
      <c r="M1963" s="7">
        <v>48.74</v>
      </c>
      <c r="N1963" s="7">
        <v>3123.89</v>
      </c>
      <c r="O1963" t="s">
        <v>20</v>
      </c>
    </row>
    <row r="1964" spans="1:15" x14ac:dyDescent="0.3">
      <c r="A1964" t="s">
        <v>1989</v>
      </c>
      <c r="B1964" t="s">
        <v>22</v>
      </c>
      <c r="C1964">
        <v>25</v>
      </c>
      <c r="D1964" t="s">
        <v>20</v>
      </c>
      <c r="E1964">
        <v>6</v>
      </c>
      <c r="F1964" t="str">
        <f t="shared" si="30"/>
        <v>0-6 Months</v>
      </c>
      <c r="G1964" t="s">
        <v>17</v>
      </c>
      <c r="H1964" t="s">
        <v>18</v>
      </c>
      <c r="I1964" t="s">
        <v>30</v>
      </c>
      <c r="J1964" t="s">
        <v>16</v>
      </c>
      <c r="K1964" t="s">
        <v>16</v>
      </c>
      <c r="L1964">
        <v>8</v>
      </c>
      <c r="M1964" s="7">
        <v>88.66</v>
      </c>
      <c r="N1964" s="7">
        <v>516.55999999999995</v>
      </c>
      <c r="O1964" t="s">
        <v>20</v>
      </c>
    </row>
    <row r="1965" spans="1:15" x14ac:dyDescent="0.3">
      <c r="A1965" t="s">
        <v>1990</v>
      </c>
      <c r="B1965" t="s">
        <v>22</v>
      </c>
      <c r="C1965">
        <v>61</v>
      </c>
      <c r="D1965" t="s">
        <v>16</v>
      </c>
      <c r="E1965">
        <v>69</v>
      </c>
      <c r="F1965" t="str">
        <f t="shared" si="30"/>
        <v>49+ Months</v>
      </c>
      <c r="G1965" t="s">
        <v>17</v>
      </c>
      <c r="H1965" t="s">
        <v>18</v>
      </c>
      <c r="I1965" t="s">
        <v>19</v>
      </c>
      <c r="J1965" t="s">
        <v>16</v>
      </c>
      <c r="K1965" t="s">
        <v>16</v>
      </c>
      <c r="L1965">
        <v>3</v>
      </c>
      <c r="M1965" s="7">
        <v>82.9</v>
      </c>
      <c r="N1965" s="7">
        <v>5424.46</v>
      </c>
      <c r="O1965" t="s">
        <v>20</v>
      </c>
    </row>
    <row r="1966" spans="1:15" x14ac:dyDescent="0.3">
      <c r="A1966" t="s">
        <v>1991</v>
      </c>
      <c r="B1966" t="s">
        <v>15</v>
      </c>
      <c r="C1966">
        <v>50</v>
      </c>
      <c r="D1966" t="s">
        <v>20</v>
      </c>
      <c r="E1966">
        <v>58</v>
      </c>
      <c r="F1966" t="str">
        <f t="shared" si="30"/>
        <v>49+ Months</v>
      </c>
      <c r="G1966" t="s">
        <v>23</v>
      </c>
      <c r="H1966" t="s">
        <v>18</v>
      </c>
      <c r="I1966" t="s">
        <v>19</v>
      </c>
      <c r="J1966" t="s">
        <v>20</v>
      </c>
      <c r="K1966" t="s">
        <v>20</v>
      </c>
      <c r="L1966">
        <v>6</v>
      </c>
      <c r="M1966" s="7">
        <v>79.599999999999994</v>
      </c>
      <c r="N1966" s="7">
        <v>4718.62</v>
      </c>
      <c r="O1966" t="s">
        <v>20</v>
      </c>
    </row>
    <row r="1967" spans="1:15" x14ac:dyDescent="0.3">
      <c r="A1967" t="s">
        <v>1992</v>
      </c>
      <c r="B1967" t="s">
        <v>15</v>
      </c>
      <c r="C1967">
        <v>59</v>
      </c>
      <c r="D1967" t="s">
        <v>20</v>
      </c>
      <c r="E1967">
        <v>49</v>
      </c>
      <c r="F1967" t="str">
        <f t="shared" si="30"/>
        <v>49+ Months</v>
      </c>
      <c r="G1967" t="s">
        <v>17</v>
      </c>
      <c r="H1967" t="s">
        <v>18</v>
      </c>
      <c r="I1967" t="s">
        <v>24</v>
      </c>
      <c r="J1967" t="s">
        <v>16</v>
      </c>
      <c r="K1967" t="s">
        <v>16</v>
      </c>
      <c r="L1967">
        <v>8</v>
      </c>
      <c r="M1967" s="7">
        <v>87.2</v>
      </c>
      <c r="N1967" s="7">
        <v>4469</v>
      </c>
      <c r="O1967" t="s">
        <v>20</v>
      </c>
    </row>
    <row r="1968" spans="1:15" x14ac:dyDescent="0.3">
      <c r="A1968" t="s">
        <v>1993</v>
      </c>
      <c r="B1968" t="s">
        <v>15</v>
      </c>
      <c r="C1968">
        <v>69</v>
      </c>
      <c r="D1968" t="s">
        <v>16</v>
      </c>
      <c r="E1968">
        <v>23</v>
      </c>
      <c r="F1968" t="str">
        <f t="shared" si="30"/>
        <v>13-24 Months</v>
      </c>
      <c r="G1968" t="s">
        <v>17</v>
      </c>
      <c r="H1968" t="s">
        <v>18</v>
      </c>
      <c r="I1968" t="s">
        <v>24</v>
      </c>
      <c r="J1968" t="s">
        <v>20</v>
      </c>
      <c r="K1968" t="s">
        <v>20</v>
      </c>
      <c r="L1968">
        <v>2</v>
      </c>
      <c r="M1968" s="7">
        <v>80.02</v>
      </c>
      <c r="N1968" s="7">
        <v>1915.03</v>
      </c>
      <c r="O1968" t="s">
        <v>20</v>
      </c>
    </row>
    <row r="1969" spans="1:15" x14ac:dyDescent="0.3">
      <c r="A1969" t="s">
        <v>1994</v>
      </c>
      <c r="B1969" t="s">
        <v>22</v>
      </c>
      <c r="C1969">
        <v>52</v>
      </c>
      <c r="D1969" t="s">
        <v>20</v>
      </c>
      <c r="E1969">
        <v>34</v>
      </c>
      <c r="F1969" t="str">
        <f t="shared" si="30"/>
        <v>25-48 Months</v>
      </c>
      <c r="G1969" t="s">
        <v>23</v>
      </c>
      <c r="H1969" t="s">
        <v>20</v>
      </c>
      <c r="I1969" t="s">
        <v>30</v>
      </c>
      <c r="J1969" t="s">
        <v>20</v>
      </c>
      <c r="K1969" t="s">
        <v>20</v>
      </c>
      <c r="L1969">
        <v>3</v>
      </c>
      <c r="M1969" s="7">
        <v>39.35</v>
      </c>
      <c r="N1969" s="7">
        <v>1384.72</v>
      </c>
      <c r="O1969" t="s">
        <v>20</v>
      </c>
    </row>
    <row r="1970" spans="1:15" x14ac:dyDescent="0.3">
      <c r="A1970" t="s">
        <v>1995</v>
      </c>
      <c r="B1970" t="s">
        <v>15</v>
      </c>
      <c r="C1970">
        <v>23</v>
      </c>
      <c r="D1970" t="s">
        <v>20</v>
      </c>
      <c r="E1970">
        <v>26</v>
      </c>
      <c r="F1970" t="str">
        <f t="shared" si="30"/>
        <v>25-48 Months</v>
      </c>
      <c r="G1970" t="s">
        <v>35</v>
      </c>
      <c r="H1970" t="s">
        <v>18</v>
      </c>
      <c r="I1970" t="s">
        <v>30</v>
      </c>
      <c r="J1970" t="s">
        <v>20</v>
      </c>
      <c r="K1970" t="s">
        <v>20</v>
      </c>
      <c r="L1970">
        <v>7</v>
      </c>
      <c r="M1970" s="7">
        <v>91.51</v>
      </c>
      <c r="N1970" s="7">
        <v>2208.16</v>
      </c>
      <c r="O1970" t="s">
        <v>20</v>
      </c>
    </row>
    <row r="1971" spans="1:15" x14ac:dyDescent="0.3">
      <c r="A1971" t="s">
        <v>1996</v>
      </c>
      <c r="B1971" t="s">
        <v>15</v>
      </c>
      <c r="C1971">
        <v>56</v>
      </c>
      <c r="D1971" t="s">
        <v>20</v>
      </c>
      <c r="E1971">
        <v>47</v>
      </c>
      <c r="F1971" t="str">
        <f t="shared" si="30"/>
        <v>25-48 Months</v>
      </c>
      <c r="G1971" t="s">
        <v>17</v>
      </c>
      <c r="H1971" t="s">
        <v>36</v>
      </c>
      <c r="I1971" t="s">
        <v>27</v>
      </c>
      <c r="J1971" t="s">
        <v>20</v>
      </c>
      <c r="K1971" t="s">
        <v>20</v>
      </c>
      <c r="L1971">
        <v>5</v>
      </c>
      <c r="M1971" s="7">
        <v>59.47</v>
      </c>
      <c r="N1971" s="7">
        <v>2921.28</v>
      </c>
      <c r="O1971" t="s">
        <v>20</v>
      </c>
    </row>
    <row r="1972" spans="1:15" x14ac:dyDescent="0.3">
      <c r="A1972" t="s">
        <v>1997</v>
      </c>
      <c r="B1972" t="s">
        <v>15</v>
      </c>
      <c r="C1972">
        <v>69</v>
      </c>
      <c r="D1972" t="s">
        <v>16</v>
      </c>
      <c r="E1972">
        <v>5</v>
      </c>
      <c r="F1972" t="str">
        <f t="shared" si="30"/>
        <v>0-6 Months</v>
      </c>
      <c r="G1972" t="s">
        <v>17</v>
      </c>
      <c r="H1972" t="s">
        <v>36</v>
      </c>
      <c r="I1972" t="s">
        <v>24</v>
      </c>
      <c r="J1972" t="s">
        <v>20</v>
      </c>
      <c r="K1972" t="s">
        <v>20</v>
      </c>
      <c r="L1972">
        <v>5</v>
      </c>
      <c r="M1972" s="7">
        <v>68.819999999999993</v>
      </c>
      <c r="N1972" s="7">
        <v>344.2</v>
      </c>
      <c r="O1972" t="s">
        <v>16</v>
      </c>
    </row>
    <row r="1973" spans="1:15" x14ac:dyDescent="0.3">
      <c r="A1973" t="s">
        <v>1998</v>
      </c>
      <c r="B1973" t="s">
        <v>15</v>
      </c>
      <c r="C1973">
        <v>40</v>
      </c>
      <c r="D1973" t="s">
        <v>20</v>
      </c>
      <c r="E1973">
        <v>20</v>
      </c>
      <c r="F1973" t="str">
        <f t="shared" si="30"/>
        <v>13-24 Months</v>
      </c>
      <c r="G1973" t="s">
        <v>35</v>
      </c>
      <c r="H1973" t="s">
        <v>18</v>
      </c>
      <c r="I1973" t="s">
        <v>24</v>
      </c>
      <c r="J1973" t="s">
        <v>20</v>
      </c>
      <c r="K1973" t="s">
        <v>16</v>
      </c>
      <c r="L1973">
        <v>7</v>
      </c>
      <c r="M1973" s="7">
        <v>89.1</v>
      </c>
      <c r="N1973" s="7">
        <v>1824.51</v>
      </c>
      <c r="O1973" t="s">
        <v>16</v>
      </c>
    </row>
    <row r="1974" spans="1:15" x14ac:dyDescent="0.3">
      <c r="A1974" t="s">
        <v>1999</v>
      </c>
      <c r="B1974" t="s">
        <v>15</v>
      </c>
      <c r="C1974">
        <v>42</v>
      </c>
      <c r="D1974" t="s">
        <v>20</v>
      </c>
      <c r="E1974">
        <v>6</v>
      </c>
      <c r="F1974" t="str">
        <f t="shared" si="30"/>
        <v>0-6 Months</v>
      </c>
      <c r="G1974" t="s">
        <v>35</v>
      </c>
      <c r="H1974" t="s">
        <v>20</v>
      </c>
      <c r="I1974" t="s">
        <v>27</v>
      </c>
      <c r="J1974" t="s">
        <v>20</v>
      </c>
      <c r="K1974" t="s">
        <v>16</v>
      </c>
      <c r="L1974">
        <v>6</v>
      </c>
      <c r="M1974" s="7">
        <v>50.41</v>
      </c>
      <c r="N1974" s="7">
        <v>324.55</v>
      </c>
      <c r="O1974" t="s">
        <v>16</v>
      </c>
    </row>
    <row r="1975" spans="1:15" x14ac:dyDescent="0.3">
      <c r="A1975" t="s">
        <v>2000</v>
      </c>
      <c r="B1975" t="s">
        <v>22</v>
      </c>
      <c r="C1975">
        <v>67</v>
      </c>
      <c r="D1975" t="s">
        <v>16</v>
      </c>
      <c r="E1975">
        <v>70</v>
      </c>
      <c r="F1975" t="str">
        <f t="shared" si="30"/>
        <v>49+ Months</v>
      </c>
      <c r="G1975" t="s">
        <v>23</v>
      </c>
      <c r="H1975" t="s">
        <v>20</v>
      </c>
      <c r="I1975" t="s">
        <v>19</v>
      </c>
      <c r="J1975" t="s">
        <v>20</v>
      </c>
      <c r="K1975" t="s">
        <v>20</v>
      </c>
      <c r="L1975">
        <v>4</v>
      </c>
      <c r="M1975" s="7">
        <v>33.11</v>
      </c>
      <c r="N1975" s="7">
        <v>2432.91</v>
      </c>
      <c r="O1975" t="s">
        <v>20</v>
      </c>
    </row>
    <row r="1976" spans="1:15" x14ac:dyDescent="0.3">
      <c r="A1976" t="s">
        <v>2001</v>
      </c>
      <c r="B1976" t="s">
        <v>22</v>
      </c>
      <c r="C1976">
        <v>60</v>
      </c>
      <c r="D1976" t="s">
        <v>16</v>
      </c>
      <c r="E1976">
        <v>59</v>
      </c>
      <c r="F1976" t="str">
        <f t="shared" si="30"/>
        <v>49+ Months</v>
      </c>
      <c r="G1976" t="s">
        <v>17</v>
      </c>
      <c r="H1976" t="s">
        <v>36</v>
      </c>
      <c r="I1976" t="s">
        <v>24</v>
      </c>
      <c r="J1976" t="s">
        <v>16</v>
      </c>
      <c r="K1976" t="s">
        <v>16</v>
      </c>
      <c r="L1976">
        <v>4</v>
      </c>
      <c r="M1976" s="7">
        <v>58.6</v>
      </c>
      <c r="N1976" s="7">
        <v>3637.39</v>
      </c>
      <c r="O1976" t="s">
        <v>20</v>
      </c>
    </row>
    <row r="1977" spans="1:15" x14ac:dyDescent="0.3">
      <c r="A1977" t="s">
        <v>2002</v>
      </c>
      <c r="B1977" t="s">
        <v>15</v>
      </c>
      <c r="C1977">
        <v>36</v>
      </c>
      <c r="D1977" t="s">
        <v>20</v>
      </c>
      <c r="E1977">
        <v>64</v>
      </c>
      <c r="F1977" t="str">
        <f t="shared" si="30"/>
        <v>49+ Months</v>
      </c>
      <c r="G1977" t="s">
        <v>35</v>
      </c>
      <c r="H1977" t="s">
        <v>18</v>
      </c>
      <c r="I1977" t="s">
        <v>27</v>
      </c>
      <c r="J1977" t="s">
        <v>16</v>
      </c>
      <c r="K1977" t="s">
        <v>16</v>
      </c>
      <c r="L1977">
        <v>4</v>
      </c>
      <c r="M1977" s="7">
        <v>80.23</v>
      </c>
      <c r="N1977" s="7">
        <v>4873.03</v>
      </c>
      <c r="O1977" t="s">
        <v>20</v>
      </c>
    </row>
    <row r="1978" spans="1:15" x14ac:dyDescent="0.3">
      <c r="A1978" t="s">
        <v>2003</v>
      </c>
      <c r="B1978" t="s">
        <v>15</v>
      </c>
      <c r="C1978">
        <v>22</v>
      </c>
      <c r="D1978" t="s">
        <v>20</v>
      </c>
      <c r="E1978">
        <v>18</v>
      </c>
      <c r="F1978" t="str">
        <f t="shared" si="30"/>
        <v>13-24 Months</v>
      </c>
      <c r="G1978" t="s">
        <v>17</v>
      </c>
      <c r="H1978" t="s">
        <v>18</v>
      </c>
      <c r="I1978" t="s">
        <v>27</v>
      </c>
      <c r="J1978" t="s">
        <v>20</v>
      </c>
      <c r="K1978" t="s">
        <v>20</v>
      </c>
      <c r="L1978">
        <v>3</v>
      </c>
      <c r="M1978" s="7">
        <v>78.739999999999995</v>
      </c>
      <c r="N1978" s="7">
        <v>1411.97</v>
      </c>
      <c r="O1978" t="s">
        <v>16</v>
      </c>
    </row>
    <row r="1979" spans="1:15" x14ac:dyDescent="0.3">
      <c r="A1979" t="s">
        <v>2004</v>
      </c>
      <c r="B1979" t="s">
        <v>15</v>
      </c>
      <c r="C1979">
        <v>68</v>
      </c>
      <c r="D1979" t="s">
        <v>16</v>
      </c>
      <c r="E1979">
        <v>4</v>
      </c>
      <c r="F1979" t="str">
        <f t="shared" si="30"/>
        <v>0-6 Months</v>
      </c>
      <c r="G1979" t="s">
        <v>23</v>
      </c>
      <c r="H1979" t="s">
        <v>36</v>
      </c>
      <c r="I1979" t="s">
        <v>19</v>
      </c>
      <c r="J1979" t="s">
        <v>20</v>
      </c>
      <c r="K1979" t="s">
        <v>20</v>
      </c>
      <c r="L1979">
        <v>5</v>
      </c>
      <c r="M1979" s="7">
        <v>65.36</v>
      </c>
      <c r="N1979" s="7">
        <v>280.24</v>
      </c>
      <c r="O1979" t="s">
        <v>20</v>
      </c>
    </row>
    <row r="1980" spans="1:15" x14ac:dyDescent="0.3">
      <c r="A1980" t="s">
        <v>2005</v>
      </c>
      <c r="B1980" t="s">
        <v>15</v>
      </c>
      <c r="C1980">
        <v>28</v>
      </c>
      <c r="D1980" t="s">
        <v>20</v>
      </c>
      <c r="E1980">
        <v>17</v>
      </c>
      <c r="F1980" t="str">
        <f t="shared" si="30"/>
        <v>13-24 Months</v>
      </c>
      <c r="G1980" t="s">
        <v>17</v>
      </c>
      <c r="H1980" t="s">
        <v>18</v>
      </c>
      <c r="I1980" t="s">
        <v>27</v>
      </c>
      <c r="J1980" t="s">
        <v>20</v>
      </c>
      <c r="K1980" t="s">
        <v>20</v>
      </c>
      <c r="L1980">
        <v>7</v>
      </c>
      <c r="M1980" s="7">
        <v>88.67</v>
      </c>
      <c r="N1980" s="7">
        <v>1527.33</v>
      </c>
      <c r="O1980" t="s">
        <v>16</v>
      </c>
    </row>
    <row r="1981" spans="1:15" x14ac:dyDescent="0.3">
      <c r="A1981" t="s">
        <v>2006</v>
      </c>
      <c r="B1981" t="s">
        <v>22</v>
      </c>
      <c r="C1981">
        <v>73</v>
      </c>
      <c r="D1981" t="s">
        <v>16</v>
      </c>
      <c r="E1981">
        <v>14</v>
      </c>
      <c r="F1981" t="str">
        <f t="shared" si="30"/>
        <v>13-24 Months</v>
      </c>
      <c r="G1981" t="s">
        <v>23</v>
      </c>
      <c r="H1981" t="s">
        <v>36</v>
      </c>
      <c r="I1981" t="s">
        <v>30</v>
      </c>
      <c r="J1981" t="s">
        <v>20</v>
      </c>
      <c r="K1981" t="s">
        <v>16</v>
      </c>
      <c r="L1981">
        <v>2</v>
      </c>
      <c r="M1981" s="7">
        <v>52.99</v>
      </c>
      <c r="N1981" s="7">
        <v>694.69</v>
      </c>
      <c r="O1981" t="s">
        <v>20</v>
      </c>
    </row>
    <row r="1982" spans="1:15" x14ac:dyDescent="0.3">
      <c r="A1982" t="s">
        <v>2007</v>
      </c>
      <c r="B1982" t="s">
        <v>15</v>
      </c>
      <c r="C1982">
        <v>29</v>
      </c>
      <c r="D1982" t="s">
        <v>20</v>
      </c>
      <c r="E1982">
        <v>13</v>
      </c>
      <c r="F1982" t="str">
        <f t="shared" si="30"/>
        <v>13-24 Months</v>
      </c>
      <c r="G1982" t="s">
        <v>17</v>
      </c>
      <c r="H1982" t="s">
        <v>20</v>
      </c>
      <c r="I1982" t="s">
        <v>27</v>
      </c>
      <c r="J1982" t="s">
        <v>20</v>
      </c>
      <c r="K1982" t="s">
        <v>20</v>
      </c>
      <c r="L1982">
        <v>3</v>
      </c>
      <c r="M1982" s="7">
        <v>43.86</v>
      </c>
      <c r="N1982" s="7">
        <v>591.33000000000004</v>
      </c>
      <c r="O1982" t="s">
        <v>16</v>
      </c>
    </row>
    <row r="1983" spans="1:15" x14ac:dyDescent="0.3">
      <c r="A1983" t="s">
        <v>2008</v>
      </c>
      <c r="B1983" t="s">
        <v>22</v>
      </c>
      <c r="C1983">
        <v>27</v>
      </c>
      <c r="D1983" t="s">
        <v>20</v>
      </c>
      <c r="E1983">
        <v>7</v>
      </c>
      <c r="F1983" t="str">
        <f t="shared" si="30"/>
        <v>7-12 Months</v>
      </c>
      <c r="G1983" t="s">
        <v>17</v>
      </c>
      <c r="H1983" t="s">
        <v>18</v>
      </c>
      <c r="I1983" t="s">
        <v>27</v>
      </c>
      <c r="J1983" t="s">
        <v>20</v>
      </c>
      <c r="K1983" t="s">
        <v>20</v>
      </c>
      <c r="L1983">
        <v>3</v>
      </c>
      <c r="M1983" s="7">
        <v>64.61</v>
      </c>
      <c r="N1983" s="7">
        <v>419.19</v>
      </c>
      <c r="O1983" t="s">
        <v>20</v>
      </c>
    </row>
    <row r="1984" spans="1:15" x14ac:dyDescent="0.3">
      <c r="A1984" t="s">
        <v>2009</v>
      </c>
      <c r="B1984" t="s">
        <v>22</v>
      </c>
      <c r="C1984">
        <v>25</v>
      </c>
      <c r="D1984" t="s">
        <v>20</v>
      </c>
      <c r="E1984">
        <v>44</v>
      </c>
      <c r="F1984" t="str">
        <f t="shared" si="30"/>
        <v>25-48 Months</v>
      </c>
      <c r="G1984" t="s">
        <v>17</v>
      </c>
      <c r="H1984" t="s">
        <v>20</v>
      </c>
      <c r="I1984" t="s">
        <v>24</v>
      </c>
      <c r="J1984" t="s">
        <v>16</v>
      </c>
      <c r="K1984" t="s">
        <v>16</v>
      </c>
      <c r="L1984">
        <v>3</v>
      </c>
      <c r="M1984" s="7">
        <v>35.840000000000003</v>
      </c>
      <c r="N1984" s="7">
        <v>1638.09</v>
      </c>
      <c r="O1984" t="s">
        <v>20</v>
      </c>
    </row>
    <row r="1985" spans="1:15" x14ac:dyDescent="0.3">
      <c r="A1985" t="s">
        <v>2010</v>
      </c>
      <c r="B1985" t="s">
        <v>15</v>
      </c>
      <c r="C1985">
        <v>41</v>
      </c>
      <c r="D1985" t="s">
        <v>20</v>
      </c>
      <c r="E1985">
        <v>15</v>
      </c>
      <c r="F1985" t="str">
        <f t="shared" si="30"/>
        <v>13-24 Months</v>
      </c>
      <c r="G1985" t="s">
        <v>17</v>
      </c>
      <c r="H1985" t="s">
        <v>18</v>
      </c>
      <c r="I1985" t="s">
        <v>30</v>
      </c>
      <c r="J1985" t="s">
        <v>20</v>
      </c>
      <c r="K1985" t="s">
        <v>16</v>
      </c>
      <c r="L1985">
        <v>6</v>
      </c>
      <c r="M1985" s="7">
        <v>88.46</v>
      </c>
      <c r="N1985" s="7">
        <v>1407.53</v>
      </c>
      <c r="O1985" t="s">
        <v>16</v>
      </c>
    </row>
    <row r="1986" spans="1:15" x14ac:dyDescent="0.3">
      <c r="A1986" t="s">
        <v>2011</v>
      </c>
      <c r="B1986" t="s">
        <v>22</v>
      </c>
      <c r="C1986">
        <v>45</v>
      </c>
      <c r="D1986" t="s">
        <v>20</v>
      </c>
      <c r="E1986">
        <v>19</v>
      </c>
      <c r="F1986" t="str">
        <f t="shared" ref="F1986:F2001" si="31">IF(E1986&lt;=6,"0-6 Months",
 IF(E1986&lt;=12,"7-12 Months",
 IF(E1986&lt;=24,"13-24 Months",
 IF(E1986&lt;=48,"25-48 Months","49+ Months"))))</f>
        <v>13-24 Months</v>
      </c>
      <c r="G1986" t="s">
        <v>23</v>
      </c>
      <c r="H1986" t="s">
        <v>20</v>
      </c>
      <c r="I1986" t="s">
        <v>24</v>
      </c>
      <c r="J1986" t="s">
        <v>20</v>
      </c>
      <c r="K1986" t="s">
        <v>20</v>
      </c>
      <c r="L1986">
        <v>6</v>
      </c>
      <c r="M1986" s="7">
        <v>42.54</v>
      </c>
      <c r="N1986" s="7">
        <v>798.59</v>
      </c>
      <c r="O1986" t="s">
        <v>20</v>
      </c>
    </row>
    <row r="1987" spans="1:15" x14ac:dyDescent="0.3">
      <c r="A1987" t="s">
        <v>2012</v>
      </c>
      <c r="B1987" t="s">
        <v>22</v>
      </c>
      <c r="C1987">
        <v>58</v>
      </c>
      <c r="D1987" t="s">
        <v>20</v>
      </c>
      <c r="E1987">
        <v>63</v>
      </c>
      <c r="F1987" t="str">
        <f t="shared" si="31"/>
        <v>49+ Months</v>
      </c>
      <c r="G1987" t="s">
        <v>35</v>
      </c>
      <c r="H1987" t="s">
        <v>18</v>
      </c>
      <c r="I1987" t="s">
        <v>24</v>
      </c>
      <c r="J1987" t="s">
        <v>20</v>
      </c>
      <c r="K1987" t="s">
        <v>20</v>
      </c>
      <c r="L1987">
        <v>3</v>
      </c>
      <c r="M1987" s="7">
        <v>81.510000000000005</v>
      </c>
      <c r="N1987" s="7">
        <v>5064.1499999999996</v>
      </c>
      <c r="O1987" t="s">
        <v>20</v>
      </c>
    </row>
    <row r="1988" spans="1:15" x14ac:dyDescent="0.3">
      <c r="A1988" t="s">
        <v>2013</v>
      </c>
      <c r="B1988" t="s">
        <v>22</v>
      </c>
      <c r="C1988">
        <v>53</v>
      </c>
      <c r="D1988" t="s">
        <v>20</v>
      </c>
      <c r="E1988">
        <v>35</v>
      </c>
      <c r="F1988" t="str">
        <f t="shared" si="31"/>
        <v>25-48 Months</v>
      </c>
      <c r="G1988" t="s">
        <v>35</v>
      </c>
      <c r="H1988" t="s">
        <v>36</v>
      </c>
      <c r="I1988" t="s">
        <v>27</v>
      </c>
      <c r="J1988" t="s">
        <v>20</v>
      </c>
      <c r="K1988" t="s">
        <v>20</v>
      </c>
      <c r="L1988">
        <v>7</v>
      </c>
      <c r="M1988" s="7">
        <v>75.2</v>
      </c>
      <c r="N1988" s="7">
        <v>2549.5500000000002</v>
      </c>
      <c r="O1988" t="s">
        <v>20</v>
      </c>
    </row>
    <row r="1989" spans="1:15" x14ac:dyDescent="0.3">
      <c r="A1989" t="s">
        <v>2014</v>
      </c>
      <c r="B1989" t="s">
        <v>22</v>
      </c>
      <c r="C1989">
        <v>54</v>
      </c>
      <c r="D1989" t="s">
        <v>20</v>
      </c>
      <c r="E1989">
        <v>35</v>
      </c>
      <c r="F1989" t="str">
        <f t="shared" si="31"/>
        <v>25-48 Months</v>
      </c>
      <c r="G1989" t="s">
        <v>17</v>
      </c>
      <c r="H1989" t="s">
        <v>18</v>
      </c>
      <c r="I1989" t="s">
        <v>30</v>
      </c>
      <c r="J1989" t="s">
        <v>20</v>
      </c>
      <c r="K1989" t="s">
        <v>16</v>
      </c>
      <c r="L1989">
        <v>6</v>
      </c>
      <c r="M1989" s="7">
        <v>93.99</v>
      </c>
      <c r="N1989" s="7">
        <v>3488.05</v>
      </c>
      <c r="O1989" t="s">
        <v>20</v>
      </c>
    </row>
    <row r="1990" spans="1:15" x14ac:dyDescent="0.3">
      <c r="A1990" t="s">
        <v>2015</v>
      </c>
      <c r="B1990" t="s">
        <v>15</v>
      </c>
      <c r="C1990">
        <v>38</v>
      </c>
      <c r="D1990" t="s">
        <v>20</v>
      </c>
      <c r="E1990">
        <v>19</v>
      </c>
      <c r="F1990" t="str">
        <f t="shared" si="31"/>
        <v>13-24 Months</v>
      </c>
      <c r="G1990" t="s">
        <v>23</v>
      </c>
      <c r="H1990" t="s">
        <v>20</v>
      </c>
      <c r="I1990" t="s">
        <v>30</v>
      </c>
      <c r="J1990" t="s">
        <v>20</v>
      </c>
      <c r="K1990" t="s">
        <v>20</v>
      </c>
      <c r="L1990">
        <v>4</v>
      </c>
      <c r="M1990" s="7">
        <v>56.12</v>
      </c>
      <c r="N1990" s="7">
        <v>1074.43</v>
      </c>
      <c r="O1990" t="s">
        <v>20</v>
      </c>
    </row>
    <row r="1991" spans="1:15" x14ac:dyDescent="0.3">
      <c r="A1991" t="s">
        <v>2016</v>
      </c>
      <c r="B1991" t="s">
        <v>15</v>
      </c>
      <c r="C1991">
        <v>25</v>
      </c>
      <c r="D1991" t="s">
        <v>20</v>
      </c>
      <c r="E1991">
        <v>20</v>
      </c>
      <c r="F1991" t="str">
        <f t="shared" si="31"/>
        <v>13-24 Months</v>
      </c>
      <c r="G1991" t="s">
        <v>23</v>
      </c>
      <c r="H1991" t="s">
        <v>36</v>
      </c>
      <c r="I1991" t="s">
        <v>27</v>
      </c>
      <c r="J1991" t="s">
        <v>20</v>
      </c>
      <c r="K1991" t="s">
        <v>20</v>
      </c>
      <c r="L1991">
        <v>2</v>
      </c>
      <c r="M1991" s="7">
        <v>53.31</v>
      </c>
      <c r="N1991" s="7">
        <v>1079.72</v>
      </c>
      <c r="O1991" t="s">
        <v>20</v>
      </c>
    </row>
    <row r="1992" spans="1:15" x14ac:dyDescent="0.3">
      <c r="A1992" t="s">
        <v>2017</v>
      </c>
      <c r="B1992" t="s">
        <v>22</v>
      </c>
      <c r="C1992">
        <v>72</v>
      </c>
      <c r="D1992" t="s">
        <v>16</v>
      </c>
      <c r="E1992">
        <v>35</v>
      </c>
      <c r="F1992" t="str">
        <f t="shared" si="31"/>
        <v>25-48 Months</v>
      </c>
      <c r="G1992" t="s">
        <v>17</v>
      </c>
      <c r="H1992" t="s">
        <v>18</v>
      </c>
      <c r="I1992" t="s">
        <v>27</v>
      </c>
      <c r="J1992" t="s">
        <v>20</v>
      </c>
      <c r="K1992" t="s">
        <v>16</v>
      </c>
      <c r="L1992">
        <v>3</v>
      </c>
      <c r="M1992" s="7">
        <v>73.02</v>
      </c>
      <c r="N1992" s="7">
        <v>2621.82</v>
      </c>
      <c r="O1992" t="s">
        <v>20</v>
      </c>
    </row>
    <row r="1993" spans="1:15" x14ac:dyDescent="0.3">
      <c r="A1993" t="s">
        <v>2018</v>
      </c>
      <c r="B1993" t="s">
        <v>15</v>
      </c>
      <c r="C1993">
        <v>26</v>
      </c>
      <c r="D1993" t="s">
        <v>20</v>
      </c>
      <c r="E1993">
        <v>32</v>
      </c>
      <c r="F1993" t="str">
        <f t="shared" si="31"/>
        <v>25-48 Months</v>
      </c>
      <c r="G1993" t="s">
        <v>17</v>
      </c>
      <c r="H1993" t="s">
        <v>36</v>
      </c>
      <c r="I1993" t="s">
        <v>27</v>
      </c>
      <c r="J1993" t="s">
        <v>20</v>
      </c>
      <c r="K1993" t="s">
        <v>16</v>
      </c>
      <c r="L1993">
        <v>4</v>
      </c>
      <c r="M1993" s="7">
        <v>65.569999999999993</v>
      </c>
      <c r="N1993" s="7">
        <v>2031.17</v>
      </c>
      <c r="O1993" t="s">
        <v>20</v>
      </c>
    </row>
    <row r="1994" spans="1:15" x14ac:dyDescent="0.3">
      <c r="A1994" t="s">
        <v>2019</v>
      </c>
      <c r="B1994" t="s">
        <v>15</v>
      </c>
      <c r="C1994">
        <v>64</v>
      </c>
      <c r="D1994" t="s">
        <v>16</v>
      </c>
      <c r="E1994">
        <v>48</v>
      </c>
      <c r="F1994" t="str">
        <f t="shared" si="31"/>
        <v>25-48 Months</v>
      </c>
      <c r="G1994" t="s">
        <v>23</v>
      </c>
      <c r="H1994" t="s">
        <v>18</v>
      </c>
      <c r="I1994" t="s">
        <v>19</v>
      </c>
      <c r="J1994" t="s">
        <v>20</v>
      </c>
      <c r="K1994" t="s">
        <v>16</v>
      </c>
      <c r="L1994">
        <v>4</v>
      </c>
      <c r="M1994" s="7">
        <v>74.88</v>
      </c>
      <c r="N1994" s="7">
        <v>3555.59</v>
      </c>
      <c r="O1994" t="s">
        <v>20</v>
      </c>
    </row>
    <row r="1995" spans="1:15" x14ac:dyDescent="0.3">
      <c r="A1995" t="s">
        <v>2020</v>
      </c>
      <c r="B1995" t="s">
        <v>15</v>
      </c>
      <c r="C1995">
        <v>32</v>
      </c>
      <c r="D1995" t="s">
        <v>20</v>
      </c>
      <c r="E1995">
        <v>44</v>
      </c>
      <c r="F1995" t="str">
        <f t="shared" si="31"/>
        <v>25-48 Months</v>
      </c>
      <c r="G1995" t="s">
        <v>35</v>
      </c>
      <c r="H1995" t="s">
        <v>36</v>
      </c>
      <c r="I1995" t="s">
        <v>24</v>
      </c>
      <c r="J1995" t="s">
        <v>20</v>
      </c>
      <c r="K1995" t="s">
        <v>20</v>
      </c>
      <c r="L1995">
        <v>4</v>
      </c>
      <c r="M1995" s="7">
        <v>62.25</v>
      </c>
      <c r="N1995" s="7">
        <v>2844.88</v>
      </c>
      <c r="O1995" t="s">
        <v>20</v>
      </c>
    </row>
    <row r="1996" spans="1:15" x14ac:dyDescent="0.3">
      <c r="A1996" t="s">
        <v>2021</v>
      </c>
      <c r="B1996" t="s">
        <v>15</v>
      </c>
      <c r="C1996">
        <v>65</v>
      </c>
      <c r="D1996" t="s">
        <v>16</v>
      </c>
      <c r="E1996">
        <v>24</v>
      </c>
      <c r="F1996" t="str">
        <f t="shared" si="31"/>
        <v>13-24 Months</v>
      </c>
      <c r="G1996" t="s">
        <v>23</v>
      </c>
      <c r="H1996" t="s">
        <v>20</v>
      </c>
      <c r="I1996" t="s">
        <v>24</v>
      </c>
      <c r="J1996" t="s">
        <v>16</v>
      </c>
      <c r="K1996" t="s">
        <v>20</v>
      </c>
      <c r="L1996">
        <v>3</v>
      </c>
      <c r="M1996" s="7">
        <v>44.26</v>
      </c>
      <c r="N1996" s="7">
        <v>1144.75</v>
      </c>
      <c r="O1996" t="s">
        <v>20</v>
      </c>
    </row>
    <row r="1997" spans="1:15" x14ac:dyDescent="0.3">
      <c r="A1997" t="s">
        <v>2022</v>
      </c>
      <c r="B1997" t="s">
        <v>15</v>
      </c>
      <c r="C1997">
        <v>63</v>
      </c>
      <c r="D1997" t="s">
        <v>16</v>
      </c>
      <c r="E1997">
        <v>61</v>
      </c>
      <c r="F1997" t="str">
        <f t="shared" si="31"/>
        <v>49+ Months</v>
      </c>
      <c r="G1997" t="s">
        <v>17</v>
      </c>
      <c r="H1997" t="s">
        <v>18</v>
      </c>
      <c r="I1997" t="s">
        <v>19</v>
      </c>
      <c r="J1997" t="s">
        <v>20</v>
      </c>
      <c r="K1997" t="s">
        <v>20</v>
      </c>
      <c r="L1997">
        <v>4</v>
      </c>
      <c r="M1997" s="7">
        <v>84.83</v>
      </c>
      <c r="N1997" s="7">
        <v>4789.0600000000004</v>
      </c>
      <c r="O1997" t="s">
        <v>20</v>
      </c>
    </row>
    <row r="1998" spans="1:15" x14ac:dyDescent="0.3">
      <c r="A1998" t="s">
        <v>2023</v>
      </c>
      <c r="B1998" t="s">
        <v>22</v>
      </c>
      <c r="C1998">
        <v>57</v>
      </c>
      <c r="D1998" t="s">
        <v>20</v>
      </c>
      <c r="E1998">
        <v>17</v>
      </c>
      <c r="F1998" t="str">
        <f t="shared" si="31"/>
        <v>13-24 Months</v>
      </c>
      <c r="G1998" t="s">
        <v>17</v>
      </c>
      <c r="H1998" t="s">
        <v>18</v>
      </c>
      <c r="I1998" t="s">
        <v>19</v>
      </c>
      <c r="J1998" t="s">
        <v>20</v>
      </c>
      <c r="K1998" t="s">
        <v>20</v>
      </c>
      <c r="L1998">
        <v>6</v>
      </c>
      <c r="M1998" s="7">
        <v>96.85</v>
      </c>
      <c r="N1998" s="7">
        <v>1525.97</v>
      </c>
      <c r="O1998" t="s">
        <v>16</v>
      </c>
    </row>
    <row r="1999" spans="1:15" x14ac:dyDescent="0.3">
      <c r="A1999" t="s">
        <v>2024</v>
      </c>
      <c r="B1999" t="s">
        <v>15</v>
      </c>
      <c r="C1999">
        <v>35</v>
      </c>
      <c r="D1999" t="s">
        <v>20</v>
      </c>
      <c r="E1999">
        <v>71</v>
      </c>
      <c r="F1999" t="str">
        <f t="shared" si="31"/>
        <v>49+ Months</v>
      </c>
      <c r="G1999" t="s">
        <v>17</v>
      </c>
      <c r="H1999" t="s">
        <v>18</v>
      </c>
      <c r="I1999" t="s">
        <v>30</v>
      </c>
      <c r="J1999" t="s">
        <v>20</v>
      </c>
      <c r="K1999" t="s">
        <v>20</v>
      </c>
      <c r="L1999">
        <v>4</v>
      </c>
      <c r="M1999" s="7">
        <v>77.09</v>
      </c>
      <c r="N1999" s="7">
        <v>5410.41</v>
      </c>
      <c r="O1999" t="s">
        <v>20</v>
      </c>
    </row>
    <row r="2000" spans="1:15" x14ac:dyDescent="0.3">
      <c r="A2000" t="s">
        <v>2025</v>
      </c>
      <c r="B2000" t="s">
        <v>15</v>
      </c>
      <c r="C2000">
        <v>59</v>
      </c>
      <c r="D2000" t="s">
        <v>20</v>
      </c>
      <c r="E2000">
        <v>50</v>
      </c>
      <c r="F2000" t="str">
        <f t="shared" si="31"/>
        <v>49+ Months</v>
      </c>
      <c r="G2000" t="s">
        <v>23</v>
      </c>
      <c r="H2000" t="s">
        <v>36</v>
      </c>
      <c r="I2000" t="s">
        <v>30</v>
      </c>
      <c r="J2000" t="s">
        <v>20</v>
      </c>
      <c r="K2000" t="s">
        <v>20</v>
      </c>
      <c r="L2000">
        <v>2</v>
      </c>
      <c r="M2000" s="7">
        <v>55.96</v>
      </c>
      <c r="N2000" s="7">
        <v>2869.46</v>
      </c>
      <c r="O2000" t="s">
        <v>20</v>
      </c>
    </row>
    <row r="2001" spans="1:15" x14ac:dyDescent="0.3">
      <c r="A2001" t="s">
        <v>2026</v>
      </c>
      <c r="B2001" t="s">
        <v>15</v>
      </c>
      <c r="C2001">
        <v>37</v>
      </c>
      <c r="D2001" t="s">
        <v>20</v>
      </c>
      <c r="E2001">
        <v>65</v>
      </c>
      <c r="F2001" t="str">
        <f t="shared" si="31"/>
        <v>49+ Months</v>
      </c>
      <c r="G2001" t="s">
        <v>23</v>
      </c>
      <c r="H2001" t="s">
        <v>18</v>
      </c>
      <c r="I2001" t="s">
        <v>27</v>
      </c>
      <c r="J2001" t="s">
        <v>20</v>
      </c>
      <c r="K2001" t="s">
        <v>16</v>
      </c>
      <c r="L2001">
        <v>4</v>
      </c>
      <c r="M2001" s="7">
        <v>79.650000000000006</v>
      </c>
      <c r="N2001" s="7">
        <v>5083.12</v>
      </c>
      <c r="O2001" t="s">
        <v>20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0D59-0D10-44FC-96AF-C9B7EDCD3512}">
  <dimension ref="A3:D8"/>
  <sheetViews>
    <sheetView workbookViewId="0">
      <selection activeCell="B25" sqref="B25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0" t="s">
        <v>2046</v>
      </c>
      <c r="B3" s="10" t="s">
        <v>2047</v>
      </c>
    </row>
    <row r="4" spans="1:4" x14ac:dyDescent="0.3">
      <c r="A4" s="10" t="s">
        <v>2044</v>
      </c>
      <c r="B4" t="s">
        <v>20</v>
      </c>
      <c r="C4" t="s">
        <v>16</v>
      </c>
      <c r="D4" t="s">
        <v>2045</v>
      </c>
    </row>
    <row r="5" spans="1:4" x14ac:dyDescent="0.3">
      <c r="A5" s="11" t="s">
        <v>17</v>
      </c>
      <c r="B5">
        <v>849</v>
      </c>
      <c r="C5">
        <v>297</v>
      </c>
      <c r="D5">
        <v>1146</v>
      </c>
    </row>
    <row r="6" spans="1:4" x14ac:dyDescent="0.3">
      <c r="A6" s="11" t="s">
        <v>23</v>
      </c>
      <c r="B6">
        <v>424</v>
      </c>
      <c r="C6">
        <v>48</v>
      </c>
      <c r="D6">
        <v>472</v>
      </c>
    </row>
    <row r="7" spans="1:4" x14ac:dyDescent="0.3">
      <c r="A7" s="11" t="s">
        <v>35</v>
      </c>
      <c r="B7">
        <v>333</v>
      </c>
      <c r="C7">
        <v>49</v>
      </c>
      <c r="D7">
        <v>382</v>
      </c>
    </row>
    <row r="8" spans="1:4" x14ac:dyDescent="0.3">
      <c r="A8" s="11" t="s">
        <v>2045</v>
      </c>
      <c r="B8">
        <v>1606</v>
      </c>
      <c r="C8">
        <v>394</v>
      </c>
      <c r="D8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A93E-19F7-4D80-9378-4E00194ED3BF}">
  <dimension ref="A3:D9"/>
  <sheetViews>
    <sheetView zoomScaleNormal="100" workbookViewId="0">
      <selection activeCell="H14" sqref="H14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0" t="s">
        <v>2046</v>
      </c>
      <c r="B3" s="10" t="s">
        <v>2047</v>
      </c>
    </row>
    <row r="4" spans="1:4" x14ac:dyDescent="0.3">
      <c r="A4" s="10" t="s">
        <v>2044</v>
      </c>
      <c r="B4" t="s">
        <v>20</v>
      </c>
      <c r="C4" t="s">
        <v>16</v>
      </c>
      <c r="D4" t="s">
        <v>2045</v>
      </c>
    </row>
    <row r="5" spans="1:4" x14ac:dyDescent="0.3">
      <c r="A5" s="11" t="s">
        <v>30</v>
      </c>
      <c r="B5">
        <v>381</v>
      </c>
      <c r="C5">
        <v>88</v>
      </c>
      <c r="D5">
        <v>469</v>
      </c>
    </row>
    <row r="6" spans="1:4" x14ac:dyDescent="0.3">
      <c r="A6" s="11" t="s">
        <v>27</v>
      </c>
      <c r="B6">
        <v>393</v>
      </c>
      <c r="C6">
        <v>91</v>
      </c>
      <c r="D6">
        <v>484</v>
      </c>
    </row>
    <row r="7" spans="1:4" x14ac:dyDescent="0.3">
      <c r="A7" s="11" t="s">
        <v>24</v>
      </c>
      <c r="B7">
        <v>532</v>
      </c>
      <c r="C7">
        <v>152</v>
      </c>
      <c r="D7">
        <v>684</v>
      </c>
    </row>
    <row r="8" spans="1:4" x14ac:dyDescent="0.3">
      <c r="A8" s="11" t="s">
        <v>19</v>
      </c>
      <c r="B8">
        <v>300</v>
      </c>
      <c r="C8">
        <v>63</v>
      </c>
      <c r="D8">
        <v>363</v>
      </c>
    </row>
    <row r="9" spans="1:4" x14ac:dyDescent="0.3">
      <c r="A9" s="11" t="s">
        <v>2045</v>
      </c>
      <c r="B9">
        <v>1606</v>
      </c>
      <c r="C9">
        <v>394</v>
      </c>
      <c r="D9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A6C1-FB9B-4507-ADD5-309919D1C5FD}">
  <dimension ref="A3:D8"/>
  <sheetViews>
    <sheetView workbookViewId="0">
      <selection activeCell="F22" sqref="F22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0" t="s">
        <v>2046</v>
      </c>
      <c r="B3" s="10" t="s">
        <v>2047</v>
      </c>
    </row>
    <row r="4" spans="1:4" x14ac:dyDescent="0.3">
      <c r="A4" s="10" t="s">
        <v>2044</v>
      </c>
      <c r="B4" t="s">
        <v>20</v>
      </c>
      <c r="C4" t="s">
        <v>16</v>
      </c>
      <c r="D4" t="s">
        <v>2045</v>
      </c>
    </row>
    <row r="5" spans="1:4" x14ac:dyDescent="0.3">
      <c r="A5" s="11" t="s">
        <v>36</v>
      </c>
      <c r="B5">
        <v>591</v>
      </c>
      <c r="C5">
        <v>125</v>
      </c>
      <c r="D5">
        <v>716</v>
      </c>
    </row>
    <row r="6" spans="1:4" x14ac:dyDescent="0.3">
      <c r="A6" s="11" t="s">
        <v>18</v>
      </c>
      <c r="B6">
        <v>660</v>
      </c>
      <c r="C6">
        <v>209</v>
      </c>
      <c r="D6">
        <v>869</v>
      </c>
    </row>
    <row r="7" spans="1:4" x14ac:dyDescent="0.3">
      <c r="A7" s="11" t="s">
        <v>20</v>
      </c>
      <c r="B7">
        <v>355</v>
      </c>
      <c r="C7">
        <v>60</v>
      </c>
      <c r="D7">
        <v>415</v>
      </c>
    </row>
    <row r="8" spans="1:4" x14ac:dyDescent="0.3">
      <c r="A8" s="11" t="s">
        <v>2045</v>
      </c>
      <c r="B8">
        <v>1606</v>
      </c>
      <c r="C8">
        <v>394</v>
      </c>
      <c r="D8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CF89-3CB5-4F41-A14B-693B49F4CB1B}">
  <dimension ref="A3:D10"/>
  <sheetViews>
    <sheetView workbookViewId="0">
      <selection activeCell="G20" sqref="G20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8.88671875" bestFit="1" customWidth="1"/>
    <col min="6" max="6" width="25.77734375" bestFit="1" customWidth="1"/>
    <col min="7" max="7" width="23.6640625" bestFit="1" customWidth="1"/>
  </cols>
  <sheetData>
    <row r="3" spans="1:4" x14ac:dyDescent="0.3">
      <c r="A3" s="10" t="s">
        <v>2046</v>
      </c>
      <c r="B3" s="10" t="s">
        <v>2047</v>
      </c>
    </row>
    <row r="4" spans="1:4" x14ac:dyDescent="0.3">
      <c r="A4" s="10" t="s">
        <v>2044</v>
      </c>
      <c r="B4" t="s">
        <v>20</v>
      </c>
      <c r="C4" t="s">
        <v>16</v>
      </c>
      <c r="D4" t="s">
        <v>2045</v>
      </c>
    </row>
    <row r="5" spans="1:4" x14ac:dyDescent="0.3">
      <c r="A5" s="11" t="s">
        <v>2049</v>
      </c>
      <c r="B5">
        <v>85</v>
      </c>
      <c r="C5">
        <v>64</v>
      </c>
      <c r="D5">
        <v>149</v>
      </c>
    </row>
    <row r="6" spans="1:4" x14ac:dyDescent="0.3">
      <c r="A6" s="11" t="s">
        <v>2050</v>
      </c>
      <c r="B6">
        <v>235</v>
      </c>
      <c r="C6">
        <v>105</v>
      </c>
      <c r="D6">
        <v>340</v>
      </c>
    </row>
    <row r="7" spans="1:4" x14ac:dyDescent="0.3">
      <c r="A7" s="11" t="s">
        <v>2051</v>
      </c>
      <c r="B7">
        <v>565</v>
      </c>
      <c r="C7">
        <v>104</v>
      </c>
      <c r="D7">
        <v>669</v>
      </c>
    </row>
    <row r="8" spans="1:4" x14ac:dyDescent="0.3">
      <c r="A8" s="11" t="s">
        <v>2052</v>
      </c>
      <c r="B8">
        <v>628</v>
      </c>
      <c r="C8">
        <v>61</v>
      </c>
      <c r="D8">
        <v>689</v>
      </c>
    </row>
    <row r="9" spans="1:4" x14ac:dyDescent="0.3">
      <c r="A9" s="11" t="s">
        <v>2053</v>
      </c>
      <c r="B9">
        <v>93</v>
      </c>
      <c r="C9">
        <v>60</v>
      </c>
      <c r="D9">
        <v>153</v>
      </c>
    </row>
    <row r="10" spans="1:4" x14ac:dyDescent="0.3">
      <c r="A10" s="11" t="s">
        <v>2045</v>
      </c>
      <c r="B10">
        <v>1606</v>
      </c>
      <c r="C10">
        <v>394</v>
      </c>
      <c r="D10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B0B4-80EA-4088-BF27-5F784C061228}">
  <sheetPr codeName="Sheet2"/>
  <dimension ref="A4:G14"/>
  <sheetViews>
    <sheetView topLeftCell="A4" workbookViewId="0">
      <selection activeCell="G10" sqref="G10"/>
    </sheetView>
  </sheetViews>
  <sheetFormatPr defaultRowHeight="14.4" x14ac:dyDescent="0.3"/>
  <cols>
    <col min="1" max="1" width="16.88671875" customWidth="1"/>
    <col min="2" max="2" width="15" customWidth="1"/>
  </cols>
  <sheetData>
    <row r="4" spans="1:7" ht="33.6" x14ac:dyDescent="0.65">
      <c r="A4" s="5" t="s">
        <v>2034</v>
      </c>
      <c r="B4" s="5"/>
      <c r="C4" s="6"/>
      <c r="D4" s="6"/>
      <c r="E4" s="6"/>
      <c r="F4" s="6"/>
      <c r="G4" s="6"/>
    </row>
    <row r="9" spans="1:7" x14ac:dyDescent="0.3">
      <c r="A9" s="2" t="s">
        <v>2027</v>
      </c>
      <c r="B9" s="2" t="s">
        <v>2028</v>
      </c>
    </row>
    <row r="10" spans="1:7" ht="37.200000000000003" customHeight="1" x14ac:dyDescent="0.3">
      <c r="A10" s="1" t="s">
        <v>2029</v>
      </c>
      <c r="B10" s="1">
        <f>COUNTA(customer_churn_dataset!A2:A2001)</f>
        <v>2000</v>
      </c>
    </row>
    <row r="11" spans="1:7" ht="37.200000000000003" customHeight="1" x14ac:dyDescent="0.3">
      <c r="A11" s="1" t="s">
        <v>2030</v>
      </c>
      <c r="B11" s="1">
        <f>COUNTIF(customer_churn_dataset!O2:O2001,"Yes")</f>
        <v>394</v>
      </c>
    </row>
    <row r="12" spans="1:7" ht="32.4" customHeight="1" x14ac:dyDescent="0.3">
      <c r="A12" s="1" t="s">
        <v>2031</v>
      </c>
      <c r="B12" s="3">
        <f>B11/B10</f>
        <v>0.19700000000000001</v>
      </c>
    </row>
    <row r="13" spans="1:7" ht="28.8" x14ac:dyDescent="0.3">
      <c r="A13" s="1" t="s">
        <v>2032</v>
      </c>
      <c r="B13" s="4">
        <f>AVERAGE(customer_churn_dataset!M2:M2001)</f>
        <v>63.733360000000054</v>
      </c>
    </row>
    <row r="14" spans="1:7" ht="41.4" customHeight="1" x14ac:dyDescent="0.3">
      <c r="A14" s="1" t="s">
        <v>2033</v>
      </c>
      <c r="B14" s="1">
        <f>SUMIF(customer_churn_dataset!O2:O2001,"Yes",customer_churn_dataset!M2:M2001)</f>
        <v>26809.030000000028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B286-ABAB-48DE-B2CE-11BE6285E89E}">
  <dimension ref="A1:B8"/>
  <sheetViews>
    <sheetView workbookViewId="0">
      <selection activeCell="D4" sqref="D4"/>
    </sheetView>
  </sheetViews>
  <sheetFormatPr defaultRowHeight="14.4" x14ac:dyDescent="0.3"/>
  <cols>
    <col min="1" max="1" width="13.44140625" customWidth="1"/>
    <col min="2" max="2" width="10.21875" customWidth="1"/>
  </cols>
  <sheetData>
    <row r="1" spans="1:2" x14ac:dyDescent="0.3">
      <c r="A1" s="8" t="s">
        <v>2035</v>
      </c>
      <c r="B1" s="8" t="s">
        <v>2036</v>
      </c>
    </row>
    <row r="2" spans="1:2" ht="28.8" x14ac:dyDescent="0.3">
      <c r="A2" s="1" t="s">
        <v>2037</v>
      </c>
      <c r="B2" s="9">
        <v>2000</v>
      </c>
    </row>
    <row r="3" spans="1:2" ht="28.8" x14ac:dyDescent="0.3">
      <c r="A3" s="1" t="s">
        <v>2038</v>
      </c>
      <c r="B3" s="1">
        <v>14</v>
      </c>
    </row>
    <row r="4" spans="1:2" ht="43.2" x14ac:dyDescent="0.3">
      <c r="A4" s="1" t="s">
        <v>2039</v>
      </c>
      <c r="B4" s="1">
        <v>0</v>
      </c>
    </row>
    <row r="5" spans="1:2" ht="43.2" x14ac:dyDescent="0.3">
      <c r="A5" s="1" t="s">
        <v>2040</v>
      </c>
      <c r="B5" s="1">
        <v>0</v>
      </c>
    </row>
    <row r="6" spans="1:2" ht="28.8" x14ac:dyDescent="0.3">
      <c r="A6" s="1" t="s">
        <v>2041</v>
      </c>
      <c r="B6" s="1">
        <v>0</v>
      </c>
    </row>
    <row r="7" spans="1:2" ht="28.8" x14ac:dyDescent="0.3">
      <c r="A7" s="1" t="s">
        <v>2042</v>
      </c>
      <c r="B7" s="1">
        <v>0</v>
      </c>
    </row>
    <row r="8" spans="1:2" ht="28.8" x14ac:dyDescent="0.3">
      <c r="A8" s="1" t="s">
        <v>2043</v>
      </c>
      <c r="B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customer_churn_dataset</vt:lpstr>
      <vt:lpstr>Pivot 1 — Churn by Contract</vt:lpstr>
      <vt:lpstr>Pivot 2 — Churn by Payment Meth</vt:lpstr>
      <vt:lpstr>Pivot 3 — Churn by Internet Ser</vt:lpstr>
      <vt:lpstr>Pivot 4 — Churn by Tenure</vt:lpstr>
      <vt:lpstr>KPI Dashboard</vt:lpstr>
      <vt:lpstr>Data quality Check 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patkotwar</dc:creator>
  <cp:lastModifiedBy>Gaurav Patkotwar</cp:lastModifiedBy>
  <dcterms:created xsi:type="dcterms:W3CDTF">2026-09-15T11:28:41Z</dcterms:created>
  <dcterms:modified xsi:type="dcterms:W3CDTF">2026-09-27T08:16:23Z</dcterms:modified>
</cp:coreProperties>
</file>